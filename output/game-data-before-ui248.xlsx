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CS!$A$4:$T$1662</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7">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UI229追加。採取で直接生成せず、自軍拠点で通常食料を加工して携帯する。既存の他資源・クラス・種族の消費値は変更しない。</t>
      </text>
    </comment>
    <comment authorId="0" ref="O1">
      <text>
        <t xml:space="preserve">FALSEの資源は住民・軍隊・敵の毎ターン維持食料に使わない。空欄は既存の分類/種族別消費に従う。資源在庫・取引・人口増加条件・召喚/上位種化費用の分類は変更しない。魂はFALSE。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F1">
      <text>
        <t xml:space="preserve">同じ拠点で建てられる同施設の棟数。完成済み＋建設中を合算。空欄または0は上限なし、正整数は個別上限（神殿・修道院・祭壇等は現行の1を維持）。拠点全体の施設枠は廃止し、拠点規模行の旧3/5/7/9は現行v39の総棟数制限には使用しない。1マス1施設・建設費・研究・前提・改築/召喚系統制限は別途維持。</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<sst xmlns="http://schemas.openxmlformats.org/spreadsheetml/2006/main" count="17978" uniqueCount="5811">
  <si>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</si>
  <si>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</si>
  <si>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</si>
  <si>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</si>
  <si>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</si>
  <si>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</si>
  <si>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</si>
  <si>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</si>
  <si>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</si>
  <si>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</si>
  <si>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</si>
  <si>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</si>
  <si>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</si>
  <si>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</si>
  <si>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</si>
  <si>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</si>
  <si>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</si>
  <si>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</si>
  <si>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</si>
  <si>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</si>
  <si>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</si>
  <si>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</si>
  <si>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</si>
  <si>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</si>
  <si>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</si>
  <si>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</si>
  <si>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</si>
  <si>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</si>
  <si>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</si>
  <si>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</si>
  <si>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</si>
  <si>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</si>
  <si>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</si>
  <si>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</si>
  <si>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</si>
  <si>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</si>
  <si>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</si>
  <si>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</si>
  <si>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</si>
  <si>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</si>
  <si>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</si>
  <si>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</si>
  <si>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</si>
  <si>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</si>
  <si>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</si>
  <si>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</si>
  <si>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</si>
  <si>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</si>
  <si>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</si>
  <si>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</si>
  <si>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</si>
  <si>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</si>
  <si>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</si>
  <si>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</si>
  <si>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</si>
  <si>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</si>
  <si>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</si>
  <si>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</si>
  <si>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</si>
  <si>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</si>
  <si>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</si>
  <si>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</si>
  <si>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</si>
  <si>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</si>
  <si>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</si>
  <si>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</si>
  <si>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</si>
  <si>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</si>
  <si>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</si>
  <si>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</si>
  <si>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</si>
  <si>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</si>
  <si>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</si>
  <si>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</si>
  <si>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</si>
  <si>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</si>
  <si>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</si>
  <si>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</si>
  <si>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</si>
  <si>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</si>
  <si>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</si>
  <si>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</si>
  <si>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</si>
  <si>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</si>
  <si>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</si>
  <si>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</si>
  <si>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</si>
  <si>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</si>
  <si>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</si>
  <si>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</si>
  <si>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</si>
  <si>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</si>
  <si>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</si>
  <si>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</si>
  <si>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</si>
  <si>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</si>
  <si>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</si>
  <si>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</si>
  <si>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</si>
  <si>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</si>
  <si>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</si>
  <si>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</si>
  <si>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</si>
  <si>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</si>
  <si>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</si>
  <si>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</si>
  <si>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</si>
  <si>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</si>
  <si>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</si>
  <si>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</si>
  <si>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</si>
  <si>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</si>
  <si>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</si>
  <si>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</si>
  <si>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</si>
  <si>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</si>
  <si>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</si>
  <si>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</si>
  <si>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</si>
  <si>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</si>
  <si>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</si>
  <si>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</si>
  <si>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</si>
  <si>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</si>
  <si>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</si>
  <si>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</si>
  <si>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</si>
  <si>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</si>
  <si>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</si>
  <si>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</si>
  <si>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</si>
  <si>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</si>
  <si>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</si>
  <si>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</si>
  <si>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</si>
  <si>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</si>
  <si>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</si>
  <si>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</si>
  <si>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</si>
  <si>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</si>
  <si>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</si>
  <si>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</si>
  <si>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</si>
  <si>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</si>
  <si>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</si>
  <si>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</si>
  <si>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</si>
  <si>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</si>
  <si>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</si>
  <si>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</si>
  <si>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</si>
  <si>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</si>
  <si>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</si>
  <si>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</si>
  <si>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</si>
  <si>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</si>
  <si>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</si>
  <si>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</si>
  <si>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</si>
  <si>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</si>
  <si>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</si>
  <si>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</si>
  <si>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</si>
  <si>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</si>
  <si>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</si>
  <si>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</si>
  <si>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</si>
  <si>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</si>
  <si>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</si>
  <si>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</si>
  <si>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</si>
  <si>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</si>
  <si>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</si>
  <si>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</si>
  <si>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</si>
  <si>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</si>
  <si>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</si>
  <si>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</si>
  <si>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</si>
  <si>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</si>
  <si>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</si>
  <si>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</si>
  <si>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</si>
  <si>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</si>
  <si>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</si>
  <si>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</si>
  <si>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</si>
  <si>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</si>
  <si>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</si>
  <si>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</si>
  <si>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</si>
  <si>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</si>
  <si>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</si>
  <si>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</si>
  <si>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</si>
  <si>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</si>
  <si>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</si>
  <si>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</si>
  <si>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</si>
  <si>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</si>
  <si>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</si>
  <si>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</si>
  <si>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</si>
  <si>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</si>
  <si>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</si>
  <si>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</si>
  <si>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</si>
  <si>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</si>
  <si>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</si>
  <si>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</si>
  <si>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</si>
  <si>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</si>
  <si>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</si>
  <si>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</si>
  <si>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</si>
  <si>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</si>
  <si>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</si>
  <si>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</si>
  <si>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</si>
  <si>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</si>
  <si>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</si>
  <si>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</si>
  <si>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</si>
  <si>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</si>
  <si>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</si>
  <si>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</si>
  <si>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</si>
  <si>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</si>
  <si>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</si>
  <si>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</si>
  <si>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</si>
  <si>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</si>
  <si>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</si>
  <si>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</si>
  <si>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</si>
  <si>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</si>
  <si>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</si>
  <si>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</si>
  <si>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</si>
  <si>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</si>
  <si>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</si>
  <si>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</si>
  <si>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</si>
  <si>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</si>
  <si>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</si>
  <si>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</si>
  <si>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</si>
  <si>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</si>
  <si>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</si>
  <si>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</si>
  <si>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</si>
  <si>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</si>
  <si>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</si>
  <si>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</si>
  <si>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</si>
  <si>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</si>
  <si>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</si>
  <si>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</si>
  <si>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</si>
  <si>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</si>
  <si>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</si>
  <si>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</si>
  <si>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</si>
  <si>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</si>
  <si>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</si>
  <si>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</si>
  <si>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</si>
  <si>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</si>
  <si>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</si>
  <si>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</si>
  <si>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</si>
  <si>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</si>
  <si>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</si>
  <si>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</si>
  <si>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</si>
  <si>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</si>
  <si>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</si>
  <si>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</si>
  <si>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</si>
  <si>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</si>
  <si>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</si>
  <si>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</si>
  <si>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</si>
  <si>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</si>
  <si>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</si>
  <si>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</si>
  <si>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</si>
  <si>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</si>
  <si>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</si>
  <si>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</si>
  <si>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</si>
  <si>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</si>
  <si>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</si>
  <si>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</si>
  <si>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</si>
  <si>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</si>
  <si>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</si>
  <si>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</si>
  <si>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</si>
  <si>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</si>
  <si>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</si>
  <si>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</si>
  <si>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</si>
  <si>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</si>
  <si>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</si>
  <si>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</si>
  <si>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</si>
  <si>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</si>
  <si>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</si>
  <si>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</si>
  <si>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</si>
  <si>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</si>
  <si>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</si>
  <si>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</si>
  <si>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</si>
  <si>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</si>
  <si>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</si>
  <si>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</si>
  <si>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</si>
  <si>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</si>
  <si>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</si>
  <si>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</si>
  <si>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</si>
  <si>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</si>
  <si>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</si>
  <si>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</si>
  <si>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</si>
  <si>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</si>
  <si>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</si>
  <si>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</si>
  <si>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</si>
  <si>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</si>
  <si>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</si>
  <si>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</si>
  <si>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</si>
  <si>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</si>
  <si>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</si>
  <si>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</si>
  <si>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</si>
  <si>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</si>
  <si>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</si>
  <si>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</si>
  <si>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</si>
  <si>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</si>
  <si>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</si>
  <si>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</si>
  <si>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</si>
  <si>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</si>
  <si>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</si>
  <si>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</si>
  <si>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</si>
  <si>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</si>
  <si>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</si>
  <si>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</si>
  <si>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</si>
  <si>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</si>
  <si>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</si>
  <si>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</si>
  <si>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</si>
  <si>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</si>
  <si>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</si>
  <si>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</si>
  <si>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</si>
  <si>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</si>
  <si>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</si>
  <si>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</si>
  <si>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</si>
  <si>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</si>
  <si>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</si>
  <si>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</si>
  <si>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</si>
  <si>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</si>
  <si>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</si>
  <si>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</si>
  <si>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</si>
  <si>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</si>
  <si>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</si>
  <si>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</si>
  <si>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</si>
  <si>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</si>
  <si>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</si>
  <si>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</si>
  <si>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</si>
  <si>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</si>
  <si>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</si>
  <si>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</si>
  <si>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</si>
  <si>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</si>
  <si>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</si>
  <si>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</si>
  <si>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</si>
  <si>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</si>
  <si>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</si>
  <si>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</si>
  <si>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</si>
  <si>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</si>
  <si>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</si>
  <si>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</si>
  <si>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</si>
  <si>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</si>
  <si>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</si>
  <si>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</si>
  <si>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</si>
  <si>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</si>
  <si>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</si>
  <si>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</si>
  <si>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</si>
  <si>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</si>
  <si>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</si>
  <si>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</si>
  <si>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</si>
  <si>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</si>
  <si>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</si>
  <si>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</si>
  <si>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</si>
  <si>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</si>
  <si>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</si>
  <si>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</si>
  <si>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</si>
  <si>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</si>
  <si>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</si>
  <si>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</si>
  <si>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</si>
  <si>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</si>
  <si>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</si>
  <si>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</si>
  <si>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</si>
  <si>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</si>
  <si>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</si>
  <si>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</si>
  <si>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</si>
  <si>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</si>
  <si>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</si>
  <si>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</si>
  <si>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</si>
  <si>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</si>
  <si>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</si>
  <si>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</si>
  <si>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</si>
  <si>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</si>
  <si>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</si>
  <si>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</si>
  <si>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</si>
  <si>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</si>
  <si>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</si>
  <si>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</si>
  <si>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</si>
  <si>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</si>
  <si>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</si>
  <si>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</si>
  <si>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</si>
  <si>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</si>
  <si>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</si>
  <si>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</si>
  <si>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</si>
  <si>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</si>
  <si>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</si>
  <si>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</si>
  <si>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</si>
  <si>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</si>
  <si>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</si>
  <si>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</si>
  <si>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</si>
  <si>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</si>
  <si>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</si>
  <si>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</si>
  <si>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</si>
  <si>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</si>
  <si>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</si>
  <si>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</si>
  <si>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</si>
  <si>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</si>
  <si>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</si>
  <si>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</si>
  <si>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</si>
  <si>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</si>
  <si>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</si>
  <si>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</si>
  <si>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</si>
  <si>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</si>
  <si>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</si>
  <si>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</si>
  <si>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</si>
  <si>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</si>
  <si>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</si>
  <si>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</si>
  <si>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</si>
  <si>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</si>
  <si>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</si>
  <si>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</si>
  <si>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</si>
  <si>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</si>
  <si>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</si>
  <si>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</si>
  <si>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</si>
  <si>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</si>
  <si>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</si>
  <si>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</si>
  <si>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</si>
  <si>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</si>
  <si>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</si>
  <si>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</si>
  <si>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</si>
  <si>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</si>
  <si>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</si>
  <si>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</si>
  <si>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</si>
  <si>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</si>
  <si>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</si>
  <si>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</si>
  <si>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</si>
  <si>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</si>
  <si>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</si>
  <si>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</si>
  <si>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</si>
  <si>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</si>
  <si>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</si>
  <si>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</si>
  <si>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</si>
  <si>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</si>
  <si>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</si>
  <si>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</si>
  <si>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</si>
  <si>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</si>
  <si>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</si>
  <si>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</si>
  <si>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</si>
  <si>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</si>
  <si>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</si>
  <si>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</si>
  <si>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</si>
  <si>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</si>
  <si>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</si>
  <si>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</si>
  <si>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</si>
  <si>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</si>
  <si>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</si>
  <si>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</si>
  <si>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</si>
  <si>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</si>
  <si>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</si>
  <si>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</si>
  <si>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</si>
  <si>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</si>
  <si>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</si>
  <si>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</si>
  <si>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</si>
  <si>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</si>
  <si>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</si>
  <si>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</si>
  <si>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</si>
  <si>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</si>
  <si>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</si>
  <si>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</si>
  <si>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</si>
  <si>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</si>
  <si>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</si>
  <si>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</si>
  <si>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</si>
  <si>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</si>
  <si>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</si>
  <si>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</si>
  <si>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</si>
  <si>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</si>
  <si>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</si>
  <si>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</si>
  <si>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</si>
  <si>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</si>
  <si>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</si>
  <si>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</si>
  <si>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</si>
  <si>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</si>
  <si>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</si>
  <si>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</si>
  <si>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</si>
  <si>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</si>
  <si>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</si>
  <si>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</si>
  <si>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</si>
  <si>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</si>
  <si>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</si>
  <si>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</si>
  <si>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</si>
  <si>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</si>
  <si>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</si>
  <si>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</si>
  <si>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</si>
  <si>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</si>
  <si>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</si>
  <si>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</si>
  <si>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</si>
  <si>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</si>
  <si>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</si>
  <si>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</si>
  <si>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</si>
  <si>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</si>
  <si>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</si>
  <si>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</si>
  <si>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</si>
  <si>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</si>
  <si>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</si>
  <si>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</si>
  <si>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</si>
  <si>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</si>
  <si>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</si>
  <si>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</si>
  <si>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</si>
  <si>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</si>
  <si>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</si>
  <si>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</si>
  <si>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</si>
  <si>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</si>
  <si>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</si>
  <si>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</si>
  <si>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</si>
  <si>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</si>
  <si>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</si>
  <si>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</si>
  <si>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</si>
  <si>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</si>
  <si>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</si>
  <si>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</si>
  <si>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</si>
  <si>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</si>
  <si>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</si>
  <si>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</si>
  <si>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</si>
  <si>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</si>
  <si>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</si>
  <si>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</si>
  <si>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</si>
  <si>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</si>
  <si>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</si>
  <si>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</si>
  <si>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</si>
  <si>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</si>
  <si>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</si>
  <si>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</si>
  <si>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</si>
  <si>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</si>
  <si>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</si>
  <si>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</si>
  <si>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</si>
  <si>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</si>
  <si>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</si>
  <si>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</si>
  <si>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</si>
  <si>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</si>
  <si>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</si>
  <si>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</si>
  <si>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</si>
  <si>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</si>
  <si>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</si>
  <si>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</si>
  <si>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</si>
  <si>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</si>
  <si>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</si>
  <si>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</si>
  <si>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</si>
  <si>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</si>
  <si>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</si>
  <si>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</si>
  <si>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</si>
  <si>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</si>
  <si>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</si>
  <si>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</si>
  <si>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</si>
  <si>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</si>
  <si>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</si>
  <si>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</si>
  <si>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</si>
  <si>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</si>
  <si>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</si>
  <si>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</si>
  <si>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</si>
  <si>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</si>
  <si>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</si>
  <si>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</si>
  <si>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</si>
  <si>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</si>
  <si>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</si>
  <si>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</si>
  <si>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</si>
  <si>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</si>
  <si>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</si>
  <si>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</si>
  <si>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</si>
  <si>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</si>
  <si>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</si>
  <si>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</si>
  <si>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</si>
  <si>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</si>
  <si>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</si>
  <si>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</si>
  <si>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</si>
  <si>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</si>
  <si>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</si>
  <si>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</si>
  <si>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</si>
  <si>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</si>
  <si>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</si>
  <si>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</si>
  <si>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</si>
  <si>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</si>
  <si>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</si>
  <si>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</si>
  <si>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</si>
  <si>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</si>
  <si>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</si>
  <si>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</si>
  <si>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</si>
  <si>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</si>
  <si>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</si>
  <si>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</si>
  <si>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</si>
  <si>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</si>
  <si>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</si>
  <si>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</si>
  <si>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</si>
  <si>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</si>
  <si>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</si>
  <si>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</si>
  <si>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</si>
  <si>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</si>
  <si>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</si>
  <si>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</si>
  <si>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</si>
  <si>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</si>
  <si>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</si>
  <si>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</si>
  <si>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</si>
  <si>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</si>
  <si>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</si>
  <si>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</si>
  <si>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</si>
  <si>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</si>
  <si>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</si>
  <si>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</si>
  <si>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</si>
  <si>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</si>
  <si>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</si>
  <si>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</si>
  <si>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</si>
  <si>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</si>
  <si>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</si>
  <si>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</si>
  <si>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</si>
  <si>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</si>
  <si>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</si>
  <si>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</si>
  <si>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</si>
  <si>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</si>
  <si>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</si>
  <si>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</si>
  <si>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</si>
  <si>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</si>
  <si>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</si>
  <si>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</si>
  <si>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</si>
  <si>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</si>
  <si>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</si>
  <si>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</si>
  <si>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</si>
  <si>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</si>
  <si>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</si>
  <si>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</si>
  <si>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</si>
  <si>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</si>
  <si>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</si>
  <si>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</si>
  <si>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</si>
  <si>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</si>
  <si>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</si>
  <si>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</si>
  <si>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</si>
  <si>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</si>
  <si>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</si>
  <si>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</si>
  <si>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</si>
  <si>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</si>
  <si>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</si>
  <si>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</si>
  <si>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</si>
  <si>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</si>
  <si>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</si>
  <si>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</si>
  <si>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</si>
  <si>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</si>
  <si>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</si>
  <si>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</si>
  <si>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</si>
  <si>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</si>
  <si>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</si>
  <si>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</si>
  <si>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</si>
  <si>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</si>
  <si>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</si>
  <si>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</si>
  <si>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</si>
  <si>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</si>
  <si>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</si>
  <si>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</si>
  <si>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</si>
  <si>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</si>
  <si>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</si>
  <si>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</si>
  <si>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</si>
  <si>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</si>
  <si>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</si>
  <si>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</si>
  <si>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</si>
  <si>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</si>
  <si>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</si>
  <si>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</si>
  <si>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</si>
  <si>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</si>
  <si>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</si>
  <si>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</si>
  <si>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</si>
  <si>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</si>
  <si>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</si>
  <si>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</si>
  <si>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</si>
  <si>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</si>
  <si>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</si>
  <si>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</si>
  <si>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</si>
  <si>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</si>
  <si>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</si>
  <si>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</si>
  <si>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</si>
  <si>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</si>
  <si>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</si>
  <si>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</si>
  <si>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</si>
  <si>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</si>
  <si>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</si>
  <si>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</si>
  <si>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</si>
  <si>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</si>
  <si>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</si>
  <si>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</si>
  <si>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</si>
  <si>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</si>
  <si>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</si>
  <si>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</si>
  <si>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</si>
  <si>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</si>
  <si>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</si>
  <si>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</si>
  <si>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</si>
  <si>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</si>
  <si>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</si>
  <si>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</si>
  <si>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</si>
  <si>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</si>
  <si>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</si>
  <si>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</si>
  <si>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</si>
  <si>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</si>
  <si>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</si>
  <si>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</si>
  <si>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</si>
  <si>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</si>
  <si>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</si>
  <si>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</si>
  <si>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</si>
  <si>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</si>
  <si>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</si>
  <si>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</si>
  <si>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</si>
  <si>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</si>
  <si>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</si>
  <si>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</si>
  <si>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</si>
  <si>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</si>
  <si>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</si>
  <si>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</si>
  <si>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</si>
  <si>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</si>
  <si>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</si>
  <si>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</si>
  <si>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</si>
  <si>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</si>
  <si>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</si>
  <si>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</si>
  <si>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</si>
  <si>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</si>
  <si>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</si>
  <si>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</si>
  <si>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</si>
  <si>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</si>
  <si>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</si>
  <si>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</si>
  <si>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</si>
  <si>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</si>
  <si>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</si>
  <si>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</si>
  <si>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</si>
  <si>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</si>
  <si>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</si>
  <si>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</si>
  <si>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</si>
  <si>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</si>
  <si>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</si>
  <si>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</si>
  <si>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</si>
  <si>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</si>
  <si>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</si>
  <si>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</si>
  <si>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</si>
  <si>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</si>
  <si>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</si>
  <si>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</si>
  <si>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</si>
  <si>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</si>
  <si>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</si>
  <si>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</si>
  <si>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</si>
  <si>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</si>
  <si>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</si>
  <si>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</si>
  <si>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</si>
  <si>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</si>
  <si>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</si>
  <si>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</si>
  <si>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</si>
  <si>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</si>
  <si>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</si>
  <si>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</si>
  <si>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</si>
  <si>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</si>
  <si>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</si>
  <si>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</si>
  <si>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</si>
  <si>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</si>
  <si>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</si>
  <si>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</si>
  <si>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</si>
  <si>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</si>
  <si>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</si>
  <si>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</si>
  <si>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</si>
  <si>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</si>
  <si>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</si>
  <si>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</si>
  <si>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</si>
  <si>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</si>
  <si>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</si>
  <si>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</si>
  <si>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</si>
  <si>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</si>
  <si>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</si>
  <si>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</si>
  <si>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</si>
  <si>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</si>
  <si>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</si>
  <si>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</si>
  <si>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</si>
  <si>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</si>
  <si>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</si>
  <si>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</si>
  <si>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</si>
  <si>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</si>
  <si>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</si>
  <si>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</si>
  <si>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</si>
  <si>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</si>
  <si>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</si>
  <si>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</si>
  <si>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</si>
  <si>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</si>
  <si>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</si>
  <si>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</si>
  <si>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</si>
  <si>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</si>
  <si>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</si>
  <si>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</si>
  <si>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</si>
  <si>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</si>
  <si>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</si>
  <si>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</si>
  <si>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</si>
  <si>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</si>
  <si>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</si>
  <si>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</si>
  <si>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</si>
  <si>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</si>
  <si>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</si>
  <si>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</si>
  <si>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</si>
  <si>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</si>
  <si>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</si>
  <si>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</si>
  <si>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</si>
  <si>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</si>
  <si>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</si>
  <si>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</si>
  <si>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</si>
  <si>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</si>
  <si>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</si>
  <si>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</si>
  <si>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</si>
  <si>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</si>
  <si>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</si>
  <si>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</si>
  <si>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</si>
  <si>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</si>
  <si>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</si>
  <si>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</si>
  <si>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</si>
  <si>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</si>
  <si>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</si>
  <si>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</si>
  <si>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</si>
  <si>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</si>
  <si>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</si>
  <si>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</si>
  <si>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</si>
  <si>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</si>
  <si>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</si>
  <si>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</si>
  <si>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</si>
  <si>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</si>
  <si>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</si>
  <si>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</si>
  <si>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</si>
  <si>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</si>
  <si>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</si>
  <si>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</si>
  <si>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</si>
  <si>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</si>
  <si>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</si>
  <si>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</si>
  <si>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</si>
  <si>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</si>
  <si>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</si>
  <si>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</si>
  <si>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</si>
  <si>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</si>
  <si>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</si>
  <si>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</si>
  <si>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</si>
  <si>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</si>
  <si>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</si>
  <si>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</si>
  <si>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</si>
  <si>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</si>
  <si>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</si>
  <si>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</si>
  <si>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</si>
  <si>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</si>
  <si>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</si>
  <si>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</si>
  <si>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</si>
  <si>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</si>
  <si>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</si>
  <si>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</si>
  <si>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</si>
  <si>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</si>
  <si>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</si>
  <si>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</si>
  <si>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</si>
  <si>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</si>
  <si>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</si>
  <si>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</si>
  <si>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</si>
  <si>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</si>
  <si>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</si>
  <si>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</si>
  <si>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</si>
  <si>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</si>
  <si>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</si>
  <si>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</si>
  <si>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</si>
  <si>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</si>
  <si>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</si>
  <si>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</si>
  <si>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</si>
  <si>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</si>
  <si>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</si>
  <si>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</si>
  <si>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</si>
  <si>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</si>
  <si>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</si>
  <si>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</si>
  <si>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</si>
  <si>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</si>
  <si>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</si>
  <si>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</si>
  <si>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</si>
  <si>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</si>
  <si>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</si>
  <si>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</si>
  <si>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</si>
  <si>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</si>
  <si>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</si>
  <si>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</si>
  <si>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</si>
  <si>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</si>
  <si>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</si>
  <si>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</si>
  <si>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</si>
  <si>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</si>
  <si>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</si>
  <si>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</si>
  <si>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</si>
  <si>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</si>
  <si>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</si>
  <si>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</si>
  <si>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</si>
  <si>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</si>
  <si>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</si>
  <si>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</si>
  <si>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</si>
  <si>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</si>
  <si>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</si>
  <si>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</si>
  <si>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</si>
  <si>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</si>
  <si>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</si>
  <si>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</si>
  <si>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</si>
  <si>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</si>
  <si>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</si>
  <si>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</si>
  <si>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</si>
  <si>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</si>
  <si>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</si>
  <si>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</si>
  <si>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</si>
  <si>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</si>
  <si>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</si>
  <si>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</si>
  <si>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</si>
  <si>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</si>
  <si>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</si>
  <si>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</si>
  <si>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</si>
  <si>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</si>
  <si>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</si>
  <si>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</si>
  <si>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</si>
  <si>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</si>
  <si>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</si>
  <si>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</si>
  <si>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</si>
  <si>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</si>
  <si>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</si>
  <si>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</si>
  <si>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</si>
  <si>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</si>
  <si>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</si>
  <si>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</si>
  <si>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</si>
  <si>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</si>
  <si>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</si>
  <si>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</si>
  <si>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</si>
  <si>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</si>
  <si>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</si>
  <si>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</si>
  <si>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</si>
  <si>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</si>
  <si>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</si>
  <si>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</si>
  <si>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</si>
  <si>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</si>
  <si>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</si>
  <si>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</si>
  <si>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</si>
  <si>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</si>
  <si>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</si>
  <si>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</si>
  <si>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</si>
  <si>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</si>
  <si>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</si>
  <si>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</si>
  <si>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</si>
  <si>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</si>
  <si>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</si>
  <si>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</si>
  <si>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</si>
  <si>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</si>
  <si>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</si>
  <si>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</si>
  <si>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</si>
  <si>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</si>
  <si>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</si>
  <si>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</si>
  <si>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</si>
  <si>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</si>
  <si>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</si>
  <si>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</si>
  <si>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</si>
  <si>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</si>
  <si>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</si>
  <si>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</si>
  <si>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</si>
  <si>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</si>
  <si>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</si>
  <si>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</si>
  <si>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</si>
  <si>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</si>
  <si>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</si>
  <si>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</si>
  <si>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</si>
  <si>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</si>
  <si>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</si>
  <si>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</si>
  <si>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</si>
  <si>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</si>
  <si>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</si>
  <si>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</si>
  <si>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</si>
  <si>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</si>
  <si>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</si>
  <si>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</si>
  <si>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</si>
  <si>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</si>
  <si>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</si>
  <si>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</si>
  <si>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</si>
  <si>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</si>
  <si>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</si>
  <si>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</si>
  <si>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</si>
  <si>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</si>
  <si>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</si>
  <si>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</si>
  <si>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</si>
  <si>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</si>
  <si>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</si>
  <si>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</si>
  <si>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</si>
  <si>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</si>
  <si>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</si>
  <si>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</si>
  <si>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</si>
  <si>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</si>
  <si>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</si>
  <si>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</si>
  <si>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</si>
  <si>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</si>
  <si>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</si>
  <si>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</si>
  <si>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</si>
  <si>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</si>
  <si>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</si>
  <si>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</si>
  <si>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</si>
  <si>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</si>
  <si>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</si>
  <si>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</si>
  <si>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</si>
  <si>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</si>
  <si>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</si>
  <si>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</si>
  <si>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</si>
  <si>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</si>
  <si>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</si>
  <si>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</si>
  <si>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</si>
  <si>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</si>
  <si>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</si>
  <si>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</si>
  <si>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</si>
  <si>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</si>
  <si>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</si>
  <si>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</si>
  <si>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</si>
  <si>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</si>
  <si>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</si>
  <si>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</si>
  <si>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</si>
  <si>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</si>
  <si>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</si>
  <si>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</si>
  <si>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</si>
  <si>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</si>
  <si>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</si>
  <si>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</si>
  <si>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</si>
  <si>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</si>
  <si>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</si>
  <si>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</si>
  <si>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</si>
  <si>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</si>
  <si>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</si>
  <si>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</si>
  <si>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</si>
  <si>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</si>
  <si>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</si>
  <si>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</si>
  <si>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</si>
  <si>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</si>
  <si>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</si>
  <si>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</si>
  <si>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</si>
  <si>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</si>
  <si>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</si>
  <si>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</si>
  <si>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</si>
  <si>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</si>
  <si>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</si>
  <si>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</si>
  <si>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</si>
  <si>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</si>
  <si>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</si>
  <si>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</si>
  <si>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</si>
  <si>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</si>
  <si>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</si>
  <si>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</si>
  <si>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</si>
  <si>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</si>
  <si>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</si>
  <si>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</si>
  <si>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</si>
  <si>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</si>
  <si>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</si>
  <si>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</si>
  <si>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</si>
  <si>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</si>
  <si>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</si>
  <si>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</si>
  <si>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</si>
  <si>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</si>
  <si>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</si>
  <si>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</si>
  <si>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</si>
  <si>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</si>
  <si>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</si>
  <si>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</si>
  <si>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</si>
  <si>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</si>
  <si>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</si>
  <si>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</si>
  <si>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</si>
  <si>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</si>
  <si>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</si>
  <si>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</si>
  <si>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</si>
  <si>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</si>
  <si>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</si>
  <si>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</si>
  <si>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</si>
  <si>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</si>
  <si>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</si>
  <si>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</si>
  <si>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</si>
  <si>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</si>
  <si>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</si>
  <si>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</si>
  <si>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</si>
  <si>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</si>
  <si>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</si>
  <si>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</si>
  <si>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</si>
  <si>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</si>
  <si>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</si>
  <si>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</si>
  <si>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</si>
  <si>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</si>
  <si>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</si>
  <si>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</si>
  <si>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</si>
  <si>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</si>
  <si>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</si>
  <si>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</si>
  <si>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</si>
  <si>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</si>
  <si>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</si>
  <si>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</si>
  <si>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</si>
  <si>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</si>
  <si>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</si>
  <si>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</si>
  <si>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</si>
  <si>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</si>
  <si>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</si>
  <si>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</si>
  <si>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</si>
  <si>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</si>
  <si>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</si>
  <si>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</si>
  <si>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</si>
  <si>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</si>
  <si>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</si>
  <si>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</si>
  <si>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</si>
  <si>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</si>
  <si>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</si>
  <si>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</si>
  <si>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</si>
  <si>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</si>
  <si>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</si>
  <si>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</si>
  <si>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</si>
  <si>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</si>
  <si>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</si>
  <si>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</si>
  <si>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</si>
  <si>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</si>
  <si>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</si>
  <si>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</si>
  <si>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</si>
  <si>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</si>
  <si>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</si>
  <si>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</si>
  <si>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</si>
  <si>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</si>
  <si>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</si>
  <si>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</si>
  <si>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</si>
  <si>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</si>
  <si>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</si>
  <si>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</si>
  <si>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</si>
  <si>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</si>
  <si>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</si>
  <si>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</si>
  <si>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</si>
  <si>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</si>
  <si>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</si>
  <si>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</si>
  <si>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</si>
  <si>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</si>
  <si>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</si>
  <si>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</si>
  <si>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</si>
  <si>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</si>
  <si>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</si>
  <si>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</si>
  <si>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</si>
  <si>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</si>
  <si>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</si>
  <si>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</si>
  <si>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</si>
  <si>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</si>
  <si>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</si>
  <si>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</si>
  <si>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</si>
  <si>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</si>
  <si>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</si>
  <si>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</si>
  <si>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</si>
  <si>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</si>
  <si>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</si>
  <si>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</si>
  <si>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</si>
  <si>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</si>
  <si>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</si>
  <si>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</si>
  <si>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</si>
  <si>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</si>
  <si>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</si>
  <si>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</si>
  <si>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</si>
  <si>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</si>
  <si>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</si>
  <si>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</si>
  <si>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</si>
  <si>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</si>
  <si>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</si>
  <si>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</si>
  <si>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</si>
  <si>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</si>
  <si>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</si>
  <si>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</si>
  <si>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</si>
  <si>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</si>
  <si>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</si>
  <si>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</si>
  <si>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</si>
  <si>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</si>
  <si>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</si>
  <si>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</si>
  <si>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</si>
  <si>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</si>
  <si>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</si>
  <si>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</si>
  <si>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</si>
  <si>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</si>
  <si>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</si>
  <si>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</si>
  <si>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</si>
  <si>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</si>
  <si>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</si>
  <si>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</si>
  <si>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</si>
  <si>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</si>
  <si>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</si>
  <si>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</si>
  <si>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</si>
  <si>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</si>
  <si>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</si>
  <si>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</si>
  <si>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</si>
  <si>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</si>
  <si>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</si>
  <si>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</si>
  <si>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</si>
  <si>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</si>
  <si>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</si>
  <si>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</si>
  <si>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</si>
  <si>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</si>
  <si>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</si>
  <si>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</si>
  <si>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</si>
  <si>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</si>
  <si>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</si>
  <si>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</si>
  <si>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</si>
  <si>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</si>
  <si>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</si>
  <si>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</si>
  <si>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</si>
  <si>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</si>
  <si>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</si>
  <si>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</si>
  <si>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</si>
  <si>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</si>
  <si>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</si>
  <si>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</si>
  <si>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</si>
  <si>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</si>
  <si>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</si>
  <si>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</si>
  <si>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</si>
  <si>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</si>
  <si>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</si>
  <si>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</si>
  <si>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</si>
  <si>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</si>
  <si>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</si>
  <si>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</si>
  <si>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</si>
  <si>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</si>
  <si>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</si>
  <si>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</si>
  <si>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</si>
  <si>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</si>
  <si>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</si>
  <si>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</si>
  <si>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</si>
  <si>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</si>
  <si>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</si>
  <si>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</si>
  <si>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</si>
  <si>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</si>
  <si>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</si>
  <si>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</si>
  <si>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</si>
  <si>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</si>
  <si>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</si>
  <si>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</si>
  <si>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</si>
  <si>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</si>
  <si>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</si>
  <si>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</si>
  <si>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</si>
  <si>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</si>
  <si>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</si>
  <si>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</si>
  <si>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</si>
  <si>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</si>
  <si>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</si>
  <si>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</si>
  <si>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</si>
  <si>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</si>
  <si>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</si>
  <si>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</si>
  <si>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</si>
  <si>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</si>
  <si>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</si>
  <si>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</si>
  <si>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</si>
  <si>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</si>
  <si>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</si>
  <si>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</si>
  <si>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</si>
  <si>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</si>
  <si>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</si>
  <si>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</si>
  <si>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</si>
  <si>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</si>
  <si>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</si>
  <si>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</si>
  <si>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</si>
  <si>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</si>
  <si>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</si>
  <si>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</si>
  <si>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</si>
  <si>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</si>
  <si>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</si>
  <si>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</si>
  <si>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</si>
  <si>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</si>
  <si>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</si>
  <si>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</si>
  <si>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</si>
  <si>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</si>
  <si>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</si>
  <si>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</si>
  <si>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</si>
  <si>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</si>
  <si>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</si>
  <si>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</si>
  <si>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</si>
  <si>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</si>
  <si>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</si>
  <si>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</si>
  <si>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</si>
  <si>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</si>
  <si>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</si>
  <si>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</si>
  <si>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</si>
  <si>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</si>
  <si>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</si>
  <si>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</si>
  <si>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</si>
  <si>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</si>
  <si>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</si>
  <si>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</si>
  <si>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</si>
  <si>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</si>
  <si>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</si>
  <si>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</si>
  <si>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</si>
  <si>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</si>
  <si>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</si>
  <si>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</si>
  <si>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</si>
  <si>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</si>
  <si>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</si>
  <si>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</si>
  <si>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</si>
  <si>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</si>
  <si>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</si>
  <si>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</si>
  <si>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</si>
  <si>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</si>
  <si>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</si>
  <si>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</si>
  <si>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</si>
  <si>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</si>
  <si>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</si>
  <si>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</si>
  <si>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</si>
  <si>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</si>
  <si>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</si>
  <si>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</si>
  <si>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</si>
  <si>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</si>
  <si>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</si>
  <si>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</si>
  <si>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</si>
  <si>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</si>
  <si>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</si>
  <si>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</si>
  <si>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</si>
  <si>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</si>
  <si>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</si>
  <si>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</si>
  <si>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</si>
  <si>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</si>
  <si>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</si>
  <si>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</si>
  <si>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</si>
  <si>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</si>
  <si>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</si>
  <si>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</si>
  <si>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</si>
  <si>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</si>
  <si>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</si>
  <si>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</si>
  <si>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</si>
  <si>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</si>
  <si>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</si>
  <si>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</si>
  <si>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</si>
  <si>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</si>
  <si>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</si>
  <si>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</si>
  <si>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</si>
  <si>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</si>
  <si>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</si>
  <si>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</si>
  <si>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</si>
  <si>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</si>
  <si>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</si>
  <si>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</si>
  <si>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</si>
  <si>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</si>
  <si>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</si>
  <si>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</si>
  <si>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</si>
  <si>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</si>
  <si>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</si>
  <si>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</si>
  <si>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</si>
  <si>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</si>
  <si>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</si>
  <si>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</si>
  <si>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</si>
  <si>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</si>
  <si>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</si>
  <si>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</si>
  <si>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</si>
  <si>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</si>
  <si>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</si>
  <si>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</si>
  <si>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</si>
  <si>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</si>
  <si>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</si>
  <si>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</si>
  <si>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</si>
  <si>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</si>
  <si>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</si>
  <si>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</si>
  <si>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</si>
  <si>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</si>
  <si>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</si>
  <si>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</si>
  <si>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</si>
  <si>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</si>
  <si>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</si>
  <si>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</si>
  <si>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</si>
  <si>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</si>
  <si>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</si>
  <si>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</si>
  <si>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</si>
  <si>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</si>
  <si>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</si>
  <si>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</si>
  <si>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</si>
  <si>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</si>
  <si>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</si>
  <si>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</si>
  <si>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</si>
  <si>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</si>
  <si>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</si>
  <si>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</si>
  <si>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</si>
  <si>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</si>
  <si>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</si>
  <si>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</si>
  <si>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</si>
  <si>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</si>
  <si>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</si>
  <si>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</si>
  <si>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</si>
  <si>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</si>
  <si>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</si>
  <si>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</si>
  <si>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</si>
  <si>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</si>
  <si>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</si>
  <si>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</si>
  <si>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</si>
  <si>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</si>
  <si>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</si>
  <si>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</si>
  <si>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</si>
  <si>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</si>
  <si>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</si>
  <si>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</si>
  <si>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</si>
  <si>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</si>
  <si>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</si>
  <si>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</si>
  <si>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</si>
  <si>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</si>
  <si>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</si>
  <si>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</si>
  <si>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</si>
  <si>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</si>
  <si>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</si>
  <si>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</si>
  <si>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</si>
  <si>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</si>
  <si>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</si>
  <si>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</si>
  <si>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</si>
  <si>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</si>
  <si>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</si>
  <si>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</si>
  <si>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</si>
  <si>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</si>
  <si>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</si>
  <si>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</si>
  <si>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</si>
  <si>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</si>
  <si>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</si>
  <si>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</si>
  <si>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</si>
  <si>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</si>
  <si>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</si>
  <si>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</si>
  <si>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</si>
  <si>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</si>
  <si>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</si>
  <si>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</si>
  <si>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</si>
  <si>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</si>
  <si>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</si>
  <si>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</si>
  <si>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</si>
  <si>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</si>
  <si>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</si>
  <si>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</si>
  <si>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</si>
  <si>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</si>
  <si>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</si>
  <si>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</si>
  <si>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</si>
  <si>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</si>
  <si>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</si>
  <si>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</si>
  <si>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</si>
  <si>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</si>
  <si>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</si>
  <si>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</si>
  <si>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</si>
  <si>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</si>
  <si>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</si>
  <si>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</si>
  <si>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</si>
  <si>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</si>
  <si>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</si>
  <si>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</si>
  <si>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</si>
  <si>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</si>
  <si>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</si>
  <si>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</si>
  <si>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</si>
  <si>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</si>
  <si>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</si>
  <si>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</si>
  <si>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</si>
  <si>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</si>
  <si>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</si>
  <si>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</si>
  <si>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</si>
  <si>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</si>
  <si>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</si>
  <si>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</si>
  <si>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</si>
  <si>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</si>
  <si>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</si>
  <si>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</si>
  <si>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</si>
  <si>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</si>
  <si>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</si>
  <si>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</si>
  <si>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</si>
  <si>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</si>
  <si>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</si>
  <si>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</si>
  <si>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</si>
  <si>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</si>
  <si>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</si>
  <si>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</si>
  <si>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</si>
  <si>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</si>
  <si>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</si>
  <si>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</si>
  <si>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</si>
  <si>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</si>
  <si>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</si>
  <si>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</si>
  <si>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</si>
  <si>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</si>
  <si>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</si>
  <si>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</si>
  <si>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</si>
  <si>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</si>
  <si>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</si>
  <si>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</si>
  <si>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</si>
  <si>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</si>
  <si>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</si>
  <si>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</si>
  <si>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</si>
  <si>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</si>
  <si>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</si>
  <si>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</si>
  <si>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</si>
  <si>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</si>
  <si>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</si>
  <si>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</si>
  <si>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</si>
  <si>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</si>
  <si>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</si>
  <si>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</si>
  <si>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</si>
  <si>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</si>
  <si>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</si>
  <si>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</si>
  <si>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</si>
  <si>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</si>
  <si>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</si>
  <si>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</si>
  <si>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</si>
  <si>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</si>
  <si>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</si>
  <si>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</si>
  <si>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</si>
  <si>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</si>
  <si>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</si>
  <si>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</si>
  <si>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</si>
  <si>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</si>
  <si>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</si>
  <si>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</si>
  <si>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</si>
  <si>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</si>
  <si>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</si>
  <si>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</si>
  <si>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</si>
  <si>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</si>
  <si>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</si>
  <si>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</si>
  <si>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</si>
  <si>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</si>
  <si>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</si>
  <si>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</si>
  <si>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</si>
  <si>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</si>
  <si>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</si>
  <si>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</si>
  <si>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</si>
  <si>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</si>
  <si>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</si>
  <si>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</si>
  <si>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</si>
  <si>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</si>
  <si>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</si>
  <si>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</si>
  <si>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</si>
  <si>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</si>
  <si>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</si>
  <si>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</si>
  <si>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</si>
  <si>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</si>
  <si>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</si>
  <si>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</si>
  <si>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</si>
  <si>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</si>
  <si>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</si>
  <si>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</si>
  <si>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</si>
  <si>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</si>
  <si>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</si>
  <si>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</si>
  <si>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</si>
  <si>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</si>
  <si>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</si>
  <si>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</si>
  <si>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</si>
  <si>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</si>
  <si>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</si>
  <si>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</si>
  <si>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</si>
  <si>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</si>
  <si>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</si>
  <si>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</si>
  <si>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</si>
  <si>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</si>
  <si>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</si>
  <si>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</si>
  <si>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</si>
  <si>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</si>
  <si>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</si>
  <si>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</si>
  <si>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</si>
  <si>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</si>
  <si>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</si>
  <si>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</si>
  <si>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</si>
  <si>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</si>
  <si>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</si>
  <si>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</si>
  <si>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</si>
  <si>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</si>
  <si>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</si>
  <si>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</si>
  <si>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</si>
  <si>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</si>
  <si>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</si>
  <si>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</si>
  <si>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</si>
  <si>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</si>
  <si>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</si>
  <si>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</si>
  <si>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</si>
  <si>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</si>
  <si>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</si>
  <si>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</si>
  <si>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</si>
  <si>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</si>
  <si>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</si>
  <si>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</si>
  <si>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</si>
  <si>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</si>
  <si>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</si>
  <si>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</si>
  <si>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</si>
  <si>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</si>
  <si>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</si>
  <si>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</si>
  <si>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</si>
  <si>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</si>
  <si>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</si>
  <si>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</si>
  <si>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</si>
  <si>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</si>
  <si>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</si>
  <si>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</si>
  <si>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</si>
  <si>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</si>
  <si>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</si>
  <si>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</si>
  <si>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</si>
  <si>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</si>
  <si>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</si>
  <si>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</si>
  <si>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</si>
  <si>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</si>
  <si>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</si>
  <si>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</si>
  <si>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</si>
  <si>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</si>
  <si>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</si>
  <si>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</si>
  <si>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</si>
  <si>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</si>
  <si>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</si>
  <si>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</si>
  <si>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</si>
  <si>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</si>
  <si>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</si>
  <si>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</si>
  <si>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</si>
  <si>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</si>
  <si>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</si>
  <si>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</si>
  <si>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</si>
  <si>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</si>
  <si>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</si>
  <si>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</si>
  <si>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</si>
  <si>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</si>
  <si>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</si>
  <si>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</si>
  <si>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</si>
  <si>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</si>
  <si>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</si>
  <si>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</si>
  <si>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</si>
  <si>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</si>
  <si>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</si>
  <si>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</si>
  <si>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</si>
  <si>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</si>
  <si>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</si>
  <si>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</si>
  <si>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</si>
  <si>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</si>
  <si>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</si>
  <si>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</si>
  <si>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</si>
  <si>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</si>
  <si>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</si>
  <si>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</si>
  <si>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</si>
  <si>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</si>
  <si>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</si>
  <si>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</si>
  <si>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</si>
  <si>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</si>
  <si>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</si>
  <si>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</si>
  <si>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</si>
  <si>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</si>
  <si>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</si>
  <si>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</si>
  <si>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</si>
  <si>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</si>
  <si>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</si>
  <si>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</si>
  <si>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</si>
  <si>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</si>
  <si>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</si>
  <si>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</si>
  <si>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</si>
  <si>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</si>
  <si>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</si>
  <si>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</si>
  <si>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</si>
  <si>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</si>
  <si>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</si>
  <si>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</si>
  <si>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</si>
  <si>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</si>
  <si>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</si>
  <si>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</si>
  <si>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</si>
  <si>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</si>
  <si>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</si>
  <si>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</si>
  <si>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</si>
  <si>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</si>
  <si>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</si>
  <si>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</si>
  <si>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</si>
  <si>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</si>
  <si>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</si>
  <si>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</si>
  <si>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</si>
  <si>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</si>
  <si>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</si>
  <si>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</si>
  <si>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</si>
  <si>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</si>
  <si>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</si>
  <si>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</si>
  <si>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</si>
  <si>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</si>
  <si>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</si>
  <si>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</si>
  <si>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</si>
  <si>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</si>
  <si>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</si>
  <si>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</si>
  <si>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</si>
  <si>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</si>
  <si>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</si>
  <si>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</si>
  <si>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</si>
  <si>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</si>
  <si>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</si>
  <si>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</si>
  <si>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</si>
  <si>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</si>
  <si>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</si>
  <si>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</si>
  <si>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</si>
  <si>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</si>
  <si>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</si>
  <si>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</si>
  <si>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</si>
  <si>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</si>
  <si>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</si>
  <si>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</si>
  <si>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</si>
  <si>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</si>
  <si>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</si>
  <si>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</si>
  <si>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</si>
  <si>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</si>
  <si>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</si>
  <si>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</si>
  <si>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</si>
  <si>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</si>
  <si>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</si>
  <si>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</si>
  <si>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</si>
  <si>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</si>
  <si>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</si>
  <si>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</si>
  <si>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</si>
  <si>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</si>
  <si>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</si>
  <si>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</si>
  <si>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</si>
  <si>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</si>
  <si>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</si>
  <si>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</si>
  <si>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</si>
  <si>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</si>
  <si>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</si>
  <si>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</si>
  <si>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</si>
  <si>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</si>
  <si>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</si>
  <si>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</si>
  <si>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</si>
  <si>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</si>
  <si>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</si>
  <si>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</si>
  <si>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</si>
  <si>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</si>
  <si>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</si>
  <si>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</si>
  <si>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</si>
  <si>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</si>
  <si>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</si>
  <si>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</si>
  <si>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</si>
  <si>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</si>
  <si>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</si>
  <si>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</si>
  <si>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</si>
  <si>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</si>
  <si>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</si>
  <si>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</si>
  <si>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</si>
  <si>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</si>
  <si>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</si>
  <si>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</si>
  <si>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</si>
  <si>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</si>
  <si>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</si>
  <si>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</si>
  <si>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</si>
  <si>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</si>
  <si>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</si>
  <si>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</si>
  <si>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</si>
  <si>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</si>
  <si>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</si>
  <si>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</si>
  <si>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</si>
  <si>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</si>
  <si>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</si>
  <si>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</si>
  <si>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</si>
  <si>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</si>
  <si>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</si>
  <si>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</si>
  <si>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</si>
  <si>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</si>
  <si>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</si>
  <si>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</si>
  <si>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</si>
  <si>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</si>
  <si>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</si>
  <si>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</si>
  <si>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</si>
  <si>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</si>
  <si>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</si>
  <si>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</si>
  <si>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</si>
  <si>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</si>
  <si>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</si>
  <si>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</si>
  <si>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</si>
  <si>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</si>
  <si>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</si>
  <si>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</si>
  <si>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</si>
  <si>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</si>
  <si>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</si>
  <si>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</si>
  <si>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</si>
  <si>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</si>
  <si>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</si>
  <si>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</si>
  <si>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</si>
  <si>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</si>
  <si>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</si>
  <si>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</si>
  <si>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</si>
  <si>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</si>
  <si>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</si>
  <si>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</si>
  <si>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</si>
  <si>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</si>
  <si>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</si>
  <si>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</si>
  <si>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</si>
  <si>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</si>
  <si>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</si>
  <si>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</si>
  <si>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</si>
  <si>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</si>
  <si>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</si>
  <si>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</si>
  <si>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</si>
  <si>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</si>
  <si>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</si>
  <si>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</si>
  <si>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</si>
  <si>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</si>
  <si>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</si>
  <si>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</si>
  <si>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</si>
  <si>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</si>
  <si>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</si>
  <si>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</si>
  <si>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</si>
  <si>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</si>
  <si>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</si>
  <si>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</si>
  <si>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</si>
  <si>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</si>
  <si>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</si>
  <si>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</si>
  <si>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</si>
  <si>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</si>
  <si>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</si>
  <si>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</si>
  <si>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</si>
  <si>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</si>
  <si>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</si>
  <si>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</si>
  <si>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</si>
  <si>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</si>
  <si>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</si>
  <si>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</si>
  <si>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</si>
  <si>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</si>
  <si>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</si>
  <si>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</si>
  <si>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</si>
  <si>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</si>
  <si>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</si>
  <si>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</si>
  <si>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</si>
  <si>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</si>
  <si>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</si>
  <si>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</si>
  <si>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</si>
  <si>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</si>
  <si>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</si>
  <si>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</si>
  <si>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</si>
  <si>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</si>
  <si>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</si>
  <si>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</si>
  <si>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</si>
  <si>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</si>
  <si>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</si>
  <si>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</si>
  <si>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</si>
  <si>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</si>
  <si>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</si>
  <si>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</si>
  <si>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</si>
  <si>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</si>
  <si>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</si>
  <si>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</si>
  <si>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</si>
  <si>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</si>
  <si>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</si>
  <si>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</si>
  <si>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</si>
  <si>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</si>
  <si>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</si>
  <si>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</si>
  <si>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</si>
  <si>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</si>
  <si>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</si>
  <si>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</si>
  <si>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</si>
  <si>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</si>
  <si>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</si>
  <si>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</si>
  <si>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</si>
  <si>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</si>
  <si>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</si>
  <si>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</si>
  <si>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</si>
  <si>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</si>
  <si>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</si>
  <si>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</si>
  <si>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</si>
  <si>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</si>
  <si>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</si>
  <si>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</si>
  <si>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</si>
  <si>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</si>
  <si>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</si>
  <si>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</si>
  <si>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</si>
  <si>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</si>
  <si>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</si>
  <si>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</si>
  <si>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</si>
  <si>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</si>
  <si>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</si>
  <si>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</si>
  <si>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</si>
  <si>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</si>
  <si>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</si>
  <si>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</si>
  <si>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</si>
  <si>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</si>
  <si>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</si>
  <si>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</si>
  <si>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</si>
  <si>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</si>
  <si>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</si>
  <si>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</si>
  <si>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</si>
  <si>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</si>
  <si>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</si>
  <si>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</si>
  <si>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</si>
  <si>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</si>
  <si>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</si>
  <si>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</si>
  <si>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</si>
  <si>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</si>
  <si>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</si>
  <si>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</si>
  <si>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</si>
  <si>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</si>
  <si>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</si>
  <si>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</si>
  <si>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</si>
  <si>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</si>
  <si>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</si>
  <si>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</si>
  <si>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</si>
  <si>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</si>
  <si>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</si>
  <si>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</si>
  <si>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</si>
  <si>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</si>
  <si>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</si>
  <si>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</si>
  <si>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</si>
  <si>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</si>
  <si>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</si>
  <si>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</si>
  <si>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</si>
  <si>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</si>
  <si>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</si>
  <si>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</si>
  <si>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</si>
  <si>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</si>
  <si>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</si>
  <si>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</si>
  <si>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</si>
  <si>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</si>
  <si>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</si>
  <si>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</si>
  <si>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</si>
  <si>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</si>
  <si>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</si>
  <si>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</si>
  <si>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</si>
  <si>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</si>
  <si>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</si>
  <si>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</si>
  <si>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</si>
  <si>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</si>
  <si>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</si>
  <si>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</si>
  <si>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</si>
  <si>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</si>
  <si>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</si>
  <si>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</si>
  <si>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</si>
  <si>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</si>
  <si>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</si>
  <si>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</si>
  <si>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</si>
  <si>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</si>
  <si>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</si>
  <si>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</si>
  <si>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</si>
  <si>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</si>
  <si>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</si>
  <si>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</si>
  <si>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</si>
  <si>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</si>
  <si>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</si>
  <si>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</si>
  <si>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</si>
  <si>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</si>
  <si>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</si>
  <si>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</si>
  <si>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</si>
  <si>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</si>
  <si>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</si>
  <si>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</si>
  <si>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</si>
  <si>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</si>
  <si>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</si>
  <si>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</si>
  <si>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</si>
  <si>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</si>
  <si>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</si>
  <si>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</si>
  <si>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</si>
  <si>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</si>
  <si>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</si>
  <si>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</si>
  <si>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</si>
  <si>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</si>
  <si>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</si>
  <si>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</si>
  <si>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</si>
  <si>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</si>
  <si>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</si>
  <si>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</si>
  <si>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</si>
  <si>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</si>
  <si>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</si>
  <si>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</si>
  <si>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</si>
  <si>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</si>
  <si>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</si>
  <si>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</si>
  <si>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</si>
  <si>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</si>
  <si>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</si>
  <si>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</si>
  <si>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</si>
  <si>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</si>
  <si>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</si>
  <si>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</si>
  <si>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</si>
  <si>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</si>
  <si>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</si>
  <si>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</si>
  <si>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</si>
  <si>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</si>
  <si>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</si>
  <si>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</si>
  <si>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</si>
  <si>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</si>
  <si>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</si>
  <si>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</si>
  <si>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</si>
  <si>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</si>
  <si>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</si>
  <si>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</si>
  <si>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</si>
  <si>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</si>
  <si>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</si>
  <si>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</si>
  <si>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</si>
  <si>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</si>
  <si>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</si>
  <si>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</si>
  <si>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</si>
  <si>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</si>
  <si>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</si>
  <si>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</si>
  <si>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</si>
  <si>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</si>
  <si>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</si>
  <si>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</si>
  <si>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</si>
  <si>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</si>
  <si>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</si>
  <si>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</si>
  <si>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</si>
  <si>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</si>
  <si>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</si>
  <si>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</si>
  <si>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</si>
  <si>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</si>
  <si>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</si>
  <si>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</si>
  <si>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</si>
  <si>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</si>
  <si>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</si>
  <si>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</si>
  <si>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</si>
  <si>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</si>
  <si>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</si>
  <si>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</si>
  <si>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</si>
  <si>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</si>
  <si>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</si>
  <si>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</si>
  <si>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</si>
  <si>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</si>
  <si>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</si>
  <si>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</si>
  <si>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</si>
  <si>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</si>
  <si>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</si>
  <si>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</si>
  <si>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</si>
  <si>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</si>
  <si>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</si>
  <si>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</si>
  <si>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</si>
  <si>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</si>
  <si>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</si>
  <si>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</si>
  <si>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</si>
  <si>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</si>
  <si>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</si>
  <si>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</si>
  <si>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</si>
  <si>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</si>
  <si>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</si>
  <si>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</si>
  <si>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</si>
  <si>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</si>
  <si>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</si>
  <si>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</si>
  <si>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</si>
  <si>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</si>
  <si>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</si>
  <si>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</si>
  <si>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</si>
  <si>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</si>
  <si>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</si>
  <si>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</si>
  <si>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</si>
  <si>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</si>
  <si>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</si>
  <si>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</si>
  <si>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</si>
  <si>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</si>
  <si>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</si>
  <si>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</si>
  <si>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</si>
  <si>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</si>
  <si>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</si>
  <si>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</si>
  <si>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</si>
  <si>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</si>
  <si>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</si>
  <si>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</si>
  <si>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</si>
  <si>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</si>
  <si>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</si>
  <si>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</si>
  <si>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</si>
  <si>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</si>
  <si>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</si>
  <si>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</si>
  <si>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</si>
  <si>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</si>
  <si>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</si>
  <si>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</si>
  <si>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</si>
  <si>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</si>
  <si>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</si>
  <si>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</si>
  <si>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</si>
  <si>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</si>
  <si>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</si>
  <si>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</si>
  <si>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</si>
  <si>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</si>
  <si>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</si>
  <si>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</si>
  <si>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</si>
  <si>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</si>
  <si>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</si>
  <si>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</si>
  <si>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</si>
  <si>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</si>
  <si>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</si>
  <si>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</si>
  <si>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</si>
  <si>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</si>
  <si>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</si>
  <si>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</si>
  <si>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</si>
  <si>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</si>
  <si>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</si>
  <si>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</si>
  <si>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</si>
  <si>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</si>
  <si>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</si>
  <si>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</si>
  <si>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</si>
  <si>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</si>
  <si>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</si>
  <si>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</si>
  <si>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</si>
  <si>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</si>
  <si>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</si>
  <si>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</si>
  <si>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</si>
  <si>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</si>
  <si>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</si>
  <si>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</si>
  <si>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</si>
  <si>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</si>
  <si>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</si>
  <si>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</si>
  <si>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</si>
  <si>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</si>
  <si>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</si>
  <si>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</si>
  <si>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</si>
  <si>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</si>
  <si>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</si>
  <si>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</si>
  <si>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</si>
  <si>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</si>
  <si>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</si>
  <si>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</si>
  <si>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</si>
  <si>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</si>
  <si>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</si>
  <si>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</si>
  <si>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</si>
  <si>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</si>
  <si>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</si>
  <si>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</si>
  <si>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</si>
  <si>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</si>
  <si>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</si>
  <si>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</si>
  <si>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</si>
  <si>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</si>
  <si>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</si>
  <si>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</si>
  <si>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</si>
  <si>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</si>
  <si>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</si>
  <si>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</si>
  <si>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</si>
  <si>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</si>
  <si>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</si>
  <si>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</si>
  <si>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</si>
  <si>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</si>
  <si>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</si>
  <si>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</si>
  <si>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</si>
  <si>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</si>
  <si>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</si>
  <si>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</si>
  <si>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</si>
  <si>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</si>
  <si>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</si>
  <si>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</si>
  <si>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</si>
  <si>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</si>
  <si>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</si>
  <si>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</si>
  <si>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</si>
  <si>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</si>
  <si>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</si>
  <si>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</si>
  <si>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</si>
  <si>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</si>
  <si>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</si>
  <si>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</si>
  <si>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</si>
  <si>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</si>
  <si>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</si>
  <si>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</si>
  <si>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</si>
  <si>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</si>
  <si>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</si>
  <si>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</si>
  <si>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</si>
  <si>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</si>
  <si>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</si>
  <si>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</si>
  <si>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</si>
  <si>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</si>
  <si>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</si>
  <si>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</si>
  <si>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</si>
  <si>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</si>
  <si>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</si>
  <si>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</si>
  <si>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</si>
  <si>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</si>
  <si>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</si>
  <si>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</si>
  <si>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</si>
  <si>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</si>
  <si>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</si>
  <si>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</si>
  <si>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</si>
  <si>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</si>
  <si>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</si>
  <si>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</si>
  <si>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</si>
  <si>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</si>
  <si>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</si>
  <si>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</si>
  <si>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</si>
  <si>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</si>
  <si>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</si>
  <si>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</si>
  <si>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</si>
  <si>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</si>
  <si>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</si>
  <si>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</si>
  <si>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</si>
  <si>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</si>
  <si>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</si>
  <si>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</si>
  <si>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</si>
  <si>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</si>
  <si>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</si>
  <si>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</si>
  <si>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</si>
  <si>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</si>
  <si>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</si>
  <si>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</si>
  <si>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</si>
  <si>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</si>
  <si>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</si>
  <si>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</si>
  <si>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</si>
  <si>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</si>
  <si>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</si>
  <si>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</si>
  <si>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</si>
  <si>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</si>
  <si>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</si>
  <si>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</si>
  <si>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</si>
  <si>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</si>
  <si>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</si>
  <si>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</si>
  <si>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</si>
  <si>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</si>
  <si>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</si>
  <si>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</si>
  <si>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</si>
  <si>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</si>
  <si>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</si>
  <si>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</si>
  <si>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</si>
  <si>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</si>
  <si>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</si>
  <si>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</si>
  <si>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</si>
  <si>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</si>
  <si>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</si>
  <si>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</si>
  <si>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</si>
  <si>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</si>
  <si>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</si>
  <si>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</si>
  <si>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</si>
  <si>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</si>
  <si>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</si>
  <si>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</si>
  <si>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</si>
  <si>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</si>
  <si>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</si>
  <si>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</si>
  <si>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</si>
  <si>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</si>
  <si>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</si>
  <si>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</si>
  <si>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</si>
  <si>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</si>
  <si>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</si>
  <si>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</si>
  <si>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</si>
  <si>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</si>
  <si>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</si>
  <si>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</si>
  <si>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</si>
  <si>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</si>
  <si>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</si>
  <si>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</si>
  <si>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</si>
  <si>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</si>
  <si>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</si>
  <si>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</si>
  <si>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</si>
  <si>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</si>
  <si>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</si>
  <si>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</si>
  <si>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</si>
  <si>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</si>
  <si>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</si>
  <si>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</si>
  <si>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</si>
  <si>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</si>
  <si>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</si>
  <si>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</si>
  <si>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</si>
  <si>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</si>
  <si>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</si>
  <si>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</si>
  <si>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</si>
  <si>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</si>
  <si>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</si>
  <si>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</si>
  <si>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</si>
  <si>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</si>
  <si>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</si>
  <si>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</si>
  <si>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</si>
  <si>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</si>
  <si>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</si>
  <si>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</si>
  <si>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</si>
  <si>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</si>
  <si>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</si>
  <si>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</si>
  <si>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</si>
  <si>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</si>
  <si>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</si>
  <si>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</si>
  <si>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</si>
  <si>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</si>
  <si>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</si>
  <si>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</si>
  <si>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</si>
  <si>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</si>
  <si>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</si>
  <si>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</si>
  <si>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</si>
  <si>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</si>
  <si>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</si>
  <si>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</si>
  <si>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</si>
  <si>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</si>
  <si>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</si>
  <si>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</si>
  <si>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</si>
  <si>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</si>
  <si>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</si>
  <si>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</si>
  <si>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</si>
  <si>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</si>
  <si>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</si>
  <si>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</si>
  <si>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</si>
  <si>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</si>
  <si>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</si>
  <si>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</si>
  <si>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</si>
  <si>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</si>
  <si>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</si>
  <si>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</si>
  <si>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</si>
  <si>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</si>
  <si>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</si>
  <si>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</si>
  <si>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</si>
  <si>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</si>
  <si>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</si>
  <si>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</si>
  <si>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</si>
  <si>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</si>
  <si>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</si>
  <si>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</si>
  <si>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</si>
  <si>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</si>
  <si>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</si>
  <si>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</si>
  <si>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</si>
  <si>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</si>
  <si>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</si>
  <si>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</si>
  <si>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</si>
  <si>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</si>
  <si>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</si>
  <si>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</si>
  <si>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</si>
  <si>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</si>
  <si>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</si>
  <si>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</si>
  <si>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</si>
  <si>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</si>
  <si>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</si>
  <si>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</si>
  <si>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</si>
  <si>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</si>
  <si>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</si>
  <si>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</si>
  <si>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</si>
  <si>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</si>
  <si>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</si>
  <si>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</si>
  <si>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</si>
  <si>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</si>
  <si>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</si>
  <si>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</si>
  <si>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</si>
  <si>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</si>
  <si>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</si>
  <si>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</si>
  <si>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</si>
  <si>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</si>
  <si>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</si>
  <si>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</si>
  <si>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</si>
  <si>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</si>
  <si>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</si>
  <si>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</si>
  <si>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</si>
  <si>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</si>
  <si>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</si>
  <si>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</si>
  <si>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</si>
  <si>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</si>
  <si>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</si>
  <si>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</si>
  <si>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</si>
  <si>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</si>
  <si>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</si>
  <si>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</si>
  <si>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</si>
  <si>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</si>
  <si>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</si>
  <si>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</si>
  <si>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</si>
  <si>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</si>
  <si>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</si>
  <si>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</si>
  <si>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</si>
  <si>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</si>
  <si>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</si>
  <si>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</si>
  <si>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</si>
  <si>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</si>
  <si>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</si>
  <si>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</si>
  <si>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</si>
  <si>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</si>
  <si>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</si>
  <si>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</si>
  <si>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</si>
  <si>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</si>
  <si>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</si>
  <si>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</si>
  <si>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</si>
  <si>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</si>
  <si>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</si>
  <si>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</si>
  <si>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</si>
  <si>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</si>
  <si>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</si>
  <si>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</si>
  <si>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</si>
  <si>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</si>
  <si>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</si>
  <si>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</si>
  <si>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</si>
  <si>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</si>
  <si>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</si>
  <si>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</si>
  <si>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</si>
  <si>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</si>
  <si>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</si>
  <si>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</si>
  <si>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</si>
  <si>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</si>
  <si>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</si>
  <si>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</si>
  <si>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</si>
  <si>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</si>
  <si>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</si>
  <si>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</si>
  <si>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</si>
  <si>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</si>
  <si>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</si>
  <si>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</si>
  <si>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</si>
  <si>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</si>
  <si>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</si>
  <si>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</si>
  <si>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</si>
  <si>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</si>
  <si>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</si>
  <si>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</si>
  <si>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</si>
  <si>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</si>
  <si>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</si>
  <si>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</si>
  <si>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</si>
  <si>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</si>
  <si>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</si>
  <si>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</si>
  <si>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</si>
  <si>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</si>
  <si>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</si>
  <si>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</si>
  <si>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</si>
  <si>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</si>
  <si>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</si>
  <si>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</si>
  <si>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</si>
  <si>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</si>
  <si>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</si>
  <si>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</si>
  <si>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</si>
  <si>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</si>
  <si>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</si>
  <si>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</si>
  <si>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</si>
  <si>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</si>
  <si>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</si>
  <si>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</si>
  <si>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</si>
  <si>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</si>
  <si>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</si>
  <si>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</si>
  <si>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</si>
  <si>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</si>
  <si>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</si>
  <si>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</si>
  <si>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</si>
  <si>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</si>
  <si>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</si>
  <si>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</si>
  <si>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</si>
  <si>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</si>
  <si>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</si>
  <si>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</si>
  <si>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</si>
  <si>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</si>
  <si>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</si>
  <si>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</si>
  <si>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</si>
  <si>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</si>
  <si>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</si>
  <si>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</si>
  <si>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</si>
  <si>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</si>
  <si>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</si>
  <si>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</si>
  <si>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</si>
  <si>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</si>
  <si>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</si>
  <si>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</si>
  <si>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</si>
  <si>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</si>
  <si>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</si>
  <si>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</si>
  <si>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</si>
  <si>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</si>
  <si>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</si>
  <si>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</si>
  <si>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</si>
  <si>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</si>
  <si>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</si>
  <si>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</si>
  <si>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</si>
  <si>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</si>
  <si>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</si>
  <si>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</si>
  <si>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</si>
  <si>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</si>
  <si>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</si>
  <si>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</si>
  <si>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</si>
  <si>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</si>
  <si>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</si>
  <si>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</si>
  <si>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</si>
  <si>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</si>
  <si>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</si>
  <si>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</si>
  <si>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</si>
  <si>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</si>
  <si>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</si>
  <si>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</si>
  <si>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</si>
  <si>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</si>
  <si>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</si>
  <si>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</si>
  <si>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</si>
  <si>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</si>
  <si>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</si>
  <si>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</si>
  <si>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</si>
  <si>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</si>
  <si>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</si>
  <si>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</si>
  <si>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</si>
  <si>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</si>
  <si>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</si>
  <si>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</si>
  <si>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</si>
  <si>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</si>
  <si>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</si>
  <si>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</si>
  <si>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</si>
  <si>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</si>
  <si>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</si>
  <si>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</si>
  <si>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</si>
  <si>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</si>
  <si>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</si>
  <si>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</si>
  <si>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</si>
  <si>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</si>
  <si>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</si>
  <si>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</si>
  <si>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</si>
  <si>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</si>
  <si>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</si>
  <si>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</si>
  <si>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</si>
  <si>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</si>
  <si>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</si>
  <si>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</si>
  <si>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</si>
  <si>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</si>
  <si>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</si>
  <si>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</si>
  <si>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</si>
  <si>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</si>
  <si>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</si>
  <si>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</si>
  <si>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</si>
  <si>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</si>
  <si>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</si>
  <si>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</si>
  <si>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</si>
  <si>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</si>
  <si>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</si>
  <si>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</si>
  <si>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</si>
  <si>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</si>
  <si>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</si>
  <si>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</si>
  <si>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</si>
  <si>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</si>
  <si>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</si>
  <si>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</si>
  <si>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</si>
  <si>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</si>
  <si>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</si>
  <si>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</si>
  <si>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</si>
  <si>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</si>
  <si>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</si>
  <si>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</si>
  <si>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</si>
  <si>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</si>
  <si>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</si>
  <si>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</si>
  <si>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</si>
  <si>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</si>
  <si>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</si>
  <si>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</si>
  <si>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</si>
  <si>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</si>
  <si>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</si>
  <si>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</si>
  <si>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</si>
  <si>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</si>
  <si>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</si>
  <si>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</si>
  <si>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</si>
  <si>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</si>
  <si>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</si>
  <si>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</si>
  <si>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</si>
  <si>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</si>
  <si>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</si>
  <si>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</si>
  <si>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</si>
  <si>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</si>
  <si>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</si>
  <si>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</si>
  <si>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</si>
  <si>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</si>
  <si>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</si>
  <si>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</si>
  <si>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</si>
  <si>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</si>
  <si>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</si>
  <si>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</si>
  <si>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</si>
  <si>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</si>
  <si>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</si>
  <si>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</si>
  <si>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</si>
  <si>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</si>
  <si>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</si>
  <si>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</si>
  <si>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</si>
  <si>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</si>
  <si>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</si>
  <si>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</si>
  <si>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</si>
  <si>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</si>
  <si>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</si>
  <si>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</si>
  <si>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</si>
  <si>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</si>
  <si>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</si>
  <si>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</si>
  <si>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</si>
  <si>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</si>
  <si>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</si>
  <si>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</si>
  <si>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</si>
  <si>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</si>
  <si>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</si>
  <si>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</si>
  <si>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</si>
  <si>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</si>
  <si>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</si>
  <si>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</si>
  <si>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</si>
  <si>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</si>
  <si>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</si>
  <si>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</si>
  <si>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</si>
  <si>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</si>
  <si>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</si>
  <si>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</si>
  <si>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</si>
  <si>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</si>
  <si>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</si>
  <si>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</si>
  <si>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</si>
  <si>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</si>
  <si>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</si>
  <si>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</si>
  <si>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</si>
  <si>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</si>
  <si>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</si>
  <si>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</si>
  <si>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</si>
  <si>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</si>
  <si>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</si>
  <si>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</si>
  <si>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</si>
  <si>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</si>
  <si>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</si>
  <si>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</si>
  <si>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</si>
  <si>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</si>
  <si>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</si>
  <si>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</si>
  <si>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</si>
  <si>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</si>
  <si>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</si>
  <si>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</si>
  <si>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</si>
  <si>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</si>
  <si>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</si>
  <si>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</si>
  <si>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</si>
  <si>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</si>
  <si>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</si>
  <si>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</si>
  <si>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</si>
  <si>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</si>
  <si>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</si>
  <si>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</si>
  <si>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</si>
  <si>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</si>
  <si>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</si>
  <si>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</si>
  <si>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</si>
  <si>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</si>
  <si>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</si>
  <si>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</si>
  <si>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</si>
  <si>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</si>
  <si>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</si>
  <si>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</si>
  <si>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</si>
  <si>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</si>
  <si>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</si>
  <si>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</si>
  <si>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</si>
  <si>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</si>
  <si>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</si>
  <si>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</si>
  <si>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</si>
  <si>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</si>
  <si>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</si>
  <si>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</si>
  <si>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</si>
  <si>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</si>
  <si>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</si>
  <si>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</si>
  <si>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</si>
  <si>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</si>
  <si>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</si>
  <si>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</si>
  <si>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</si>
  <si>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</si>
  <si>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</si>
  <si>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</si>
  <si>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</si>
  <si>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</si>
  <si>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</si>
  <si>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</si>
  <si>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</si>
  <si>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</si>
  <si>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</si>
  <si>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</si>
  <si>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</si>
  <si>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</si>
  <si>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</si>
  <si>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</si>
  <si>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</si>
  <si>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</si>
  <si>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</si>
  <si>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</si>
  <si>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</si>
  <si>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</si>
  <si>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</si>
  <si>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</si>
  <si>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</si>
  <si>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</si>
  <si>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</si>
  <si>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</si>
  <si>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</si>
  <si>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</si>
  <si>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</si>
  <si>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</si>
  <si>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</si>
  <si>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</si>
  <si>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</si>
  <si>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</si>
  <si>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</si>
  <si>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</si>
  <si>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</si>
  <si>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</si>
  <si>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</si>
  <si>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</si>
  <si>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</si>
  <si>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</si>
  <si>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</si>
  <si>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</si>
  <si>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</si>
  <si>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</si>
  <si>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</si>
  <si>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</si>
  <si>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</si>
  <si>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</si>
  <si>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</si>
  <si>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</si>
  <si>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</si>
  <si>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</si>
  <si>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</si>
  <si>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</si>
  <si>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</si>
  <si>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</si>
  <si>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</si>
  <si>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</si>
  <si>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</si>
  <si>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</si>
  <si>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</si>
  <si>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</si>
  <si>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</si>
  <si>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</si>
  <si>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</si>
  <si>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</si>
  <si>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</si>
  <si>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</si>
  <si>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</si>
  <si>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</si>
  <si>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</si>
  <si>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</si>
  <si>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</si>
  <si>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</si>
  <si>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</si>
  <si>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</si>
  <si>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</si>
  <si>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</si>
  <si>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</si>
  <si>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</si>
  <si>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</si>
  <si>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</si>
  <si>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</si>
  <si>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</si>
  <si>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</si>
  <si>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</si>
  <si>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</si>
  <si>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</si>
  <si>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</si>
  <si>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</si>
  <si>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</si>
  <si>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</si>
  <si>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</si>
  <si>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</si>
  <si>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</si>
  <si>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</si>
  <si>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</si>
  <si>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</si>
  <si>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</si>
  <si>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</si>
  <si>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</si>
  <si>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</si>
  <si>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</si>
  <si>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</si>
  <si>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</si>
  <si>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</si>
  <si>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</si>
  <si>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</si>
  <si>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</si>
  <si>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</si>
  <si>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</si>
  <si>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</si>
  <si>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</si>
  <si>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</si>
  <si>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</si>
  <si>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</si>
  <si>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</si>
  <si>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</si>
  <si>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</si>
  <si>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</si>
  <si>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</si>
  <si>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</si>
  <si>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</si>
  <si>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</si>
  <si>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</si>
  <si>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</si>
  <si>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</si>
  <si>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</si>
  <si>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</si>
  <si>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</si>
  <si>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</si>
  <si>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</si>
  <si>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</si>
  <si>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</si>
  <si>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</si>
  <si>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</si>
  <si>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</si>
  <si>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</si>
  <si>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</si>
  <si>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</si>
  <si>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</si>
  <si>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</si>
  <si>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</si>
  <si>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</si>
  <si>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</si>
  <si>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</si>
  <si>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</si>
  <si>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</si>
  <si>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</si>
  <si>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</si>
  <si>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</si>
  <si>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</si>
  <si>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</si>
  <si>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</si>
  <si>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</si>
  <si>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</si>
  <si>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</si>
  <si>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</si>
  <si>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</si>
  <si>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</si>
  <si>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</si>
  <si>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</si>
  <si>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</si>
  <si>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</si>
  <si>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</si>
  <si>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</si>
  <si>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</si>
  <si>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</si>
  <si>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</si>
  <si>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</si>
  <si>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</si>
  <si>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</si>
  <si>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</si>
  <si>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</si>
  <si>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</si>
  <si>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</si>
  <si>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</si>
  <si>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</si>
  <si>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</si>
  <si>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</si>
  <si>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</si>
  <si>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</si>
  <si>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</si>
  <si>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</si>
  <si>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</si>
  <si>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</si>
  <si>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</si>
  <si>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</si>
  <si>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</si>
  <si>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</si>
  <si>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</si>
  <si>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</si>
  <si>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</si>
  <si>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</si>
  <si>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</si>
  <si>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</si>
  <si>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</si>
  <si>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</si>
  <si>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</si>
  <si>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</si>
  <si>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</si>
  <si>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</si>
  <si>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</si>
  <si>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</si>
  <si>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</si>
  <si>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</si>
  <si>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</si>
  <si>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</si>
  <si>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</si>
  <si>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</si>
  <si>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</si>
  <si>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</si>
  <si>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</si>
  <si>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</si>
  <si>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</si>
  <si>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</si>
  <si>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</si>
  <si>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</si>
  <si>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</si>
  <si>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</si>
  <si>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</si>
  <si>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</si>
  <si>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</si>
  <si>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</si>
  <si>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</si>
  <si>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</si>
  <si>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</si>
  <si>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</si>
  <si>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</si>
  <si>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</si>
  <si>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</si>
  <si>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</si>
  <si>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</si>
  <si>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</si>
  <si>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</si>
  <si>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</si>
  <si>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</si>
  <si>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</si>
  <si>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</si>
  <si>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</si>
  <si>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</si>
  <si>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</si>
  <si>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</si>
  <si>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</si>
  <si>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</si>
  <si>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</si>
  <si>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</si>
  <si>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</si>
  <si>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</si>
  <si>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</si>
  <si>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</si>
  <si>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</si>
  <si>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</si>
  <si>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</si>
  <si>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</si>
  <si>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</si>
  <si>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</si>
  <si>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</si>
  <si>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</si>
  <si>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</si>
  <si>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</si>
  <si>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</si>
  <si>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</si>
  <si>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</si>
  <si>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</si>
  <si>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</si>
  <si>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</si>
  <si>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</si>
  <si>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</si>
  <si>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</si>
  <si>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</si>
  <si>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</si>
  <si>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</si>
  <si>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</si>
  <si>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</si>
  <si>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</si>
  <si>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</si>
  <si>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</si>
  <si>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</si>
  <si>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</si>
  <si>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</si>
  <si>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</si>
  <si>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</si>
  <si>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</si>
  <si>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</si>
  <si>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</si>
  <si>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</si>
  <si>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</si>
  <si>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</si>
  <si>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</si>
  <si>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</si>
  <si>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</si>
  <si>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</si>
  <si>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</si>
  <si>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</si>
  <si>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</si>
  <si>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</si>
  <si>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</si>
  <si>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</si>
  <si>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</si>
  <si>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</si>
  <si>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</si>
  <si>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</si>
  <si>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</si>
  <si>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</si>
  <si>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</si>
  <si>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</si>
  <si>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</si>
  <si>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</si>
  <si>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</si>
  <si>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</si>
  <si>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</si>
  <si>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</si>
  <si>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</si>
  <si>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</si>
  <si>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</si>
  <si>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</si>
  <si>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</si>
  <si>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</si>
  <si>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</si>
  <si>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</si>
  <si>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</si>
  <si>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</si>
  <si>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</si>
  <si>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</si>
  <si>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</si>
  <si>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</si>
  <si>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</si>
  <si>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</si>
  <si>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</si>
  <si>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</si>
  <si>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</si>
  <si>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</si>
  <si>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</si>
  <si>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</si>
  <si>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</si>
  <si>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</si>
  <si>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</si>
  <si>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</si>
  <si>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</si>
  <si>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</si>
  <si>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</si>
  <si>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</si>
  <si>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</si>
  <si>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</si>
  <si>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</si>
  <si>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</si>
  <si>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</si>
  <si>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</si>
  <si>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</si>
  <si>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</si>
  <si>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</si>
  <si>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</si>
  <si>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</si>
  <si>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</si>
  <si>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</si>
  <si>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</si>
  <si>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</si>
  <si>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</si>
  <si>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</si>
  <si>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</si>
  <si>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</si>
  <si>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</si>
  <si>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</si>
  <si>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</si>
  <si>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</si>
  <si>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</si>
  <si>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</si>
  <si>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</si>
  <si>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</si>
  <si>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</si>
  <si>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</si>
  <si>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</si>
  <si>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</si>
  <si>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</si>
  <si>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</si>
  <si>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</si>
  <si>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</si>
  <si>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</si>
  <si>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</si>
  <si>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</si>
  <si>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</si>
  <si>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</si>
  <si>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</si>
  <si>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</si>
  <si>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</si>
  <si>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</si>
  <si>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</si>
  <si>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</si>
  <si>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</si>
  <si>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</si>
  <si>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</si>
  <si>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</si>
  <si>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</si>
  <si>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</si>
  <si>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</si>
  <si>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</si>
  <si>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</si>
  <si>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</si>
  <si>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</si>
  <si>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</si>
  <si>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</si>
  <si>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</si>
  <si>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</si>
  <si>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</si>
  <si>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</si>
  <si>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</si>
  <si>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</si>
  <si>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</si>
  <si>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</si>
  <si>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</si>
  <si>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</si>
  <si>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</si>
  <si>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</si>
  <si>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</si>
  <si>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</si>
  <si>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</si>
  <si>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</si>
  <si>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</si>
  <si>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</si>
  <si>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</si>
  <si>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</si>
  <si>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</si>
  <si>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</si>
  <si>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</si>
  <si>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</si>
  <si>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</si>
  <si>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</si>
  <si>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</si>
  <si>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</si>
  <si>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</si>
  <si>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</si>
  <si>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</si>
  <si>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</si>
  <si>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</si>
  <si>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</si>
  <si>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</si>
  <si>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</si>
  <si>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</si>
  <si>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</si>
  <si>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</si>
  <si>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</si>
  <si>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</si>
  <si>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</si>
  <si>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</si>
  <si>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</si>
  <si>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</si>
  <si>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</si>
  <si>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</si>
  <si>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</si>
  <si>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</si>
  <si>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</si>
  <si>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</si>
  <si>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</si>
  <si>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</si>
  <si>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</si>
  <si>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</si>
  <si>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</si>
  <si>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</si>
  <si>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</si>
  <si>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</si>
  <si>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</si>
  <si>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</si>
  <si>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</si>
  <si>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</si>
  <si>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</si>
  <si>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</si>
  <si>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</si>
  <si>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</si>
  <si>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</si>
  <si>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</si>
  <si>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</si>
  <si>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</si>
  <si>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</si>
  <si>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</si>
  <si>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</si>
  <si>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</si>
  <si>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</si>
  <si>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</si>
  <si>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</si>
  <si>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</si>
  <si>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</si>
  <si>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</si>
  <si>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</si>
  <si>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</si>
  <si>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</si>
  <si>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</si>
  <si>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</si>
  <si>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</si>
  <si>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</si>
  <si>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</si>
  <si>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</si>
  <si>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</si>
  <si>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</si>
  <si>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</si>
  <si>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</si>
  <si>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</si>
  <si>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</si>
  <si>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</si>
  <si>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</si>
  <si>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</si>
  <si>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</si>
  <si>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</si>
  <si>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</si>
  <si>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</si>
  <si>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</si>
  <si>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</si>
  <si>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</si>
  <si>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</si>
  <si>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</si>
  <si>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</si>
  <si>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</si>
  <si>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</si>
  <si>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</si>
  <si>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</si>
  <si>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</si>
  <si>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</si>
  <si>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</si>
  <si>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</si>
  <si>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</si>
  <si>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</si>
  <si>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</si>
  <si>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</si>
  <si>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</si>
  <si>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</si>
  <si>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</si>
  <si>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</si>
  <si>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</si>
  <si>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</si>
  <si>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</si>
  <si>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</si>
  <si>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</si>
  <si>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</si>
  <si>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</si>
  <si>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</si>
  <si>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</si>
  <si>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</si>
  <si>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</si>
  <si>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</si>
  <si>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</si>
  <si>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</si>
  <si>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</si>
  <si>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</si>
  <si>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</si>
  <si>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</si>
  <si>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</si>
  <si>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</si>
  <si>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</si>
  <si>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</si>
  <si>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</si>
  <si>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</si>
  <si>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</si>
  <si>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</si>
  <si>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</si>
  <si>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</si>
  <si>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</si>
  <si>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</si>
  <si>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</si>
  <si>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</si>
  <si>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</si>
  <si>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</si>
  <si>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</si>
  <si>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</si>
  <si>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</si>
  <si>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</si>
  <si>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</si>
  <si>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</si>
  <si>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</si>
  <si>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</si>
  <si>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</si>
  <si>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</si>
  <si>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</si>
  <si>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</si>
  <si>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</si>
  <si>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</si>
  <si>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</si>
  <si>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</si>
  <si>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</si>
  <si>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</si>
  <si>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</si>
  <si>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</si>
  <si>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</si>
  <si>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</si>
  <si>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</si>
  <si>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</si>
  <si>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</si>
  <si>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</si>
  <si>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</si>
  <si>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</si>
  <si>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</si>
  <si>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</si>
  <si>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</si>
  <si>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</si>
  <si>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</si>
  <si>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</si>
  <si>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</si>
  <si>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</si>
  <si>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</si>
  <si>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</si>
  <si>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</si>
  <si>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</si>
  <si>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</si>
  <si>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</si>
  <si>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</si>
  <si>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</si>
  <si>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</si>
  <si>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</si>
  <si>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</si>
  <si>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</si>
  <si>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</si>
  <si>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</si>
  <si>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</si>
  <si>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</si>
  <si>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</si>
  <si>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</si>
  <si>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</si>
  <si>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</si>
  <si>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</si>
  <si>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</si>
  <si>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</si>
  <si>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</si>
  <si>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</si>
  <si>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</si>
  <si>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</si>
  <si>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</si>
  <si>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</si>
  <si>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</si>
  <si>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</si>
  <si>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</si>
  <si>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</si>
  <si>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</si>
  <si>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</si>
  <si>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</si>
  <si>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</si>
  <si>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</si>
  <si>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</si>
  <si>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</si>
  <si>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</si>
  <si>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</si>
  <si>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</si>
  <si>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</si>
  <si>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</si>
  <si>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</si>
  <si>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</si>
  <si>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</si>
  <si>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</si>
  <si>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</si>
  <si>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</si>
  <si>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</si>
  <si>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</si>
  <si>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</si>
  <si>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</si>
  <si>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</si>
  <si>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</si>
  <si>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</si>
  <si>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</si>
  <si>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</si>
  <si>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</si>
  <si>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</si>
  <si>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</si>
  <si>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</si>
  <si>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</si>
  <si>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</si>
  <si>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</si>
  <si>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</si>
  <si>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</si>
  <si>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</si>
  <si>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</si>
  <si>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</si>
  <si>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</si>
  <si>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</si>
  <si>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</si>
  <si>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</si>
  <si>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</si>
  <si>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</si>
  <si>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</si>
  <si>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</si>
  <si>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</si>
  <si>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</si>
  <si>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</si>
  <si>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</si>
  <si>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</si>
  <si>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</si>
  <si>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</si>
  <si>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</si>
  <si>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</si>
  <si>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</si>
  <si>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</si>
  <si>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</si>
  <si>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</si>
  <si>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</si>
  <si>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</si>
  <si>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</si>
  <si>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</si>
  <si>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</si>
  <si>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</si>
  <si>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</si>
  <si>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</si>
  <si>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</si>
  <si>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</si>
  <si>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</si>
  <si>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</si>
  <si>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</si>
  <si>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</si>
  <si>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</si>
  <si>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</si>
  <si>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</si>
  <si>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</si>
  <si>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</si>
  <si>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</si>
  <si>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</si>
  <si>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</si>
  <si>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</si>
  <si>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</si>
  <si>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</si>
  <si>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</si>
  <si>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</si>
  <si>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</si>
  <si>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</si>
  <si>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</si>
  <si>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</si>
  <si>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</si>
  <si>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</si>
  <si>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</si>
  <si>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</si>
  <si>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</si>
  <si>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</si>
  <si>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</si>
  <si>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</si>
  <si>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</si>
  <si>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</si>
  <si>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</si>
  <si>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</si>
  <si>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</si>
  <si>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</si>
  <si>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</si>
  <si>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</si>
  <si>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</si>
  <si>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</si>
  <si>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</si>
  <si>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</si>
  <si>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</si>
  <si>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</si>
  <si>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</si>
  <si>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</si>
  <si>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</si>
  <si>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</si>
  <si>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</si>
  <si>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</si>
  <si>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</si>
  <si>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</si>
  <si>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</si>
  <si>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</si>
  <si>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</si>
  <si>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</si>
  <si>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</si>
  <si>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</si>
  <si>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</si>
  <si>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</si>
  <si>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</si>
  <si>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</si>
  <si>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</si>
  <si>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</si>
  <si>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</si>
  <si>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</si>
  <si>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</si>
  <si>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</si>
  <si>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</si>
  <si>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</si>
  <si>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</si>
  <si>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</si>
  <si>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</si>
  <si>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</si>
  <si>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</si>
  <si>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</si>
  <si>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</si>
  <si>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</si>
  <si>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</si>
  <si>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</si>
  <si>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</si>
  <si>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</si>
  <si>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</si>
  <si>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</si>
  <si>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</si>
  <si>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</si>
  <si>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</si>
  <si>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</si>
  <si>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</si>
  <si>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</si>
  <si>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</si>
  <si>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</si>
  <si>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</si>
  <si>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</si>
  <si>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</si>
  <si>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</si>
  <si>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</si>
  <si>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</si>
  <si>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</si>
  <si>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</si>
  <si>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</si>
  <si>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</si>
  <si>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</si>
  <si>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</si>
  <si>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</si>
  <si>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</si>
  <si>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</si>
  <si>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</si>
  <si>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</si>
  <si>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</si>
  <si>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</si>
  <si>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</si>
  <si>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</si>
  <si>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</si>
  <si>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</si>
  <si>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</si>
  <si>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</si>
  <si>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</si>
  <si>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</si>
  <si>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</si>
  <si>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</si>
  <si>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</si>
  <si>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</si>
  <si>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</si>
  <si>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</si>
  <si>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</si>
  <si>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</si>
  <si>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</si>
  <si>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</si>
  <si>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</si>
  <si>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</si>
  <si>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</si>
  <si>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</si>
  <si>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</si>
  <si>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</si>
  <si>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</si>
  <si>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</si>
  <si>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</si>
  <si>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</si>
  <si>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</si>
  <si>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</si>
  <si>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</si>
  <si>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</si>
  <si>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</si>
  <si>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</si>
  <si>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</si>
  <si>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</si>
  <si>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</si>
  <si>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</si>
  <si>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</si>
  <si>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</si>
  <si>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</si>
  <si>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</si>
  <si>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</si>
  <si>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</si>
  <si>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</si>
  <si>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</si>
  <si>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</si>
  <si>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</si>
  <si>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</si>
  <si>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</si>
  <si>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</si>
  <si>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</si>
  <si>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</si>
  <si>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</si>
  <si>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</si>
  <si>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</si>
  <si>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</si>
  <si>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</si>
  <si>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</si>
  <si>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</si>
  <si>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</si>
  <si>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</si>
  <si>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</si>
  <si>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</si>
  <si>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</si>
  <si>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</si>
  <si>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</si>
  <si>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</si>
  <si>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</si>
  <si>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</si>
  <si>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</si>
  <si>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</si>
  <si>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</si>
  <si>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</si>
  <si>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</si>
  <si>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</si>
  <si>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</si>
  <si>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</si>
  <si>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</si>
  <si>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</si>
  <si>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</si>
  <si>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</si>
  <si>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</si>
  <si>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</si>
  <si>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</si>
  <si>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</si>
  <si>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</si>
  <si>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</si>
  <si>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</si>
  <si>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</si>
  <si>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</si>
  <si>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</si>
  <si>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</si>
  <si>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</si>
  <si>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</si>
  <si>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</si>
  <si>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</si>
  <si>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</si>
  <si>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</si>
  <si>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</si>
  <si>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</si>
  <si>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</si>
  <si>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</si>
  <si>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</si>
  <si>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</si>
  <si>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</si>
  <si>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</si>
  <si>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</si>
  <si>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</si>
  <si>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</si>
  <si>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</si>
  <si>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</si>
  <si>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</si>
  <si>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</si>
  <si>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</si>
  <si>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</si>
  <si>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</si>
  <si>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</si>
  <si>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</si>
  <si>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</si>
  <si>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</si>
  <si>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</si>
  <si>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</si>
  <si>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</si>
  <si>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</si>
  <si>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</si>
  <si>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</si>
  <si>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</si>
  <si>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</si>
  <si>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</si>
  <si>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</si>
  <si>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</si>
  <si>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</si>
  <si>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</si>
  <si>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</si>
  <si>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</si>
  <si>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</si>
  <si>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</si>
  <si>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</si>
  <si>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</si>
  <si>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</si>
  <si>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</si>
  <si>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</si>
  <si>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</si>
  <si>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</si>
  <si>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</si>
  <si>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</si>
  <si>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</si>
  <si>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</si>
  <si>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</si>
  <si>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</si>
  <si>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</si>
  <si>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</si>
  <si>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</si>
  <si>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</si>
  <si>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</si>
  <si>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</si>
  <si>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</si>
  <si>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</si>
  <si>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</si>
  <si>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</si>
  <si>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</si>
  <si>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</si>
  <si>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</si>
  <si>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</si>
  <si>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</si>
  <si>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</si>
  <si>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</si>
  <si>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</si>
  <si>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</si>
  <si>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</si>
  <si>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</si>
  <si>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</si>
  <si>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</si>
  <si>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</si>
  <si>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</si>
  <si>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</si>
  <si>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</si>
  <si>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</si>
  <si>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</si>
  <si>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</si>
  <si>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維持食料</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</si>
  <si>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</si>
  <si>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</si>
  <si>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</si>
  <si>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</si>
  <si>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</si>
  <si>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</si>
  <si>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</si>
  <si>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</si>
  <si>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</si>
  <si>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</si>
  <si>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</si>
  <si>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</si>
  <si>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</si>
  <si>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</si>
  <si>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</si>
  <si>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</si>
  <si>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</si>
  <si>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</si>
  <si>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</si>
  <si>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</si>
  <si>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</si>
  <si>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</si>
  <si>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</si>
  <si>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</si>
  <si>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</si>
  <si>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</si>
  <si>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</si>
  <si>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</si>
  <si>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</si>
  <si>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</si>
  <si>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</si>
  <si>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</si>
  <si>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</si>
  <si>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</si>
  <si>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</si>
  <si>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</si>
  <si>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</si>
  <si>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</si>
  <si>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</si>
  <si>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</si>
  <si>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</si>
  <si>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</si>
  <si>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</si>
  <si>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</si>
  <si>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</si>
  <si>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</si>
  <si>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</si>
  <si>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</si>
  <si>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</si>
  <si>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</si>
  <si>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</si>
  <si>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</si>
  <si>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</si>
  <si>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</si>
  <si>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</si>
  <si>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</si>
  <si>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</si>
  <si>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</si>
  <si>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</si>
  <si>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</si>
  <si>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</si>
  <si>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</si>
  <si>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</si>
  <si>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</si>
  <si>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</si>
  <si>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</si>
  <si>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</si>
  <si>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</si>
  <si>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</si>
  <si>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</si>
  <si>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</si>
  <si>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</si>
  <si>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</si>
  <si>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</si>
  <si>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</si>
  <si>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</si>
  <si>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</si>
  <si>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</si>
  <si>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</si>
  <si>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</si>
  <si>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</si>
  <si>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</si>
  <si>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</si>
  <si>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</si>
  <si>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</si>
  <si>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</si>
  <si>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</si>
  <si>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</si>
  <si>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</si>
  <si>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</si>
  <si>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</si>
  <si>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</si>
  <si>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</si>
  <si>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</si>
  <si>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</si>
  <si>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</si>
  <si>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</si>
  <si>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保存食</t>
  </si>
  <si>
    <t>通常食料を加工した軽量な携帯食料。通常食料5→保存食1、保存食1は通常食料5相当（初期値）。魂・死体は加工・代用の対象外。倍率と加工条件はconfig/v39-carried-food.jsonのpreservedFoodで調整。</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</si>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</sst>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2" fillId="2" fontId="14" numFmtId="0" xfId="0" applyAlignment="1" applyBorder="1" applyFill="1" applyFont="1">
      <alignment readingOrder="0"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4"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c r="C753" s="1"/>
      <c r="D753" s="1"/>
      <c r="E753" s="14"/>
      <c r="F753" s="15"/>
      <c r="G753" s="16"/>
      <c r="H753" s="11"/>
      <c r="I753" s="7"/>
      <c r="J753" s="7"/>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1">
      <c r="A754" s="1"/>
      <c r="B754" s="26" t="s">
        <v>1265</v>
      </c>
      <c r="C754" s="1"/>
      <c r="D754" s="1"/>
      <c r="E754" s="14"/>
      <c r="F754" s="15"/>
      <c r="G754" s="16"/>
      <c r="H754" s="11"/>
      <c r="I754" s="7"/>
      <c r="J754" s="7" t="str">
        <f>IFERROR(LET(_xlpm.v,
VLOOKUP($I754,'用語辞書'!$A:$B,COLUMN('用語辞書'!B$1),FALSE),
IF(_xlpm.v=0,"",_xlpm.v)
),"")</f>
        <v/>
      </c>
      <c r="K754" s="17"/>
      <c r="L754" s="17" t="str">
        <f>IF(OR(COUNTIF('クラス'!$A$1:$A$1267,$B754)&gt;0,$B754="",$M754=""),"",True)</f>
        <v/>
      </c>
      <c r="M754" s="1" t="str">
        <f t="shared" si="20"/>
        <v>存在しない</v>
      </c>
      <c r="N754" s="1" t="s">
        <v>29</v>
      </c>
      <c r="O754" s="1"/>
      <c r="P754" s="11"/>
      <c r="Q754" s="11"/>
      <c r="R754" s="11"/>
      <c r="S754" s="11"/>
      <c r="T754" s="1"/>
      <c r="U754" s="1"/>
      <c r="V754" s="1"/>
      <c r="W754" s="1"/>
      <c r="X754" s="1"/>
      <c r="Y754" s="1"/>
      <c r="Z754" s="1"/>
    </row>
    <row r="755" ht="18.0" customHeight="1" outlineLevel="2">
      <c r="A755" s="1">
        <v>1.0</v>
      </c>
      <c r="B755" s="26" t="s">
        <v>1266</v>
      </c>
      <c r="C755" s="1"/>
      <c r="D755" s="1"/>
      <c r="E755" s="29" t="s">
        <v>55</v>
      </c>
      <c r="F755" s="15"/>
      <c r="G755" s="16"/>
      <c r="H755" s="22" t="s">
        <v>1267</v>
      </c>
      <c r="I755" s="7"/>
      <c r="J755" s="7" t="str">
        <f>IFERROR(LET(_xlpm.v,
VLOOKUP($I755,'用語辞書'!$A:$B,COLUMN('用語辞書'!B$1),FALSE),
IF(_xlpm.v=0,"",_xlpm.v)
),"")</f>
        <v/>
      </c>
      <c r="K755" s="17"/>
      <c r="L755" s="17" t="b">
        <f>IF(OR(COUNTIF('クラス'!$A$1:$A$1267,$B755)&gt;0,$B755="",$M755=""),"",True)</f>
        <v>1</v>
      </c>
      <c r="M755" s="1" t="str">
        <f t="shared" si="20"/>
        <v>存在しない</v>
      </c>
      <c r="N755" s="1" t="s">
        <v>29</v>
      </c>
      <c r="O755" s="1"/>
      <c r="P755" s="11"/>
      <c r="Q755" s="11"/>
      <c r="R755" s="11"/>
      <c r="S755" s="11"/>
      <c r="T755" s="1"/>
      <c r="U755" s="1"/>
      <c r="V755" s="1"/>
      <c r="W755" s="1"/>
      <c r="X755" s="1"/>
      <c r="Y755" s="1"/>
      <c r="Z755" s="1"/>
    </row>
    <row r="756" ht="18.0" customHeight="1" outlineLevel="2">
      <c r="A756" s="1">
        <v>2.0</v>
      </c>
      <c r="B756" s="1"/>
      <c r="C756" s="1"/>
      <c r="D756" s="1"/>
      <c r="E756" s="14"/>
      <c r="F756" s="15"/>
      <c r="G756" s="16"/>
      <c r="H756" s="11"/>
      <c r="I756" s="7"/>
      <c r="J756" s="7" t="str">
        <f>IFERROR(LET(_xlpm.v,
VLOOKUP($I756,'用語辞書'!$A:$B,COLUMN('用語辞書'!B$1),FALSE),
IF(_xlpm.v=0,"",_xlpm.v)
),"")</f>
        <v/>
      </c>
      <c r="K756" s="17"/>
      <c r="L756" s="17" t="str">
        <f>IF(OR(COUNTIF('クラス'!$A$1:$A$1267,$B756)&gt;0,$B756="",$M756=""),"",True)</f>
        <v/>
      </c>
      <c r="M756" s="1" t="str">
        <f t="shared" si="20"/>
        <v>存在しない</v>
      </c>
      <c r="N756" s="1" t="s">
        <v>29</v>
      </c>
      <c r="O756" s="1"/>
      <c r="P756" s="11"/>
      <c r="Q756" s="11"/>
      <c r="R756" s="11"/>
      <c r="S756" s="11"/>
      <c r="T756" s="1"/>
      <c r="U756" s="1"/>
      <c r="V756" s="1"/>
      <c r="W756" s="1"/>
      <c r="X756" s="1"/>
      <c r="Y756" s="1"/>
      <c r="Z756" s="1"/>
    </row>
    <row r="757" ht="18.0" customHeight="1" outlineLevel="2">
      <c r="A757" s="1">
        <v>3.0</v>
      </c>
      <c r="B757" s="26" t="s">
        <v>1268</v>
      </c>
      <c r="C757" s="1"/>
      <c r="D757" s="1"/>
      <c r="E757" s="29" t="s">
        <v>55</v>
      </c>
      <c r="F757" s="15"/>
      <c r="G757" s="16"/>
      <c r="H757" s="22" t="s">
        <v>1269</v>
      </c>
      <c r="I757" s="7"/>
      <c r="J757" s="7" t="str">
        <f>IFERROR(LET(_xlpm.v,
VLOOKUP($I757,'用語辞書'!$A:$B,COLUMN('用語辞書'!B$1),FALSE),
IF(_xlpm.v=0,"",_xlpm.v)
),"")</f>
        <v/>
      </c>
      <c r="K757" s="17"/>
      <c r="L757" s="17" t="b">
        <f>IF(OR(COUNTIF('クラス'!$A$1:$A$1267,$B757)&gt;0,$B757="",$M757=""),"",True)</f>
        <v>1</v>
      </c>
      <c r="M757" s="1" t="str">
        <f t="shared" si="20"/>
        <v>存在しない</v>
      </c>
      <c r="N757" s="1" t="s">
        <v>29</v>
      </c>
      <c r="O757" s="1"/>
      <c r="P757" s="11"/>
      <c r="Q757" s="11"/>
      <c r="R757" s="11"/>
      <c r="S757" s="11"/>
      <c r="T757" s="1"/>
      <c r="U757" s="1"/>
      <c r="V757" s="1"/>
      <c r="W757" s="1"/>
      <c r="X757" s="1"/>
      <c r="Y757" s="1"/>
      <c r="Z757" s="1"/>
    </row>
    <row r="758" ht="18.0" customHeight="1" outlineLevel="2">
      <c r="A758" s="1">
        <v>4.0</v>
      </c>
      <c r="B758" s="1"/>
      <c r="C758" s="1"/>
      <c r="D758" s="1"/>
      <c r="E758" s="14"/>
      <c r="F758" s="15"/>
      <c r="G758" s="16"/>
      <c r="H758" s="11"/>
      <c r="I758" s="7"/>
      <c r="J758" s="7" t="str">
        <f>IFERROR(LET(_xlpm.v,
VLOOKUP($I758,'用語辞書'!$A:$B,COLUMN('用語辞書'!B$1),FALSE),
IF(_xlpm.v=0,"",_xlpm.v)
),"")</f>
        <v/>
      </c>
      <c r="K758" s="17"/>
      <c r="L758" s="17" t="str">
        <f>IF(OR(COUNTIF('クラス'!$A$1:$A$1267,$B758)&gt;0,$B758="",$M758=""),"",True)</f>
        <v/>
      </c>
      <c r="M758" s="1" t="str">
        <f t="shared" si="20"/>
        <v>存在しない</v>
      </c>
      <c r="N758" s="1" t="s">
        <v>29</v>
      </c>
      <c r="O758" s="1"/>
      <c r="P758" s="11"/>
      <c r="Q758" s="11"/>
      <c r="R758" s="11"/>
      <c r="S758" s="11"/>
      <c r="T758" s="1"/>
      <c r="U758" s="1"/>
      <c r="V758" s="1"/>
      <c r="W758" s="1"/>
      <c r="X758" s="1"/>
      <c r="Y758" s="1"/>
      <c r="Z758" s="1"/>
    </row>
    <row r="759" ht="18.0" customHeight="1" outlineLevel="2">
      <c r="A759" s="1">
        <v>5.0</v>
      </c>
      <c r="B759" s="26" t="s">
        <v>1270</v>
      </c>
      <c r="C759" s="1"/>
      <c r="D759" s="1"/>
      <c r="E759" s="29" t="s">
        <v>33</v>
      </c>
      <c r="F759" s="15"/>
      <c r="G759" s="30">
        <v>50.0</v>
      </c>
      <c r="H759" s="22" t="s">
        <v>1271</v>
      </c>
      <c r="I759" s="7"/>
      <c r="J759" s="7" t="str">
        <f>IFERROR(LET(_xlpm.v,
VLOOKUP($I759,'用語辞書'!$A:$B,COLUMN('用語辞書'!B$1),FALSE),
IF(_xlpm.v=0,"",_xlpm.v)
),"")</f>
        <v/>
      </c>
      <c r="K759" s="17"/>
      <c r="L759" s="17" t="b">
        <f>IF(OR(COUNTIF('クラス'!$A$1:$A$1267,$B759)&gt;0,$B759="",$M759=""),"",True)</f>
        <v>1</v>
      </c>
      <c r="M759" s="1" t="str">
        <f t="shared" si="20"/>
        <v>存在しない</v>
      </c>
      <c r="N759" s="1" t="s">
        <v>29</v>
      </c>
      <c r="O759" s="1"/>
      <c r="P759" s="11"/>
      <c r="Q759" s="11"/>
      <c r="R759" s="11"/>
      <c r="S759" s="11"/>
      <c r="T759" s="1"/>
      <c r="U759" s="1"/>
      <c r="V759" s="1"/>
      <c r="W759" s="1"/>
      <c r="X759" s="1"/>
      <c r="Y759" s="1"/>
      <c r="Z759" s="1"/>
    </row>
    <row r="760" ht="18.0" customHeight="1" outlineLevel="2">
      <c r="A760" s="1">
        <v>6.0</v>
      </c>
      <c r="B760" s="1"/>
      <c r="C760" s="1"/>
      <c r="D760" s="1"/>
      <c r="E760" s="14"/>
      <c r="F760" s="15"/>
      <c r="G760" s="16"/>
      <c r="H760" s="11"/>
      <c r="I760" s="7"/>
      <c r="J760" s="7" t="str">
        <f>IFERROR(LET(_xlpm.v,
VLOOKUP($I760,'用語辞書'!$A:$B,COLUMN('用語辞書'!B$1),FALSE),
IF(_xlpm.v=0,"",_xlpm.v)
),"")</f>
        <v/>
      </c>
      <c r="K760" s="17"/>
      <c r="L760" s="17" t="str">
        <f>IF(OR(COUNTIF('クラス'!$A$1:$A$1267,$B760)&gt;0,$B760="",$M760=""),"",True)</f>
        <v/>
      </c>
      <c r="M760" s="1" t="str">
        <f t="shared" si="20"/>
        <v>存在しない</v>
      </c>
      <c r="N760" s="1" t="s">
        <v>29</v>
      </c>
      <c r="O760" s="1"/>
      <c r="P760" s="11"/>
      <c r="Q760" s="11"/>
      <c r="R760" s="11"/>
      <c r="S760" s="11"/>
      <c r="T760" s="1"/>
      <c r="U760" s="1"/>
      <c r="V760" s="1"/>
      <c r="W760" s="1"/>
      <c r="X760" s="1"/>
      <c r="Y760" s="1"/>
      <c r="Z760" s="1"/>
    </row>
    <row r="761" ht="18.0" customHeight="1" outlineLevel="2">
      <c r="A761" s="1">
        <v>7.0</v>
      </c>
      <c r="B761" s="26" t="s">
        <v>1272</v>
      </c>
      <c r="C761" s="1"/>
      <c r="D761" s="1"/>
      <c r="E761" s="29" t="s">
        <v>55</v>
      </c>
      <c r="F761" s="15"/>
      <c r="G761" s="16"/>
      <c r="H761" s="22" t="s">
        <v>1273</v>
      </c>
      <c r="I761" s="7"/>
      <c r="J761" s="7" t="str">
        <f>IFERROR(LET(_xlpm.v,
VLOOKUP($I761,'用語辞書'!$A:$B,COLUMN('用語辞書'!B$1),FALSE),
IF(_xlpm.v=0,"",_xlpm.v)
),"")</f>
        <v/>
      </c>
      <c r="K761" s="17"/>
      <c r="L761" s="17" t="b">
        <f>IF(OR(COUNTIF('クラス'!$A$1:$A$1267,$B761)&gt;0,$B761="",$M761=""),"",True)</f>
        <v>1</v>
      </c>
      <c r="M761" s="1" t="str">
        <f t="shared" si="20"/>
        <v>存在しない</v>
      </c>
      <c r="N761" s="1" t="s">
        <v>29</v>
      </c>
      <c r="O761" s="1"/>
      <c r="P761" s="11"/>
      <c r="Q761" s="11"/>
      <c r="R761" s="11"/>
      <c r="S761" s="11"/>
      <c r="T761" s="1"/>
      <c r="U761" s="1"/>
      <c r="V761" s="1"/>
      <c r="W761" s="1"/>
      <c r="X761" s="1"/>
      <c r="Y761" s="1"/>
      <c r="Z761" s="1"/>
    </row>
    <row r="762" ht="18.0" customHeight="1" outlineLevel="2">
      <c r="A762" s="1">
        <v>8.0</v>
      </c>
      <c r="B762" s="1"/>
      <c r="C762" s="1"/>
      <c r="D762" s="1"/>
      <c r="E762" s="14"/>
      <c r="F762" s="15"/>
      <c r="G762" s="16"/>
      <c r="H762" s="11"/>
      <c r="I762" s="7"/>
      <c r="J762" s="7" t="str">
        <f>IFERROR(LET(_xlpm.v,
VLOOKUP($I762,'用語辞書'!$A:$B,COLUMN('用語辞書'!B$1),FALSE),
IF(_xlpm.v=0,"",_xlpm.v)
),"")</f>
        <v/>
      </c>
      <c r="K762" s="17"/>
      <c r="L762" s="17" t="str">
        <f>IF(OR(COUNTIF('クラス'!$A$1:$A$1267,$B762)&gt;0,$B762="",$M762=""),"",True)</f>
        <v/>
      </c>
      <c r="M762" s="1" t="str">
        <f t="shared" si="20"/>
        <v>存在しない</v>
      </c>
      <c r="N762" s="1" t="s">
        <v>29</v>
      </c>
      <c r="O762" s="1"/>
      <c r="P762" s="11"/>
      <c r="Q762" s="11"/>
      <c r="R762" s="11"/>
      <c r="S762" s="11"/>
      <c r="T762" s="1"/>
      <c r="U762" s="1"/>
      <c r="V762" s="1"/>
      <c r="W762" s="1"/>
      <c r="X762" s="1"/>
      <c r="Y762" s="1"/>
      <c r="Z762" s="1"/>
    </row>
    <row r="763" ht="18.0" customHeight="1" outlineLevel="2">
      <c r="A763" s="1">
        <v>9.0</v>
      </c>
      <c r="B763" s="26" t="s">
        <v>1274</v>
      </c>
      <c r="C763" s="1"/>
      <c r="D763" s="26" t="s">
        <v>1275</v>
      </c>
      <c r="E763" s="29" t="s">
        <v>33</v>
      </c>
      <c r="F763" s="15"/>
      <c r="G763" s="30">
        <v>40.0</v>
      </c>
      <c r="H763" s="22" t="s">
        <v>1276</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2">
      <c r="A764" s="1">
        <v>10.0</v>
      </c>
      <c r="B764" s="26" t="s">
        <v>1277</v>
      </c>
      <c r="C764" s="1"/>
      <c r="D764" s="1"/>
      <c r="E764" s="29" t="s">
        <v>55</v>
      </c>
      <c r="F764" s="15"/>
      <c r="G764" s="16"/>
      <c r="H764" s="22" t="s">
        <v>1278</v>
      </c>
      <c r="I764" s="7"/>
      <c r="J764" s="7" t="str">
        <f>IFERROR(LET(_xlpm.v,
VLOOKUP($I764,'用語辞書'!$A:$B,COLUMN('用語辞書'!B$1),FALSE),
IF(_xlpm.v=0,"",_xlpm.v)
),"")</f>
        <v/>
      </c>
      <c r="K764" s="17"/>
      <c r="L764" s="17" t="b">
        <f>IF(OR(COUNTIF('クラス'!$A$1:$A$1267,$B764)&gt;0,$B764="",$M764=""),"",True)</f>
        <v>1</v>
      </c>
      <c r="M764" s="1" t="str">
        <f t="shared" si="20"/>
        <v>存在しない</v>
      </c>
      <c r="N764" s="1" t="s">
        <v>29</v>
      </c>
      <c r="O764" s="1"/>
      <c r="P764" s="11"/>
      <c r="Q764" s="11"/>
      <c r="R764" s="11"/>
      <c r="S764" s="11"/>
      <c r="T764" s="1"/>
      <c r="U764" s="1"/>
      <c r="V764" s="1"/>
      <c r="W764" s="1"/>
      <c r="X764" s="1"/>
      <c r="Y764" s="1"/>
      <c r="Z764" s="1"/>
    </row>
    <row r="765" ht="18.0" customHeight="1" outlineLevel="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IF(COUNTIF($B$1:$C752, $B765), "", "存在しない")</f>
        <v>存在しない</v>
      </c>
      <c r="N765" s="1" t="s">
        <v>29</v>
      </c>
      <c r="O765" s="1"/>
      <c r="P765" s="11"/>
      <c r="Q765" s="11"/>
      <c r="R765" s="11"/>
      <c r="S765" s="11"/>
      <c r="T765" s="1"/>
      <c r="U765" s="1"/>
      <c r="V765" s="1"/>
      <c r="W765" s="1"/>
      <c r="X765" s="1"/>
      <c r="Y765" s="1"/>
      <c r="Z765" s="1"/>
    </row>
    <row r="766" ht="18.0" customHeight="1" collapsed="1">
      <c r="A766" s="1"/>
      <c r="B766" s="1"/>
      <c r="C766" s="1"/>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ref="M766:M964" si="21">IF(COUNTIF($B$1:$C765, $B766), "", "存在しない")</f>
        <v>存在しない</v>
      </c>
      <c r="N766" s="1" t="s">
        <v>29</v>
      </c>
      <c r="O766" s="1"/>
      <c r="P766" s="11"/>
      <c r="Q766" s="11"/>
      <c r="R766" s="11"/>
      <c r="S766" s="11"/>
      <c r="T766" s="1"/>
      <c r="U766" s="1"/>
      <c r="V766" s="1"/>
      <c r="W766" s="1"/>
      <c r="X766" s="1"/>
      <c r="Y766" s="1"/>
      <c r="Z766" s="1"/>
    </row>
    <row r="767" ht="18.0" customHeight="1">
      <c r="A767" s="1"/>
      <c r="B767" s="1"/>
      <c r="C767" s="26" t="s">
        <v>1279</v>
      </c>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1">
      <c r="A768" s="1"/>
      <c r="B768" s="1" t="s">
        <v>1280</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存在しない</v>
      </c>
      <c r="N768" s="1" t="s">
        <v>29</v>
      </c>
      <c r="O768" s="1"/>
      <c r="P768" s="11"/>
      <c r="Q768" s="11"/>
      <c r="R768" s="11"/>
      <c r="S768" s="11"/>
      <c r="T768" s="1"/>
      <c r="U768" s="1"/>
      <c r="V768" s="1"/>
      <c r="W768" s="1"/>
      <c r="X768" s="1"/>
      <c r="Y768" s="1"/>
      <c r="Z768" s="1"/>
    </row>
    <row r="769" ht="18.0" customHeight="1" outlineLevel="2">
      <c r="A769" s="1">
        <v>1.0</v>
      </c>
      <c r="B769" s="26"/>
      <c r="C769" s="1"/>
      <c r="D769" s="1"/>
      <c r="E769" s="14"/>
      <c r="F769" s="15"/>
      <c r="G769" s="16"/>
      <c r="H769" s="11"/>
      <c r="I769" s="7"/>
      <c r="J769" s="7" t="str">
        <f>IFERROR(LET(_xlpm.v,
VLOOKUP($I769,'用語辞書'!$A:$B,COLUMN('用語辞書'!B$1),FALSE),
IF(_xlpm.v=0,"",_xlpm.v)
),"")</f>
        <v/>
      </c>
      <c r="K769" s="17"/>
      <c r="L769" s="17" t="str">
        <f>IF(OR(COUNTIF('クラス'!$A$1:$A$1267,$B769)&gt;0,$B769="",$M769=""),"",True)</f>
        <v/>
      </c>
      <c r="M769" s="1" t="str">
        <f t="shared" si="21"/>
        <v>存在しない</v>
      </c>
      <c r="N769" s="1" t="s">
        <v>29</v>
      </c>
      <c r="O769" s="1"/>
      <c r="P769" s="11"/>
      <c r="Q769" s="11"/>
      <c r="R769" s="11"/>
      <c r="S769" s="11"/>
      <c r="T769" s="1"/>
      <c r="U769" s="1"/>
      <c r="V769" s="1"/>
      <c r="W769" s="1"/>
      <c r="X769" s="1"/>
      <c r="Y769" s="1"/>
      <c r="Z769" s="1"/>
    </row>
    <row r="770" ht="18.0" customHeight="1" outlineLevel="2">
      <c r="A770" s="1">
        <v>2.0</v>
      </c>
      <c r="B770" s="26" t="s">
        <v>1281</v>
      </c>
      <c r="C770" s="1"/>
      <c r="D770" s="1"/>
      <c r="E770" s="14" t="s">
        <v>33</v>
      </c>
      <c r="F770" s="15"/>
      <c r="G770" s="16">
        <v>30.0</v>
      </c>
      <c r="H770" s="22" t="s">
        <v>1282</v>
      </c>
      <c r="I770" s="7"/>
      <c r="J770" s="7" t="str">
        <f>IFERROR(LET(_xlpm.v,
VLOOKUP($I770,'用語辞書'!$A:$B,COLUMN('用語辞書'!B$1),FALSE),
IF(_xlpm.v=0,"",_xlpm.v)
),"")</f>
        <v/>
      </c>
      <c r="K770" s="17"/>
      <c r="L770" s="17" t="b">
        <f>IF(OR(COUNTIF('クラス'!$A$1:$A$1267,$B770)&gt;0,$B770="",$M770=""),"",True)</f>
        <v>1</v>
      </c>
      <c r="M770" s="1" t="str">
        <f t="shared" si="21"/>
        <v>存在しない</v>
      </c>
      <c r="N770" s="1" t="s">
        <v>29</v>
      </c>
      <c r="O770" s="1"/>
      <c r="P770" s="11"/>
      <c r="Q770" s="11"/>
      <c r="R770" s="11"/>
      <c r="S770" s="11"/>
      <c r="T770" s="1"/>
      <c r="U770" s="1"/>
      <c r="V770" s="1"/>
      <c r="W770" s="1"/>
      <c r="X770" s="1"/>
      <c r="Y770" s="1"/>
      <c r="Z770" s="1"/>
    </row>
    <row r="771" ht="18.0" customHeight="1" outlineLevel="2">
      <c r="A771" s="1">
        <v>3.0</v>
      </c>
      <c r="B771" s="26" t="s">
        <v>1283</v>
      </c>
      <c r="C771" s="1"/>
      <c r="D771" s="1" t="s">
        <v>1284</v>
      </c>
      <c r="E771" s="14" t="s">
        <v>33</v>
      </c>
      <c r="F771" s="15"/>
      <c r="G771" s="36">
        <v>0.0</v>
      </c>
      <c r="H771" s="22" t="s">
        <v>1285</v>
      </c>
      <c r="I771" s="7"/>
      <c r="J771" s="7" t="str">
        <f>IFERROR(LET(_xlpm.v,
VLOOKUP($I771,'用語辞書'!$A:$B,COLUMN('用語辞書'!B$1),FALSE),
IF(_xlpm.v=0,"",_xlpm.v)
),"")</f>
        <v/>
      </c>
      <c r="K771" s="17"/>
      <c r="L771" s="17" t="b">
        <f>IF(OR(COUNTIF('クラス'!$A$1:$A$1267,$B771)&gt;0,$B771="",$M771=""),"",True)</f>
        <v>1</v>
      </c>
      <c r="M771" s="1" t="str">
        <f t="shared" si="21"/>
        <v>存在しない</v>
      </c>
      <c r="N771" s="1" t="s">
        <v>29</v>
      </c>
      <c r="O771" s="1"/>
      <c r="P771" s="11"/>
      <c r="Q771" s="11"/>
      <c r="R771" s="11"/>
      <c r="S771" s="11"/>
      <c r="T771" s="1"/>
      <c r="U771" s="1"/>
      <c r="V771" s="1"/>
      <c r="W771" s="1"/>
      <c r="X771" s="1"/>
      <c r="Y771" s="1"/>
      <c r="Z771" s="1"/>
    </row>
    <row r="772" ht="18.0" customHeight="1" outlineLevel="2">
      <c r="A772" s="1">
        <v>4.0</v>
      </c>
      <c r="B772" s="1"/>
      <c r="C772" s="1"/>
      <c r="D772" s="1"/>
      <c r="E772" s="14"/>
      <c r="F772" s="15"/>
      <c r="G772" s="16"/>
      <c r="H772" s="11"/>
      <c r="I772" s="7"/>
      <c r="J772" s="7" t="str">
        <f>IFERROR(LET(_xlpm.v,
VLOOKUP($I772,'用語辞書'!$A:$B,COLUMN('用語辞書'!B$1),FALSE),
IF(_xlpm.v=0,"",_xlpm.v)
),"")</f>
        <v/>
      </c>
      <c r="K772" s="17"/>
      <c r="L772" s="17" t="str">
        <f>IF(OR(COUNTIF('クラス'!$A$1:$A$1267,$B772)&gt;0,$B772="",$M772=""),"",True)</f>
        <v/>
      </c>
      <c r="M772" s="1" t="str">
        <f t="shared" si="21"/>
        <v>存在しない</v>
      </c>
      <c r="N772" s="1" t="s">
        <v>29</v>
      </c>
      <c r="O772" s="1"/>
      <c r="P772" s="11"/>
      <c r="Q772" s="11"/>
      <c r="R772" s="11"/>
      <c r="S772" s="11"/>
      <c r="T772" s="1"/>
      <c r="U772" s="1"/>
      <c r="V772" s="1"/>
      <c r="W772" s="1"/>
      <c r="X772" s="1"/>
      <c r="Y772" s="1"/>
      <c r="Z772" s="1"/>
    </row>
    <row r="773" ht="18.0" customHeight="1" outlineLevel="2">
      <c r="A773" s="1">
        <v>5.0</v>
      </c>
      <c r="B773" s="26" t="s">
        <v>1283</v>
      </c>
      <c r="C773" s="1"/>
      <c r="D773" s="1" t="s">
        <v>1284</v>
      </c>
      <c r="E773" s="14" t="s">
        <v>33</v>
      </c>
      <c r="F773" s="15"/>
      <c r="G773" s="36">
        <v>0.0</v>
      </c>
      <c r="H773" s="22" t="s">
        <v>1285</v>
      </c>
      <c r="I773" s="7"/>
      <c r="J773" s="7" t="str">
        <f>IFERROR(LET(_xlpm.v,
VLOOKUP($I773,'用語辞書'!$A:$B,COLUMN('用語辞書'!B$1),FALSE),
IF(_xlpm.v=0,"",_xlpm.v)
),"")</f>
        <v/>
      </c>
      <c r="K773" s="17"/>
      <c r="L773" s="17" t="str">
        <f>IF(OR(COUNTIF('クラス'!$A$1:$A$1267,$B773)&gt;0,$B773="",$M773=""),"",True)</f>
        <v/>
      </c>
      <c r="M773" s="1" t="str">
        <f t="shared" si="21"/>
        <v/>
      </c>
      <c r="N773" s="1" t="s">
        <v>29</v>
      </c>
      <c r="O773" s="1"/>
      <c r="P773" s="11"/>
      <c r="Q773" s="11"/>
      <c r="R773" s="11"/>
      <c r="S773" s="11"/>
      <c r="T773" s="1"/>
      <c r="U773" s="1"/>
      <c r="V773" s="1"/>
      <c r="W773" s="1"/>
      <c r="X773" s="1"/>
      <c r="Y773" s="1"/>
      <c r="Z773" s="1"/>
    </row>
    <row r="774" ht="18.0" customHeight="1" outlineLevel="2">
      <c r="A774" s="1">
        <v>6.0</v>
      </c>
      <c r="B774" s="26" t="s">
        <v>1286</v>
      </c>
      <c r="C774" s="1"/>
      <c r="D774" s="1"/>
      <c r="E774" s="29" t="s">
        <v>55</v>
      </c>
      <c r="F774" s="15"/>
      <c r="G774" s="16"/>
      <c r="H774" s="22" t="s">
        <v>1287</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7.0</v>
      </c>
      <c r="B775" s="26" t="s">
        <v>1288</v>
      </c>
      <c r="C775" s="1"/>
      <c r="D775" s="1"/>
      <c r="E775" s="29" t="s">
        <v>55</v>
      </c>
      <c r="F775" s="15"/>
      <c r="G775" s="16"/>
      <c r="H775" s="22" t="s">
        <v>1289</v>
      </c>
      <c r="I775" s="7"/>
      <c r="J775" s="7" t="str">
        <f>IFERROR(LET(_xlpm.v,
VLOOKUP($I775,'用語辞書'!$A:$B,COLUMN('用語辞書'!B$1),FALSE),
IF(_xlpm.v=0,"",_xlpm.v)
),"")</f>
        <v/>
      </c>
      <c r="K775" s="17"/>
      <c r="L775" s="17" t="b">
        <f>IF(OR(COUNTIF('クラス'!$A$1:$A$1267,$B775)&gt;0,$B775="",$M775=""),"",True)</f>
        <v>1</v>
      </c>
      <c r="M775" s="1" t="str">
        <f t="shared" si="21"/>
        <v>存在しない</v>
      </c>
      <c r="N775" s="1" t="s">
        <v>29</v>
      </c>
      <c r="O775" s="1"/>
      <c r="P775" s="11"/>
      <c r="Q775" s="11"/>
      <c r="R775" s="11"/>
      <c r="S775" s="11"/>
      <c r="T775" s="1"/>
      <c r="U775" s="1"/>
      <c r="V775" s="1"/>
      <c r="W775" s="1"/>
      <c r="X775" s="1"/>
      <c r="Y775" s="1"/>
      <c r="Z775" s="1"/>
    </row>
    <row r="776" ht="18.0" customHeight="1" outlineLevel="2">
      <c r="A776" s="1">
        <v>8.0</v>
      </c>
      <c r="B776" s="1"/>
      <c r="C776" s="1"/>
      <c r="D776" s="1"/>
      <c r="E776" s="14"/>
      <c r="F776" s="15"/>
      <c r="G776" s="16"/>
      <c r="H776" s="11"/>
      <c r="I776" s="7"/>
      <c r="J776" s="7" t="str">
        <f>IFERROR(LET(_xlpm.v,
VLOOKUP($I776,'用語辞書'!$A:$B,COLUMN('用語辞書'!B$1),FALSE),
IF(_xlpm.v=0,"",_xlpm.v)
),"")</f>
        <v/>
      </c>
      <c r="K776" s="17"/>
      <c r="L776" s="17" t="str">
        <f>IF(OR(COUNTIF('クラス'!$A$1:$A$1267,$B776)&gt;0,$B776="",$M776=""),"",True)</f>
        <v/>
      </c>
      <c r="M776" s="1" t="str">
        <f t="shared" si="21"/>
        <v>存在しない</v>
      </c>
      <c r="N776" s="1" t="s">
        <v>29</v>
      </c>
      <c r="O776" s="1"/>
      <c r="P776" s="11"/>
      <c r="Q776" s="11"/>
      <c r="R776" s="11"/>
      <c r="S776" s="11"/>
      <c r="T776" s="1"/>
      <c r="U776" s="1"/>
      <c r="V776" s="1"/>
      <c r="W776" s="1"/>
      <c r="X776" s="1"/>
      <c r="Y776" s="1"/>
      <c r="Z776" s="1"/>
    </row>
    <row r="777" ht="18.0" customHeight="1" outlineLevel="2">
      <c r="A777" s="1">
        <v>9.0</v>
      </c>
      <c r="B777" s="26" t="s">
        <v>1290</v>
      </c>
      <c r="C777" s="1"/>
      <c r="D777" s="1"/>
      <c r="E777" s="29" t="s">
        <v>55</v>
      </c>
      <c r="F777" s="15"/>
      <c r="G777" s="16"/>
      <c r="H777" s="22" t="s">
        <v>1291</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v>10.0</v>
      </c>
      <c r="B778" s="26" t="s">
        <v>1292</v>
      </c>
      <c r="C778" s="1"/>
      <c r="D778" s="26" t="s">
        <v>1293</v>
      </c>
      <c r="E778" s="29" t="s">
        <v>33</v>
      </c>
      <c r="F778" s="15"/>
      <c r="G778" s="36">
        <v>100.0</v>
      </c>
      <c r="H778" s="22" t="s">
        <v>1294</v>
      </c>
      <c r="I778" s="7"/>
      <c r="J778" s="7" t="str">
        <f>IFERROR(LET(_xlpm.v,
VLOOKUP($I778,'用語辞書'!$A:$B,COLUMN('用語辞書'!B$1),FALSE),
IF(_xlpm.v=0,"",_xlpm.v)
),"")</f>
        <v/>
      </c>
      <c r="K778" s="17"/>
      <c r="L778" s="17" t="b">
        <f>IF(OR(COUNTIF('クラス'!$A$1:$A$1267,$B778)&gt;0,$B778="",$M778=""),"",True)</f>
        <v>1</v>
      </c>
      <c r="M778" s="1" t="str">
        <f t="shared" si="21"/>
        <v>存在しない</v>
      </c>
      <c r="N778" s="1" t="s">
        <v>29</v>
      </c>
      <c r="O778" s="1"/>
      <c r="P778" s="11"/>
      <c r="Q778" s="11"/>
      <c r="R778" s="11"/>
      <c r="S778" s="11"/>
      <c r="T778" s="1"/>
      <c r="U778" s="1"/>
      <c r="V778" s="1"/>
      <c r="W778" s="1"/>
      <c r="X778" s="1"/>
      <c r="Y778" s="1"/>
      <c r="Z778" s="1"/>
    </row>
    <row r="779" ht="18.0" customHeight="1" outlineLevel="2">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1">
      <c r="A781" s="1"/>
      <c r="B781" s="1" t="s">
        <v>1295</v>
      </c>
      <c r="C781" s="1"/>
      <c r="D781" s="1"/>
      <c r="E781" s="14"/>
      <c r="F781" s="15"/>
      <c r="G781" s="16"/>
      <c r="H781" s="11"/>
      <c r="I781" s="7"/>
      <c r="J781" s="7" t="str">
        <f>IFERROR(LET(_xlpm.v,
VLOOKUP($I781,'用語辞書'!$A:$B,COLUMN('用語辞書'!B$1),FALSE),
IF(_xlpm.v=0,"",_xlpm.v)
),"")</f>
        <v/>
      </c>
      <c r="K781" s="17"/>
      <c r="L781" s="17" t="str">
        <f>IF(OR(COUNTIF('クラス'!$A$1:$A$1267,$B781)&gt;0,$B781="",$M781=""),"",True)</f>
        <v/>
      </c>
      <c r="M781" s="1" t="str">
        <f t="shared" si="21"/>
        <v>存在しない</v>
      </c>
      <c r="N781" s="1" t="s">
        <v>29</v>
      </c>
      <c r="O781" s="1"/>
      <c r="P781" s="11"/>
      <c r="Q781" s="11"/>
      <c r="R781" s="11"/>
      <c r="S781" s="11"/>
      <c r="T781" s="1"/>
      <c r="U781" s="1"/>
      <c r="V781" s="1"/>
      <c r="W781" s="1"/>
      <c r="X781" s="1"/>
      <c r="Y781" s="1"/>
      <c r="Z781" s="1"/>
    </row>
    <row r="782" ht="18.0" customHeight="1" outlineLevel="2">
      <c r="A782" s="1">
        <v>1.0</v>
      </c>
      <c r="B782" s="26" t="s">
        <v>1296</v>
      </c>
      <c r="C782" s="1"/>
      <c r="D782" s="1"/>
      <c r="E782" s="14"/>
      <c r="F782" s="15"/>
      <c r="G782" s="16"/>
      <c r="H782" s="11"/>
      <c r="I782" s="7"/>
      <c r="J782" s="7" t="str">
        <f>IFERROR(LET(_xlpm.v,
VLOOKUP($I782,'用語辞書'!$A:$B,COLUMN('用語辞書'!B$1),FALSE),
IF(_xlpm.v=0,"",_xlpm.v)
),"")</f>
        <v/>
      </c>
      <c r="K782" s="17"/>
      <c r="L782" s="17" t="b">
        <f>IF(OR(COUNTIF('クラス'!$A$1:$A$1267,$B782)&gt;0,$B782="",$M782=""),"",True)</f>
        <v>1</v>
      </c>
      <c r="M782" s="1" t="str">
        <f t="shared" si="21"/>
        <v>存在しない</v>
      </c>
      <c r="N782" s="1" t="s">
        <v>29</v>
      </c>
      <c r="O782" s="1"/>
      <c r="P782" s="11"/>
      <c r="Q782" s="11"/>
      <c r="R782" s="11"/>
      <c r="S782" s="11"/>
      <c r="T782" s="1"/>
      <c r="U782" s="1"/>
      <c r="V782" s="1"/>
      <c r="W782" s="1"/>
      <c r="X782" s="1"/>
      <c r="Y782" s="1"/>
      <c r="Z782" s="1"/>
    </row>
    <row r="783" ht="18.0" customHeight="1" outlineLevel="2">
      <c r="A783" s="1">
        <v>2.0</v>
      </c>
      <c r="B783" s="1"/>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存在しない</v>
      </c>
      <c r="N783" s="1" t="s">
        <v>29</v>
      </c>
      <c r="O783" s="1"/>
      <c r="P783" s="11"/>
      <c r="Q783" s="11"/>
      <c r="R783" s="11"/>
      <c r="S783" s="11"/>
      <c r="T783" s="1"/>
      <c r="U783" s="1"/>
      <c r="V783" s="1"/>
      <c r="W783" s="1"/>
      <c r="X783" s="1"/>
      <c r="Y783" s="1"/>
      <c r="Z783" s="1"/>
    </row>
    <row r="784" ht="18.0" customHeight="1" outlineLevel="2">
      <c r="A784" s="1">
        <v>3.0</v>
      </c>
      <c r="B784" s="26" t="s">
        <v>1168</v>
      </c>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
      </c>
      <c r="N784" s="1" t="s">
        <v>29</v>
      </c>
      <c r="O784" s="1"/>
      <c r="P784" s="11"/>
      <c r="Q784" s="11"/>
      <c r="R784" s="11"/>
      <c r="S784" s="11"/>
      <c r="T784" s="1"/>
      <c r="U784" s="1"/>
      <c r="V784" s="1"/>
      <c r="W784" s="1"/>
      <c r="X784" s="1"/>
      <c r="Y784" s="1"/>
      <c r="Z784" s="1"/>
    </row>
    <row r="785" ht="18.0" customHeight="1" outlineLevel="2">
      <c r="A785" s="1">
        <v>4.0</v>
      </c>
      <c r="B785" s="1"/>
      <c r="C785" s="1"/>
      <c r="D785" s="1"/>
      <c r="E785" s="14"/>
      <c r="F785" s="15"/>
      <c r="G785" s="16"/>
      <c r="H785" s="11"/>
      <c r="I785" s="7"/>
      <c r="J785" s="7" t="str">
        <f>IFERROR(LET(_xlpm.v,
VLOOKUP($I785,'用語辞書'!$A:$B,COLUMN('用語辞書'!B$1),FALSE),
IF(_xlpm.v=0,"",_xlpm.v)
),"")</f>
        <v/>
      </c>
      <c r="K785" s="17"/>
      <c r="L785" s="17" t="str">
        <f>IF(OR(COUNTIF('クラス'!$A$1:$A$1267,$B785)&gt;0,$B785="",$M785=""),"",True)</f>
        <v/>
      </c>
      <c r="M785" s="1" t="str">
        <f t="shared" si="21"/>
        <v>存在しない</v>
      </c>
      <c r="N785" s="1" t="s">
        <v>29</v>
      </c>
      <c r="O785" s="1"/>
      <c r="P785" s="11"/>
      <c r="Q785" s="11"/>
      <c r="R785" s="11"/>
      <c r="S785" s="11"/>
      <c r="T785" s="1"/>
      <c r="U785" s="1"/>
      <c r="V785" s="1"/>
      <c r="W785" s="1"/>
      <c r="X785" s="1"/>
      <c r="Y785" s="1"/>
      <c r="Z785" s="1"/>
    </row>
    <row r="786" ht="18.0" customHeight="1" outlineLevel="2">
      <c r="A786" s="1">
        <v>5.0</v>
      </c>
      <c r="B786" s="26" t="s">
        <v>1297</v>
      </c>
      <c r="C786" s="1"/>
      <c r="D786" s="26" t="s">
        <v>783</v>
      </c>
      <c r="E786" s="29" t="s">
        <v>33</v>
      </c>
      <c r="F786" s="15"/>
      <c r="G786" s="36">
        <v>0.0</v>
      </c>
      <c r="H786" s="31" t="s">
        <v>1298</v>
      </c>
      <c r="I786" s="7"/>
      <c r="J786" s="7" t="str">
        <f>IFERROR(LET(_xlpm.v,
VLOOKUP($I786,'用語辞書'!$A:$B,COLUMN('用語辞書'!B$1),FALSE),
IF(_xlpm.v=0,"",_xlpm.v)
),"")</f>
        <v/>
      </c>
      <c r="K786" s="17"/>
      <c r="L786" s="17" t="b">
        <f>IF(OR(COUNTIF('クラス'!$A$1:$A$1267,$B786)&gt;0,$B786="",$M786=""),"",True)</f>
        <v>1</v>
      </c>
      <c r="M786" s="1" t="str">
        <f t="shared" si="21"/>
        <v>存在しない</v>
      </c>
      <c r="N786" s="1" t="s">
        <v>29</v>
      </c>
      <c r="O786" s="1"/>
      <c r="P786" s="11"/>
      <c r="Q786" s="11"/>
      <c r="R786" s="11"/>
      <c r="S786" s="11"/>
      <c r="T786" s="1"/>
      <c r="U786" s="1"/>
      <c r="V786" s="1"/>
      <c r="W786" s="1"/>
      <c r="X786" s="1"/>
      <c r="Y786" s="1"/>
      <c r="Z786" s="1"/>
    </row>
    <row r="787" ht="18.0" customHeight="1" outlineLevel="2">
      <c r="A787" s="1">
        <v>6.0</v>
      </c>
      <c r="B787" s="1"/>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存在しない</v>
      </c>
      <c r="N787" s="1" t="s">
        <v>29</v>
      </c>
      <c r="O787" s="1"/>
      <c r="P787" s="11"/>
      <c r="Q787" s="11"/>
      <c r="R787" s="11"/>
      <c r="S787" s="11"/>
      <c r="T787" s="1"/>
      <c r="U787" s="1"/>
      <c r="V787" s="1"/>
      <c r="W787" s="1"/>
      <c r="X787" s="1"/>
      <c r="Y787" s="1"/>
      <c r="Z787" s="1"/>
    </row>
    <row r="788" ht="18.0" customHeight="1" outlineLevel="2">
      <c r="A788" s="1">
        <v>7.0</v>
      </c>
      <c r="B788" s="26" t="s">
        <v>1177</v>
      </c>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
      </c>
      <c r="N788" s="1" t="s">
        <v>29</v>
      </c>
      <c r="O788" s="1"/>
      <c r="P788" s="11"/>
      <c r="Q788" s="11"/>
      <c r="R788" s="11"/>
      <c r="S788" s="11"/>
      <c r="T788" s="1"/>
      <c r="U788" s="1"/>
      <c r="V788" s="1"/>
      <c r="W788" s="1"/>
      <c r="X788" s="1"/>
      <c r="Y788" s="1"/>
      <c r="Z788" s="1"/>
    </row>
    <row r="789" ht="18.0" customHeight="1" outlineLevel="2">
      <c r="A789" s="1">
        <v>8.0</v>
      </c>
      <c r="B789" s="1"/>
      <c r="C789" s="1"/>
      <c r="D789" s="1"/>
      <c r="E789" s="14"/>
      <c r="F789" s="15"/>
      <c r="G789" s="16"/>
      <c r="H789" s="11"/>
      <c r="I789" s="7"/>
      <c r="J789" s="7" t="str">
        <f>IFERROR(LET(_xlpm.v,
VLOOKUP($I789,'用語辞書'!$A:$B,COLUMN('用語辞書'!B$1),FALSE),
IF(_xlpm.v=0,"",_xlpm.v)
),"")</f>
        <v/>
      </c>
      <c r="K789" s="17"/>
      <c r="L789" s="17" t="str">
        <f>IF(OR(COUNTIF('クラス'!$A$1:$A$1267,$B789)&gt;0,$B789="",$M789=""),"",True)</f>
        <v/>
      </c>
      <c r="M789" s="1" t="str">
        <f t="shared" si="21"/>
        <v>存在しない</v>
      </c>
      <c r="N789" s="1" t="s">
        <v>29</v>
      </c>
      <c r="O789" s="1"/>
      <c r="P789" s="11"/>
      <c r="Q789" s="11"/>
      <c r="R789" s="11"/>
      <c r="S789" s="11"/>
      <c r="T789" s="1"/>
      <c r="U789" s="1"/>
      <c r="V789" s="1"/>
      <c r="W789" s="1"/>
      <c r="X789" s="1"/>
      <c r="Y789" s="1"/>
      <c r="Z789" s="1"/>
    </row>
    <row r="790" ht="18.0" customHeight="1" outlineLevel="2">
      <c r="A790" s="1">
        <v>9.0</v>
      </c>
      <c r="B790" s="26" t="s">
        <v>833</v>
      </c>
      <c r="C790" s="1"/>
      <c r="D790" s="26" t="s">
        <v>783</v>
      </c>
      <c r="E790" s="29" t="s">
        <v>33</v>
      </c>
      <c r="F790" s="15"/>
      <c r="G790" s="30">
        <v>60.0</v>
      </c>
      <c r="H790" s="22" t="s">
        <v>1299</v>
      </c>
      <c r="I790" s="7"/>
      <c r="J790" s="7" t="str">
        <f>IFERROR(LET(_xlpm.v,
VLOOKUP($I790,'用語辞書'!$A:$B,COLUMN('用語辞書'!B$1),FALSE),
IF(_xlpm.v=0,"",_xlpm.v)
),"")</f>
        <v/>
      </c>
      <c r="K790" s="17"/>
      <c r="L790" s="17" t="str">
        <f>IF(OR(COUNTIF('クラス'!$A$1:$A$1267,$B790)&gt;0,$B790="",$M790=""),"",True)</f>
        <v/>
      </c>
      <c r="M790" s="1" t="str">
        <f t="shared" si="21"/>
        <v/>
      </c>
      <c r="N790" s="1" t="s">
        <v>29</v>
      </c>
      <c r="O790" s="1"/>
      <c r="P790" s="11"/>
      <c r="Q790" s="11"/>
      <c r="R790" s="11"/>
      <c r="S790" s="11"/>
      <c r="T790" s="1"/>
      <c r="U790" s="1"/>
      <c r="V790" s="1"/>
      <c r="W790" s="1"/>
      <c r="X790" s="1"/>
      <c r="Y790" s="1"/>
      <c r="Z790" s="1"/>
    </row>
    <row r="791" ht="18.0" customHeight="1" outlineLevel="2">
      <c r="A791" s="1">
        <v>10.0</v>
      </c>
      <c r="B791" s="26" t="s">
        <v>1300</v>
      </c>
      <c r="C791" s="1"/>
      <c r="D791" s="26" t="s">
        <v>783</v>
      </c>
      <c r="E791" s="29" t="s">
        <v>33</v>
      </c>
      <c r="F791" s="15"/>
      <c r="G791" s="30">
        <v>50.0</v>
      </c>
      <c r="H791" s="22" t="s">
        <v>1301</v>
      </c>
      <c r="I791" s="7"/>
      <c r="J791" s="7" t="str">
        <f>IFERROR(LET(_xlpm.v,
VLOOKUP($I791,'用語辞書'!$A:$B,COLUMN('用語辞書'!B$1),FALSE),
IF(_xlpm.v=0,"",_xlpm.v)
),"")</f>
        <v/>
      </c>
      <c r="K791" s="17"/>
      <c r="L791" s="17" t="b">
        <f>IF(OR(COUNTIF('クラス'!$A$1:$A$1267,$B791)&gt;0,$B791="",$M791=""),"",True)</f>
        <v>1</v>
      </c>
      <c r="M791" s="1" t="str">
        <f t="shared" si="21"/>
        <v>存在しない</v>
      </c>
      <c r="N791" s="1" t="s">
        <v>29</v>
      </c>
      <c r="O791" s="1"/>
      <c r="P791" s="11"/>
      <c r="Q791" s="11"/>
      <c r="R791" s="11"/>
      <c r="S791" s="11"/>
      <c r="T791" s="1"/>
      <c r="U791" s="1"/>
      <c r="V791" s="1"/>
      <c r="W791" s="1"/>
      <c r="X791" s="1"/>
      <c r="Y791" s="1"/>
      <c r="Z791" s="1"/>
    </row>
    <row r="792" ht="18.0" customHeight="1" outlineLevel="2">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1">
      <c r="A794" s="1"/>
      <c r="B794" s="1" t="s">
        <v>1302</v>
      </c>
      <c r="C794" s="1"/>
      <c r="D794" s="1"/>
      <c r="E794" s="14"/>
      <c r="F794" s="15"/>
      <c r="G794" s="16"/>
      <c r="H794" s="11"/>
      <c r="I794" s="7"/>
      <c r="J794" s="7" t="str">
        <f>IFERROR(LET(_xlpm.v,
VLOOKUP($I794,'用語辞書'!$A:$B,COLUMN('用語辞書'!B$1),FALSE),
IF(_xlpm.v=0,"",_xlpm.v)
),"")</f>
        <v/>
      </c>
      <c r="K794" s="17"/>
      <c r="L794" s="17" t="str">
        <f>IF(OR(COUNTIF('クラス'!$A$1:$A$1267,$B794)&gt;0,$B794="",$M794=""),"",True)</f>
        <v/>
      </c>
      <c r="M794" s="1" t="str">
        <f t="shared" si="21"/>
        <v>存在しない</v>
      </c>
      <c r="N794" s="1" t="s">
        <v>29</v>
      </c>
      <c r="O794" s="1"/>
      <c r="P794" s="11"/>
      <c r="Q794" s="11"/>
      <c r="R794" s="11"/>
      <c r="S794" s="11"/>
      <c r="T794" s="1"/>
      <c r="U794" s="1"/>
      <c r="V794" s="1"/>
      <c r="W794" s="1"/>
      <c r="X794" s="1"/>
      <c r="Y794" s="1"/>
      <c r="Z794" s="1"/>
    </row>
    <row r="795" ht="18.0" customHeight="1" outlineLevel="2">
      <c r="A795" s="1">
        <v>1.0</v>
      </c>
      <c r="B795" s="26" t="s">
        <v>1303</v>
      </c>
      <c r="C795" s="1"/>
      <c r="D795" s="1" t="s">
        <v>1304</v>
      </c>
      <c r="E795" s="14" t="s">
        <v>33</v>
      </c>
      <c r="F795" s="15"/>
      <c r="G795" s="16">
        <v>30.0</v>
      </c>
      <c r="H795" s="22" t="s">
        <v>1305</v>
      </c>
      <c r="I795" s="7"/>
      <c r="J795" s="7" t="str">
        <f>IFERROR(LET(_xlpm.v,
VLOOKUP($I795,'用語辞書'!$A:$B,COLUMN('用語辞書'!B$1),FALSE),
IF(_xlpm.v=0,"",_xlpm.v)
),"")</f>
        <v/>
      </c>
      <c r="K795" s="17"/>
      <c r="L795" s="17" t="b">
        <f>IF(OR(COUNTIF('クラス'!$A$1:$A$1267,$B795)&gt;0,$B795="",$M795=""),"",True)</f>
        <v>1</v>
      </c>
      <c r="M795" s="1" t="str">
        <f t="shared" si="21"/>
        <v>存在しない</v>
      </c>
      <c r="N795" s="1" t="s">
        <v>29</v>
      </c>
      <c r="O795" s="1"/>
      <c r="P795" s="11"/>
      <c r="Q795" s="11"/>
      <c r="R795" s="11"/>
      <c r="S795" s="11"/>
      <c r="T795" s="1"/>
      <c r="U795" s="1"/>
      <c r="V795" s="1"/>
      <c r="W795" s="1"/>
      <c r="X795" s="1"/>
      <c r="Y795" s="1"/>
      <c r="Z795" s="1"/>
    </row>
    <row r="796" ht="18.0" customHeight="1" outlineLevel="2">
      <c r="A796" s="1">
        <v>2.0</v>
      </c>
      <c r="B796" s="1"/>
      <c r="C796" s="1"/>
      <c r="D796" s="1"/>
      <c r="E796" s="14"/>
      <c r="F796" s="15"/>
      <c r="G796" s="16"/>
      <c r="H796" s="11"/>
      <c r="I796" s="7"/>
      <c r="J796" s="7" t="str">
        <f>IFERROR(LET(_xlpm.v,
VLOOKUP($I796,'用語辞書'!$A:$B,COLUMN('用語辞書'!B$1),FALSE),
IF(_xlpm.v=0,"",_xlpm.v)
),"")</f>
        <v/>
      </c>
      <c r="K796" s="17"/>
      <c r="L796" s="17" t="str">
        <f>IF(OR(COUNTIF('クラス'!$A$1:$A$1267,$B796)&gt;0,$B796="",$M796=""),"",True)</f>
        <v/>
      </c>
      <c r="M796" s="1" t="str">
        <f t="shared" si="21"/>
        <v>存在しない</v>
      </c>
      <c r="N796" s="1" t="s">
        <v>29</v>
      </c>
      <c r="O796" s="1"/>
      <c r="P796" s="11"/>
      <c r="Q796" s="11"/>
      <c r="R796" s="11"/>
      <c r="S796" s="11"/>
      <c r="T796" s="1"/>
      <c r="U796" s="1"/>
      <c r="V796" s="1"/>
      <c r="W796" s="1"/>
      <c r="X796" s="1"/>
      <c r="Y796" s="1"/>
      <c r="Z796" s="1"/>
    </row>
    <row r="797" ht="18.0" customHeight="1" outlineLevel="2">
      <c r="A797" s="1">
        <v>3.0</v>
      </c>
      <c r="B797" s="26" t="s">
        <v>1306</v>
      </c>
      <c r="C797" s="1"/>
      <c r="D797" s="1"/>
      <c r="E797" s="29" t="s">
        <v>55</v>
      </c>
      <c r="F797" s="15"/>
      <c r="G797" s="16"/>
      <c r="H797" s="22" t="s">
        <v>1307</v>
      </c>
      <c r="I797" s="7"/>
      <c r="J797" s="7" t="str">
        <f>IFERROR(LET(_xlpm.v,
VLOOKUP($I797,'用語辞書'!$A:$B,COLUMN('用語辞書'!B$1),FALSE),
IF(_xlpm.v=0,"",_xlpm.v)
),"")</f>
        <v/>
      </c>
      <c r="K797" s="17"/>
      <c r="L797" s="17" t="b">
        <f>IF(OR(COUNTIF('クラス'!$A$1:$A$1267,$B797)&gt;0,$B797="",$M797=""),"",True)</f>
        <v>1</v>
      </c>
      <c r="M797" s="1" t="str">
        <f t="shared" si="21"/>
        <v>存在しない</v>
      </c>
      <c r="N797" s="1" t="s">
        <v>29</v>
      </c>
      <c r="O797" s="1"/>
      <c r="P797" s="11"/>
      <c r="Q797" s="11"/>
      <c r="R797" s="11"/>
      <c r="S797" s="11"/>
      <c r="T797" s="1"/>
      <c r="U797" s="1"/>
      <c r="V797" s="1"/>
      <c r="W797" s="1"/>
      <c r="X797" s="1"/>
      <c r="Y797" s="1"/>
      <c r="Z797" s="1"/>
    </row>
    <row r="798" ht="18.0" customHeight="1" outlineLevel="2">
      <c r="A798" s="1">
        <v>4.0</v>
      </c>
      <c r="B798" s="1"/>
      <c r="C798" s="1"/>
      <c r="D798" s="1"/>
      <c r="E798" s="14"/>
      <c r="F798" s="15"/>
      <c r="G798" s="16"/>
      <c r="H798" s="11"/>
      <c r="I798" s="7"/>
      <c r="J798" s="7" t="str">
        <f>IFERROR(LET(_xlpm.v,
VLOOKUP($I798,'用語辞書'!$A:$B,COLUMN('用語辞書'!B$1),FALSE),
IF(_xlpm.v=0,"",_xlpm.v)
),"")</f>
        <v/>
      </c>
      <c r="K798" s="17"/>
      <c r="L798" s="17" t="str">
        <f>IF(OR(COUNTIF('クラス'!$A$1:$A$1267,$B798)&gt;0,$B798="",$M798=""),"",True)</f>
        <v/>
      </c>
      <c r="M798" s="1" t="str">
        <f t="shared" si="21"/>
        <v>存在しない</v>
      </c>
      <c r="N798" s="1" t="s">
        <v>29</v>
      </c>
      <c r="O798" s="1"/>
      <c r="P798" s="11"/>
      <c r="Q798" s="11"/>
      <c r="R798" s="11"/>
      <c r="S798" s="11"/>
      <c r="T798" s="1"/>
      <c r="U798" s="1"/>
      <c r="V798" s="1"/>
      <c r="W798" s="1"/>
      <c r="X798" s="1"/>
      <c r="Y798" s="1"/>
      <c r="Z798" s="1"/>
    </row>
    <row r="799" ht="18.0" customHeight="1" outlineLevel="2">
      <c r="A799" s="1">
        <v>5.0</v>
      </c>
      <c r="B799" s="26" t="s">
        <v>1308</v>
      </c>
      <c r="C799" s="1"/>
      <c r="D799" s="1" t="s">
        <v>1309</v>
      </c>
      <c r="E799" s="14" t="s">
        <v>33</v>
      </c>
      <c r="F799" s="15"/>
      <c r="G799" s="16">
        <v>100.0</v>
      </c>
      <c r="H799" s="11" t="s">
        <v>1310</v>
      </c>
      <c r="I799" s="7"/>
      <c r="J799" s="7" t="str">
        <f>IFERROR(LET(_xlpm.v,
VLOOKUP($I799,'用語辞書'!$A:$B,COLUMN('用語辞書'!B$1),FALSE),
IF(_xlpm.v=0,"",_xlpm.v)
),"")</f>
        <v/>
      </c>
      <c r="K799" s="17"/>
      <c r="L799" s="17" t="b">
        <f>IF(OR(COUNTIF('クラス'!$A$1:$A$1267,$B799)&gt;0,$B799="",$M799=""),"",True)</f>
        <v>1</v>
      </c>
      <c r="M799" s="1" t="str">
        <f t="shared" si="21"/>
        <v>存在しない</v>
      </c>
      <c r="N799" s="1" t="s">
        <v>29</v>
      </c>
      <c r="O799" s="1"/>
      <c r="P799" s="11"/>
      <c r="Q799" s="11"/>
      <c r="R799" s="11"/>
      <c r="S799" s="11"/>
      <c r="T799" s="1"/>
      <c r="U799" s="1"/>
      <c r="V799" s="1"/>
      <c r="W799" s="1"/>
      <c r="X799" s="1"/>
      <c r="Y799" s="1"/>
      <c r="Z799" s="1"/>
    </row>
    <row r="800" ht="18.0" customHeight="1" outlineLevel="2">
      <c r="A800" s="1">
        <v>6.0</v>
      </c>
      <c r="B800" s="1"/>
      <c r="C800" s="1"/>
      <c r="D800" s="1"/>
      <c r="E800" s="14"/>
      <c r="F800" s="15"/>
      <c r="G800" s="16"/>
      <c r="H800" s="11"/>
      <c r="I800" s="7"/>
      <c r="J800" s="7" t="str">
        <f>IFERROR(LET(_xlpm.v,
VLOOKUP($I800,'用語辞書'!$A:$B,COLUMN('用語辞書'!B$1),FALSE),
IF(_xlpm.v=0,"",_xlpm.v)
),"")</f>
        <v/>
      </c>
      <c r="K800" s="17"/>
      <c r="L800" s="17" t="str">
        <f>IF(OR(COUNTIF('クラス'!$A$1:$A$1267,$B800)&gt;0,$B800="",$M800=""),"",True)</f>
        <v/>
      </c>
      <c r="M800" s="1" t="str">
        <f t="shared" si="21"/>
        <v>存在しない</v>
      </c>
      <c r="N800" s="1" t="s">
        <v>29</v>
      </c>
      <c r="O800" s="1"/>
      <c r="P800" s="11"/>
      <c r="Q800" s="11"/>
      <c r="R800" s="11"/>
      <c r="S800" s="11"/>
      <c r="T800" s="1"/>
      <c r="U800" s="1"/>
      <c r="V800" s="1"/>
      <c r="W800" s="1"/>
      <c r="X800" s="1"/>
      <c r="Y800" s="1"/>
      <c r="Z800" s="1"/>
    </row>
    <row r="801" ht="18.0" customHeight="1" outlineLevel="2">
      <c r="A801" s="1">
        <v>7.0</v>
      </c>
      <c r="B801" s="26" t="s">
        <v>1311</v>
      </c>
      <c r="C801" s="1"/>
      <c r="D801" s="1"/>
      <c r="E801" s="29" t="s">
        <v>55</v>
      </c>
      <c r="F801" s="15"/>
      <c r="G801" s="16"/>
      <c r="H801" s="22" t="s">
        <v>1312</v>
      </c>
      <c r="I801" s="7"/>
      <c r="J801" s="7" t="str">
        <f>IFERROR(LET(_xlpm.v,
VLOOKUP($I801,'用語辞書'!$A:$B,COLUMN('用語辞書'!B$1),FALSE),
IF(_xlpm.v=0,"",_xlpm.v)
),"")</f>
        <v/>
      </c>
      <c r="K801" s="17"/>
      <c r="L801" s="17" t="b">
        <f>IF(OR(COUNTIF('クラス'!$A$1:$A$1267,$B801)&gt;0,$B801="",$M801=""),"",True)</f>
        <v>1</v>
      </c>
      <c r="M801" s="1" t="str">
        <f t="shared" si="21"/>
        <v>存在しない</v>
      </c>
      <c r="N801" s="1" t="s">
        <v>29</v>
      </c>
      <c r="O801" s="1"/>
      <c r="P801" s="11"/>
      <c r="Q801" s="11"/>
      <c r="R801" s="11"/>
      <c r="S801" s="11"/>
      <c r="T801" s="1"/>
      <c r="U801" s="1"/>
      <c r="V801" s="1"/>
      <c r="W801" s="1"/>
      <c r="X801" s="1"/>
      <c r="Y801" s="1"/>
      <c r="Z801" s="1"/>
    </row>
    <row r="802" ht="18.0" customHeight="1" outlineLevel="2">
      <c r="A802" s="1">
        <v>8.0</v>
      </c>
      <c r="B802" s="1"/>
      <c r="C802" s="1"/>
      <c r="D802" s="1"/>
      <c r="E802" s="14"/>
      <c r="F802" s="15"/>
      <c r="G802" s="16"/>
      <c r="H802" s="11"/>
      <c r="I802" s="7"/>
      <c r="J802" s="7" t="str">
        <f>IFERROR(LET(_xlpm.v,
VLOOKUP($I802,'用語辞書'!$A:$B,COLUMN('用語辞書'!B$1),FALSE),
IF(_xlpm.v=0,"",_xlpm.v)
),"")</f>
        <v/>
      </c>
      <c r="K802" s="17"/>
      <c r="L802" s="17" t="str">
        <f>IF(OR(COUNTIF('クラス'!$A$1:$A$1267,$B802)&gt;0,$B802="",$M802=""),"",True)</f>
        <v/>
      </c>
      <c r="M802" s="1" t="str">
        <f t="shared" si="21"/>
        <v>存在しない</v>
      </c>
      <c r="N802" s="1" t="s">
        <v>29</v>
      </c>
      <c r="O802" s="1"/>
      <c r="P802" s="11"/>
      <c r="Q802" s="11"/>
      <c r="R802" s="11"/>
      <c r="S802" s="11"/>
      <c r="T802" s="1"/>
      <c r="U802" s="1"/>
      <c r="V802" s="1"/>
      <c r="W802" s="1"/>
      <c r="X802" s="1"/>
      <c r="Y802" s="1"/>
      <c r="Z802" s="1"/>
    </row>
    <row r="803" ht="18.0" customHeight="1" outlineLevel="2">
      <c r="A803" s="1">
        <v>9.0</v>
      </c>
      <c r="B803" s="26" t="s">
        <v>1313</v>
      </c>
      <c r="C803" s="1"/>
      <c r="D803" s="1"/>
      <c r="E803" s="29" t="s">
        <v>33</v>
      </c>
      <c r="F803" s="15"/>
      <c r="G803" s="30">
        <v>40.0</v>
      </c>
      <c r="H803" s="22" t="s">
        <v>1314</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v>10.0</v>
      </c>
      <c r="B804" s="26" t="s">
        <v>1315</v>
      </c>
      <c r="C804" s="1"/>
      <c r="D804" s="1" t="s">
        <v>1309</v>
      </c>
      <c r="E804" s="14" t="s">
        <v>33</v>
      </c>
      <c r="F804" s="15"/>
      <c r="G804" s="16">
        <v>100.0</v>
      </c>
      <c r="H804" s="11" t="s">
        <v>1316</v>
      </c>
      <c r="I804" s="7"/>
      <c r="J804" s="7" t="str">
        <f>IFERROR(LET(_xlpm.v,
VLOOKUP($I804,'用語辞書'!$A:$B,COLUMN('用語辞書'!B$1),FALSE),
IF(_xlpm.v=0,"",_xlpm.v)
),"")</f>
        <v/>
      </c>
      <c r="K804" s="17"/>
      <c r="L804" s="17" t="b">
        <f>IF(OR(COUNTIF('クラス'!$A$1:$A$1267,$B804)&gt;0,$B804="",$M804=""),"",True)</f>
        <v>1</v>
      </c>
      <c r="M804" s="1" t="str">
        <f t="shared" si="21"/>
        <v>存在しない</v>
      </c>
      <c r="N804" s="1" t="s">
        <v>29</v>
      </c>
      <c r="O804" s="1"/>
      <c r="P804" s="11"/>
      <c r="Q804" s="11"/>
      <c r="R804" s="11"/>
      <c r="S804" s="11"/>
      <c r="T804" s="1"/>
      <c r="U804" s="1"/>
      <c r="V804" s="1"/>
      <c r="W804" s="1"/>
      <c r="X804" s="1"/>
      <c r="Y804" s="1"/>
      <c r="Z804" s="1"/>
    </row>
    <row r="805" ht="18.0" customHeight="1" outlineLevel="2">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1">
      <c r="A808" s="1"/>
      <c r="B808" s="1" t="s">
        <v>1317</v>
      </c>
      <c r="C808" s="1"/>
      <c r="D808" s="1"/>
      <c r="E808" s="14"/>
      <c r="F808" s="15"/>
      <c r="G808" s="16"/>
      <c r="H808" s="11"/>
      <c r="I808" s="7"/>
      <c r="J808" s="7" t="str">
        <f>IFERROR(LET(_xlpm.v,
VLOOKUP($I808,'用語辞書'!$A:$B,COLUMN('用語辞書'!B$1),FALSE),
IF(_xlpm.v=0,"",_xlpm.v)
),"")</f>
        <v/>
      </c>
      <c r="K808" s="17"/>
      <c r="L808" s="17" t="str">
        <f>IF(OR(COUNTIF('クラス'!$A$1:$A$1267,$B808)&gt;0,$B808="",$M808=""),"",True)</f>
        <v/>
      </c>
      <c r="M808" s="1" t="str">
        <f t="shared" si="21"/>
        <v>存在しない</v>
      </c>
      <c r="N808" s="1" t="s">
        <v>29</v>
      </c>
      <c r="O808" s="1"/>
      <c r="P808" s="11"/>
      <c r="Q808" s="11"/>
      <c r="R808" s="11"/>
      <c r="S808" s="11"/>
      <c r="T808" s="1"/>
      <c r="U808" s="1"/>
      <c r="V808" s="1"/>
      <c r="W808" s="1"/>
      <c r="X808" s="1"/>
      <c r="Y808" s="1"/>
      <c r="Z808" s="1"/>
    </row>
    <row r="809" ht="18.0" customHeight="1" outlineLevel="2">
      <c r="A809" s="1">
        <v>1.0</v>
      </c>
      <c r="B809" s="26" t="s">
        <v>1318</v>
      </c>
      <c r="C809" s="1"/>
      <c r="D809" s="1"/>
      <c r="E809" s="29" t="s">
        <v>55</v>
      </c>
      <c r="F809" s="15"/>
      <c r="G809" s="16"/>
      <c r="H809" s="22" t="s">
        <v>1319</v>
      </c>
      <c r="I809" s="7"/>
      <c r="J809" s="7" t="str">
        <f>IFERROR(LET(_xlpm.v,
VLOOKUP($I809,'用語辞書'!$A:$B,COLUMN('用語辞書'!B$1),FALSE),
IF(_xlpm.v=0,"",_xlpm.v)
),"")</f>
        <v/>
      </c>
      <c r="K809" s="17"/>
      <c r="L809" s="17" t="b">
        <f>IF(OR(COUNTIF('クラス'!$A$1:$A$1267,$B809)&gt;0,$B809="",$M809=""),"",True)</f>
        <v>1</v>
      </c>
      <c r="M809" s="1" t="str">
        <f t="shared" si="21"/>
        <v>存在しない</v>
      </c>
      <c r="N809" s="1" t="s">
        <v>29</v>
      </c>
      <c r="O809" s="1"/>
      <c r="P809" s="11"/>
      <c r="Q809" s="11"/>
      <c r="R809" s="11"/>
      <c r="S809" s="11"/>
      <c r="T809" s="1"/>
      <c r="U809" s="1"/>
      <c r="V809" s="1"/>
      <c r="W809" s="1"/>
      <c r="X809" s="1"/>
      <c r="Y809" s="1"/>
      <c r="Z809" s="1"/>
    </row>
    <row r="810" ht="18.0" customHeight="1" outlineLevel="2">
      <c r="A810" s="1">
        <v>2.0</v>
      </c>
      <c r="B810" s="1"/>
      <c r="C810" s="1"/>
      <c r="D810" s="1"/>
      <c r="E810" s="14"/>
      <c r="F810" s="15"/>
      <c r="G810" s="16"/>
      <c r="H810" s="11"/>
      <c r="I810" s="7"/>
      <c r="J810" s="7" t="str">
        <f>IFERROR(LET(_xlpm.v,
VLOOKUP($I810,'用語辞書'!$A:$B,COLUMN('用語辞書'!B$1),FALSE),
IF(_xlpm.v=0,"",_xlpm.v)
),"")</f>
        <v/>
      </c>
      <c r="K810" s="17"/>
      <c r="L810" s="17" t="str">
        <f>IF(OR(COUNTIF('クラス'!$A$1:$A$1267,$B810)&gt;0,$B810="",$M810=""),"",True)</f>
        <v/>
      </c>
      <c r="M810" s="1" t="str">
        <f t="shared" si="21"/>
        <v>存在しない</v>
      </c>
      <c r="N810" s="1" t="s">
        <v>29</v>
      </c>
      <c r="O810" s="1"/>
      <c r="P810" s="11"/>
      <c r="Q810" s="11"/>
      <c r="R810" s="11"/>
      <c r="S810" s="11"/>
      <c r="T810" s="1"/>
      <c r="U810" s="1"/>
      <c r="V810" s="1"/>
      <c r="W810" s="1"/>
      <c r="X810" s="1"/>
      <c r="Y810" s="1"/>
      <c r="Z810" s="1"/>
    </row>
    <row r="811" ht="18.0" customHeight="1" outlineLevel="2">
      <c r="A811" s="1">
        <v>3.0</v>
      </c>
      <c r="B811" s="26" t="s">
        <v>1320</v>
      </c>
      <c r="C811" s="1"/>
      <c r="D811" s="1"/>
      <c r="E811" s="29" t="s">
        <v>55</v>
      </c>
      <c r="F811" s="15"/>
      <c r="G811" s="16"/>
      <c r="H811" s="22" t="s">
        <v>1321</v>
      </c>
      <c r="I811" s="7"/>
      <c r="J811" s="7" t="str">
        <f>IFERROR(LET(_xlpm.v,
VLOOKUP($I811,'用語辞書'!$A:$B,COLUMN('用語辞書'!B$1),FALSE),
IF(_xlpm.v=0,"",_xlpm.v)
),"")</f>
        <v/>
      </c>
      <c r="K811" s="17"/>
      <c r="L811" s="17" t="b">
        <f>IF(OR(COUNTIF('クラス'!$A$1:$A$1267,$B811)&gt;0,$B811="",$M811=""),"",True)</f>
        <v>1</v>
      </c>
      <c r="M811" s="1" t="str">
        <f t="shared" si="21"/>
        <v>存在しない</v>
      </c>
      <c r="N811" s="1" t="s">
        <v>29</v>
      </c>
      <c r="O811" s="1"/>
      <c r="P811" s="11"/>
      <c r="Q811" s="11"/>
      <c r="R811" s="11"/>
      <c r="S811" s="11"/>
      <c r="T811" s="1"/>
      <c r="U811" s="1"/>
      <c r="V811" s="1"/>
      <c r="W811" s="1"/>
      <c r="X811" s="1"/>
      <c r="Y811" s="1"/>
      <c r="Z811" s="1"/>
    </row>
    <row r="812" ht="18.0" customHeight="1" outlineLevel="2">
      <c r="A812" s="1">
        <v>4.0</v>
      </c>
      <c r="B812" s="1"/>
      <c r="C812" s="1"/>
      <c r="D812" s="1"/>
      <c r="E812" s="14"/>
      <c r="F812" s="15"/>
      <c r="G812" s="16"/>
      <c r="H812" s="11"/>
      <c r="I812" s="7"/>
      <c r="J812" s="7" t="str">
        <f>IFERROR(LET(_xlpm.v,
VLOOKUP($I812,'用語辞書'!$A:$B,COLUMN('用語辞書'!B$1),FALSE),
IF(_xlpm.v=0,"",_xlpm.v)
),"")</f>
        <v/>
      </c>
      <c r="K812" s="17"/>
      <c r="L812" s="17" t="str">
        <f>IF(OR(COUNTIF('クラス'!$A$1:$A$1267,$B812)&gt;0,$B812="",$M812=""),"",True)</f>
        <v/>
      </c>
      <c r="M812" s="1" t="str">
        <f t="shared" si="21"/>
        <v>存在しない</v>
      </c>
      <c r="N812" s="1" t="s">
        <v>29</v>
      </c>
      <c r="O812" s="1"/>
      <c r="P812" s="11"/>
      <c r="Q812" s="11"/>
      <c r="R812" s="11"/>
      <c r="S812" s="11"/>
      <c r="T812" s="1"/>
      <c r="U812" s="1"/>
      <c r="V812" s="1"/>
      <c r="W812" s="1"/>
      <c r="X812" s="1"/>
      <c r="Y812" s="1"/>
      <c r="Z812" s="1"/>
    </row>
    <row r="813" ht="18.0" customHeight="1" outlineLevel="2">
      <c r="A813" s="1">
        <v>5.0</v>
      </c>
      <c r="B813" s="26" t="s">
        <v>1322</v>
      </c>
      <c r="C813" s="1"/>
      <c r="D813" s="26" t="s">
        <v>644</v>
      </c>
      <c r="E813" s="29" t="s">
        <v>33</v>
      </c>
      <c r="F813" s="15"/>
      <c r="G813" s="30">
        <v>50.0</v>
      </c>
      <c r="H813" s="22" t="s">
        <v>1323</v>
      </c>
      <c r="I813" s="7"/>
      <c r="J813" s="7" t="str">
        <f>IFERROR(LET(_xlpm.v,
VLOOKUP($I813,'用語辞書'!$A:$B,COLUMN('用語辞書'!B$1),FALSE),
IF(_xlpm.v=0,"",_xlpm.v)
),"")</f>
        <v/>
      </c>
      <c r="K813" s="17"/>
      <c r="L813" s="17" t="b">
        <f>IF(OR(COUNTIF('クラス'!$A$1:$A$1267,$B813)&gt;0,$B813="",$M813=""),"",True)</f>
        <v>1</v>
      </c>
      <c r="M813" s="1" t="str">
        <f t="shared" si="21"/>
        <v>存在しない</v>
      </c>
      <c r="N813" s="1" t="s">
        <v>29</v>
      </c>
      <c r="O813" s="1"/>
      <c r="P813" s="11"/>
      <c r="Q813" s="11"/>
      <c r="R813" s="11"/>
      <c r="S813" s="11"/>
      <c r="T813" s="1"/>
      <c r="U813" s="1"/>
      <c r="V813" s="1"/>
      <c r="W813" s="1"/>
      <c r="X813" s="1"/>
      <c r="Y813" s="1"/>
      <c r="Z813" s="1"/>
    </row>
    <row r="814" ht="18.0" customHeight="1" outlineLevel="2">
      <c r="A814" s="1">
        <v>6.0</v>
      </c>
      <c r="B814" s="1"/>
      <c r="C814" s="1"/>
      <c r="D814" s="1"/>
      <c r="E814" s="14"/>
      <c r="F814" s="15"/>
      <c r="G814" s="16"/>
      <c r="H814" s="11"/>
      <c r="I814" s="7"/>
      <c r="J814" s="7" t="str">
        <f>IFERROR(LET(_xlpm.v,
VLOOKUP($I814,'用語辞書'!$A:$B,COLUMN('用語辞書'!B$1),FALSE),
IF(_xlpm.v=0,"",_xlpm.v)
),"")</f>
        <v/>
      </c>
      <c r="K814" s="17"/>
      <c r="L814" s="17" t="str">
        <f>IF(OR(COUNTIF('クラス'!$A$1:$A$1267,$B814)&gt;0,$B814="",$M814=""),"",True)</f>
        <v/>
      </c>
      <c r="M814" s="1" t="str">
        <f t="shared" si="21"/>
        <v>存在しない</v>
      </c>
      <c r="N814" s="1" t="s">
        <v>29</v>
      </c>
      <c r="O814" s="1"/>
      <c r="P814" s="11"/>
      <c r="Q814" s="11"/>
      <c r="R814" s="11"/>
      <c r="S814" s="11"/>
      <c r="T814" s="1"/>
      <c r="U814" s="1"/>
      <c r="V814" s="1"/>
      <c r="W814" s="1"/>
      <c r="X814" s="1"/>
      <c r="Y814" s="1"/>
      <c r="Z814" s="1"/>
    </row>
    <row r="815" ht="18.0" customHeight="1" outlineLevel="2">
      <c r="A815" s="1">
        <v>7.0</v>
      </c>
      <c r="B815" s="26" t="s">
        <v>1324</v>
      </c>
      <c r="C815" s="1"/>
      <c r="D815" s="1"/>
      <c r="E815" s="29" t="s">
        <v>33</v>
      </c>
      <c r="F815" s="15"/>
      <c r="G815" s="30">
        <v>60.0</v>
      </c>
      <c r="H815" s="22" t="s">
        <v>1325</v>
      </c>
      <c r="I815" s="7"/>
      <c r="J815" s="7" t="str">
        <f>IFERROR(LET(_xlpm.v,
VLOOKUP($I815,'用語辞書'!$A:$B,COLUMN('用語辞書'!B$1),FALSE),
IF(_xlpm.v=0,"",_xlpm.v)
),"")</f>
        <v/>
      </c>
      <c r="K815" s="17"/>
      <c r="L815" s="17" t="b">
        <f>IF(OR(COUNTIF('クラス'!$A$1:$A$1267,$B815)&gt;0,$B815="",$M815=""),"",True)</f>
        <v>1</v>
      </c>
      <c r="M815" s="1" t="str">
        <f t="shared" si="21"/>
        <v>存在しない</v>
      </c>
      <c r="N815" s="1" t="s">
        <v>29</v>
      </c>
      <c r="O815" s="1"/>
      <c r="P815" s="11"/>
      <c r="Q815" s="11"/>
      <c r="R815" s="11"/>
      <c r="S815" s="11"/>
      <c r="T815" s="1"/>
      <c r="U815" s="1"/>
      <c r="V815" s="1"/>
      <c r="W815" s="1"/>
      <c r="X815" s="1"/>
      <c r="Y815" s="1"/>
      <c r="Z815" s="1"/>
    </row>
    <row r="816" ht="18.0" customHeight="1" outlineLevel="2">
      <c r="A816" s="1">
        <v>8.0</v>
      </c>
      <c r="B816" s="1"/>
      <c r="C816" s="1"/>
      <c r="D816" s="1"/>
      <c r="E816" s="14"/>
      <c r="F816" s="15"/>
      <c r="G816" s="16"/>
      <c r="H816" s="11"/>
      <c r="I816" s="7"/>
      <c r="J816" s="7" t="str">
        <f>IFERROR(LET(_xlpm.v,
VLOOKUP($I816,'用語辞書'!$A:$B,COLUMN('用語辞書'!B$1),FALSE),
IF(_xlpm.v=0,"",_xlpm.v)
),"")</f>
        <v/>
      </c>
      <c r="K816" s="17"/>
      <c r="L816" s="17" t="str">
        <f>IF(OR(COUNTIF('クラス'!$A$1:$A$1267,$B816)&gt;0,$B816="",$M816=""),"",True)</f>
        <v/>
      </c>
      <c r="M816" s="1" t="str">
        <f t="shared" si="21"/>
        <v>存在しない</v>
      </c>
      <c r="N816" s="1" t="s">
        <v>29</v>
      </c>
      <c r="O816" s="1"/>
      <c r="P816" s="11"/>
      <c r="Q816" s="11"/>
      <c r="R816" s="11"/>
      <c r="S816" s="11"/>
      <c r="T816" s="1"/>
      <c r="U816" s="1"/>
      <c r="V816" s="1"/>
      <c r="W816" s="1"/>
      <c r="X816" s="1"/>
      <c r="Y816" s="1"/>
      <c r="Z816" s="1"/>
    </row>
    <row r="817" ht="18.0" customHeight="1" outlineLevel="2">
      <c r="A817" s="1">
        <v>9.0</v>
      </c>
      <c r="B817" s="26" t="s">
        <v>1326</v>
      </c>
      <c r="C817" s="1"/>
      <c r="D817" s="1"/>
      <c r="E817" s="29" t="s">
        <v>55</v>
      </c>
      <c r="F817" s="15"/>
      <c r="G817" s="16"/>
      <c r="H817" s="22" t="s">
        <v>1327</v>
      </c>
      <c r="I817" s="7"/>
      <c r="J817" s="7" t="str">
        <f>IFERROR(LET(_xlpm.v,
VLOOKUP($I817,'用語辞書'!$A:$B,COLUMN('用語辞書'!B$1),FALSE),
IF(_xlpm.v=0,"",_xlpm.v)
),"")</f>
        <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v>10.0</v>
      </c>
      <c r="B818" s="26" t="s">
        <v>1328</v>
      </c>
      <c r="C818" s="1"/>
      <c r="D818" s="1"/>
      <c r="E818" s="29" t="s">
        <v>55</v>
      </c>
      <c r="F818" s="15"/>
      <c r="G818" s="16"/>
      <c r="H818" s="22" t="s">
        <v>1329</v>
      </c>
      <c r="I818" s="32" t="s">
        <v>1330</v>
      </c>
      <c r="J818" s="7" t="str">
        <f>IFERROR(LET(_xlpm.v,
VLOOKUP($I818,'用語辞書'!$A:$B,COLUMN('用語辞書'!B$1),FALSE),
IF(_xlpm.v=0,"",_xlpm.v)
),"")</f>
        <v>HP0でも一定ターン生存</v>
      </c>
      <c r="K818" s="17"/>
      <c r="L818" s="17" t="b">
        <f>IF(OR(COUNTIF('クラス'!$A$1:$A$1267,$B818)&gt;0,$B818="",$M818=""),"",True)</f>
        <v>1</v>
      </c>
      <c r="M818" s="1" t="str">
        <f t="shared" si="21"/>
        <v>存在しない</v>
      </c>
      <c r="N818" s="1" t="s">
        <v>29</v>
      </c>
      <c r="O818" s="1"/>
      <c r="P818" s="11"/>
      <c r="Q818" s="11"/>
      <c r="R818" s="11"/>
      <c r="S818" s="11"/>
      <c r="T818" s="1"/>
      <c r="U818" s="1"/>
      <c r="V818" s="1"/>
      <c r="W818" s="1"/>
      <c r="X818" s="1"/>
      <c r="Y818" s="1"/>
      <c r="Z818" s="1"/>
    </row>
    <row r="819" ht="18.0" customHeight="1" outlineLevel="2">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ollapsed="1">
      <c r="A820" s="1"/>
      <c r="B820" s="1"/>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1">
      <c r="A821" s="1"/>
      <c r="B821" s="1" t="s">
        <v>1331</v>
      </c>
      <c r="C821" s="1"/>
      <c r="D821" s="1"/>
      <c r="E821" s="14"/>
      <c r="F821" s="15"/>
      <c r="G821" s="16"/>
      <c r="H821" s="11"/>
      <c r="I821" s="7"/>
      <c r="J821" s="7" t="str">
        <f>IFERROR(LET(_xlpm.v,
VLOOKUP($I821,'用語辞書'!$A:$B,COLUMN('用語辞書'!B$1),FALSE),
IF(_xlpm.v=0,"",_xlpm.v)
),"")</f>
        <v/>
      </c>
      <c r="K821" s="17"/>
      <c r="L821" s="17" t="str">
        <f>IF(OR(COUNTIF('クラス'!$A$1:$A$1267,$B821)&gt;0,$B821="",$M821=""),"",True)</f>
        <v/>
      </c>
      <c r="M821" s="1" t="str">
        <f t="shared" si="21"/>
        <v>存在しない</v>
      </c>
      <c r="N821" s="1" t="s">
        <v>29</v>
      </c>
      <c r="O821" s="1"/>
      <c r="P821" s="11"/>
      <c r="Q821" s="11"/>
      <c r="R821" s="11"/>
      <c r="S821" s="11"/>
      <c r="T821" s="1"/>
      <c r="U821" s="1"/>
      <c r="V821" s="1"/>
      <c r="W821" s="1"/>
      <c r="X821" s="1"/>
      <c r="Y821" s="1"/>
      <c r="Z821" s="1"/>
    </row>
    <row r="822" ht="18.0" customHeight="1" outlineLevel="2">
      <c r="A822" s="1">
        <v>1.0</v>
      </c>
      <c r="B822" s="26" t="s">
        <v>1332</v>
      </c>
      <c r="C822" s="1"/>
      <c r="D822" s="1"/>
      <c r="E822" s="29" t="s">
        <v>55</v>
      </c>
      <c r="F822" s="15"/>
      <c r="G822" s="16"/>
      <c r="H822" s="22" t="s">
        <v>1333</v>
      </c>
      <c r="I822" s="7"/>
      <c r="J822" s="7" t="str">
        <f>IFERROR(LET(_xlpm.v,
VLOOKUP($I822,'用語辞書'!$A:$B,COLUMN('用語辞書'!B$1),FALSE),
IF(_xlpm.v=0,"",_xlpm.v)
),"")</f>
        <v/>
      </c>
      <c r="K822" s="17"/>
      <c r="L822" s="17" t="b">
        <f>IF(OR(COUNTIF('クラス'!$A$1:$A$1267,$B822)&gt;0,$B822="",$M822=""),"",True)</f>
        <v>1</v>
      </c>
      <c r="M822" s="1" t="str">
        <f t="shared" si="21"/>
        <v>存在しない</v>
      </c>
      <c r="N822" s="1" t="s">
        <v>29</v>
      </c>
      <c r="O822" s="1"/>
      <c r="P822" s="11"/>
      <c r="Q822" s="11"/>
      <c r="R822" s="11"/>
      <c r="S822" s="11"/>
      <c r="T822" s="1"/>
      <c r="U822" s="1"/>
      <c r="V822" s="1"/>
      <c r="W822" s="1"/>
      <c r="X822" s="1"/>
      <c r="Y822" s="1"/>
      <c r="Z822" s="1"/>
    </row>
    <row r="823" ht="18.0" customHeight="1" outlineLevel="2">
      <c r="A823" s="1">
        <v>2.0</v>
      </c>
      <c r="B823" s="1"/>
      <c r="C823" s="1"/>
      <c r="D823" s="1"/>
      <c r="E823" s="14"/>
      <c r="F823" s="15"/>
      <c r="G823" s="16"/>
      <c r="H823" s="11"/>
      <c r="I823" s="7"/>
      <c r="J823" s="7" t="str">
        <f>IFERROR(LET(_xlpm.v,
VLOOKUP($I823,'用語辞書'!$A:$B,COLUMN('用語辞書'!B$1),FALSE),
IF(_xlpm.v=0,"",_xlpm.v)
),"")</f>
        <v/>
      </c>
      <c r="K823" s="17"/>
      <c r="L823" s="17" t="str">
        <f>IF(OR(COUNTIF('クラス'!$A$1:$A$1267,$B823)&gt;0,$B823="",$M823=""),"",True)</f>
        <v/>
      </c>
      <c r="M823" s="1" t="str">
        <f t="shared" si="21"/>
        <v>存在しない</v>
      </c>
      <c r="N823" s="1" t="s">
        <v>29</v>
      </c>
      <c r="O823" s="1"/>
      <c r="P823" s="11"/>
      <c r="Q823" s="11"/>
      <c r="R823" s="11"/>
      <c r="S823" s="11"/>
      <c r="T823" s="1"/>
      <c r="U823" s="1"/>
      <c r="V823" s="1"/>
      <c r="W823" s="1"/>
      <c r="X823" s="1"/>
      <c r="Y823" s="1"/>
      <c r="Z823" s="1"/>
    </row>
    <row r="824" ht="18.0" customHeight="1" outlineLevel="2">
      <c r="A824" s="1">
        <v>3.0</v>
      </c>
      <c r="B824" s="26" t="s">
        <v>1334</v>
      </c>
      <c r="C824" s="1"/>
      <c r="D824" s="1"/>
      <c r="E824" s="29" t="s">
        <v>55</v>
      </c>
      <c r="F824" s="15"/>
      <c r="G824" s="16"/>
      <c r="H824" s="22" t="s">
        <v>1335</v>
      </c>
      <c r="I824" s="7"/>
      <c r="J824" s="7" t="str">
        <f>IFERROR(LET(_xlpm.v,
VLOOKUP($I824,'用語辞書'!$A:$B,COLUMN('用語辞書'!B$1),FALSE),
IF(_xlpm.v=0,"",_xlpm.v)
),"")</f>
        <v/>
      </c>
      <c r="K824" s="17"/>
      <c r="L824" s="17" t="b">
        <f>IF(OR(COUNTIF('クラス'!$A$1:$A$1267,$B824)&gt;0,$B824="",$M824=""),"",True)</f>
        <v>1</v>
      </c>
      <c r="M824" s="1" t="str">
        <f t="shared" si="21"/>
        <v>存在しない</v>
      </c>
      <c r="N824" s="1" t="s">
        <v>29</v>
      </c>
      <c r="O824" s="1"/>
      <c r="P824" s="11"/>
      <c r="Q824" s="11"/>
      <c r="R824" s="11"/>
      <c r="S824" s="11"/>
      <c r="T824" s="1"/>
      <c r="U824" s="1"/>
      <c r="V824" s="1"/>
      <c r="W824" s="1"/>
      <c r="X824" s="1"/>
      <c r="Y824" s="1"/>
      <c r="Z824" s="1"/>
    </row>
    <row r="825" ht="18.0" customHeight="1" outlineLevel="2">
      <c r="A825" s="1">
        <v>4.0</v>
      </c>
      <c r="B825" s="1"/>
      <c r="C825" s="1"/>
      <c r="D825" s="1"/>
      <c r="E825" s="14"/>
      <c r="F825" s="15"/>
      <c r="G825" s="16"/>
      <c r="H825" s="11"/>
      <c r="I825" s="7"/>
      <c r="J825" s="7" t="str">
        <f>IFERROR(LET(_xlpm.v,
VLOOKUP($I825,'用語辞書'!$A:$B,COLUMN('用語辞書'!B$1),FALSE),
IF(_xlpm.v=0,"",_xlpm.v)
),"")</f>
        <v/>
      </c>
      <c r="K825" s="17"/>
      <c r="L825" s="17" t="str">
        <f>IF(OR(COUNTIF('クラス'!$A$1:$A$1267,$B825)&gt;0,$B825="",$M825=""),"",True)</f>
        <v/>
      </c>
      <c r="M825" s="1" t="str">
        <f t="shared" si="21"/>
        <v>存在しない</v>
      </c>
      <c r="N825" s="1" t="s">
        <v>29</v>
      </c>
      <c r="O825" s="1"/>
      <c r="P825" s="11"/>
      <c r="Q825" s="11"/>
      <c r="R825" s="11"/>
      <c r="S825" s="11"/>
      <c r="T825" s="1"/>
      <c r="U825" s="1"/>
      <c r="V825" s="1"/>
      <c r="W825" s="1"/>
      <c r="X825" s="1"/>
      <c r="Y825" s="1"/>
      <c r="Z825" s="1"/>
    </row>
    <row r="826" ht="18.0" customHeight="1" outlineLevel="2">
      <c r="A826" s="1">
        <v>5.0</v>
      </c>
      <c r="B826" s="26" t="s">
        <v>1336</v>
      </c>
      <c r="C826" s="1"/>
      <c r="D826" s="1"/>
      <c r="E826" s="29" t="s">
        <v>55</v>
      </c>
      <c r="F826" s="15"/>
      <c r="G826" s="16"/>
      <c r="H826" s="22" t="s">
        <v>1337</v>
      </c>
      <c r="I826" s="7"/>
      <c r="J826" s="7" t="str">
        <f>IFERROR(LET(_xlpm.v,
VLOOKUP($I826,'用語辞書'!$A:$B,COLUMN('用語辞書'!B$1),FALSE),
IF(_xlpm.v=0,"",_xlpm.v)
),"")</f>
        <v/>
      </c>
      <c r="K826" s="17"/>
      <c r="L826" s="17" t="b">
        <f>IF(OR(COUNTIF('クラス'!$A$1:$A$1267,$B826)&gt;0,$B826="",$M826=""),"",True)</f>
        <v>1</v>
      </c>
      <c r="M826" s="1" t="str">
        <f t="shared" si="21"/>
        <v>存在しない</v>
      </c>
      <c r="N826" s="1" t="s">
        <v>29</v>
      </c>
      <c r="O826" s="1"/>
      <c r="P826" s="11"/>
      <c r="Q826" s="11"/>
      <c r="R826" s="11"/>
      <c r="S826" s="11"/>
      <c r="T826" s="1"/>
      <c r="U826" s="1"/>
      <c r="V826" s="1"/>
      <c r="W826" s="1"/>
      <c r="X826" s="1"/>
      <c r="Y826" s="1"/>
      <c r="Z826" s="1"/>
    </row>
    <row r="827" ht="18.0" customHeight="1" outlineLevel="2">
      <c r="A827" s="1">
        <v>6.0</v>
      </c>
      <c r="B827" s="1"/>
      <c r="C827" s="1"/>
      <c r="D827" s="1"/>
      <c r="E827" s="14"/>
      <c r="F827" s="15"/>
      <c r="G827" s="16"/>
      <c r="H827" s="11"/>
      <c r="I827" s="7"/>
      <c r="J827" s="7" t="str">
        <f>IFERROR(LET(_xlpm.v,
VLOOKUP($I827,'用語辞書'!$A:$B,COLUMN('用語辞書'!B$1),FALSE),
IF(_xlpm.v=0,"",_xlpm.v)
),"")</f>
        <v/>
      </c>
      <c r="K827" s="17"/>
      <c r="L827" s="17" t="str">
        <f>IF(OR(COUNTIF('クラス'!$A$1:$A$1267,$B827)&gt;0,$B827="",$M827=""),"",True)</f>
        <v/>
      </c>
      <c r="M827" s="1" t="str">
        <f t="shared" si="21"/>
        <v>存在しない</v>
      </c>
      <c r="N827" s="1" t="s">
        <v>29</v>
      </c>
      <c r="O827" s="1"/>
      <c r="P827" s="11"/>
      <c r="Q827" s="11"/>
      <c r="R827" s="11"/>
      <c r="S827" s="11"/>
      <c r="T827" s="1"/>
      <c r="U827" s="1"/>
      <c r="V827" s="1"/>
      <c r="W827" s="1"/>
      <c r="X827" s="1"/>
      <c r="Y827" s="1"/>
      <c r="Z827" s="1"/>
    </row>
    <row r="828" ht="18.0" customHeight="1" outlineLevel="2">
      <c r="A828" s="1">
        <v>7.0</v>
      </c>
      <c r="B828" s="26" t="s">
        <v>1338</v>
      </c>
      <c r="C828" s="1"/>
      <c r="D828" s="1"/>
      <c r="E828" s="29" t="s">
        <v>55</v>
      </c>
      <c r="F828" s="15"/>
      <c r="G828" s="16"/>
      <c r="H828" s="22" t="s">
        <v>1210</v>
      </c>
      <c r="I828" s="7"/>
      <c r="J828" s="7" t="str">
        <f>IFERROR(LET(_xlpm.v,
VLOOKUP($I828,'用語辞書'!$A:$B,COLUMN('用語辞書'!B$1),FALSE),
IF(_xlpm.v=0,"",_xlpm.v)
),"")</f>
        <v/>
      </c>
      <c r="K828" s="17"/>
      <c r="L828" s="17" t="b">
        <f>IF(OR(COUNTIF('クラス'!$A$1:$A$1267,$B828)&gt;0,$B828="",$M828=""),"",True)</f>
        <v>1</v>
      </c>
      <c r="M828" s="1" t="str">
        <f t="shared" si="21"/>
        <v>存在しない</v>
      </c>
      <c r="N828" s="1" t="s">
        <v>29</v>
      </c>
      <c r="O828" s="1"/>
      <c r="P828" s="11"/>
      <c r="Q828" s="11"/>
      <c r="R828" s="11"/>
      <c r="S828" s="11"/>
      <c r="T828" s="1"/>
      <c r="U828" s="1"/>
      <c r="V828" s="1"/>
      <c r="W828" s="1"/>
      <c r="X828" s="1"/>
      <c r="Y828" s="1"/>
      <c r="Z828" s="1"/>
    </row>
    <row r="829" ht="18.0" customHeight="1" outlineLevel="2">
      <c r="A829" s="1">
        <v>8.0</v>
      </c>
      <c r="B829" s="1"/>
      <c r="C829" s="1"/>
      <c r="D829" s="1"/>
      <c r="E829" s="14"/>
      <c r="F829" s="15"/>
      <c r="G829" s="16"/>
      <c r="H829" s="11"/>
      <c r="I829" s="7"/>
      <c r="J829" s="7" t="str">
        <f>IFERROR(LET(_xlpm.v,
VLOOKUP($I829,'用語辞書'!$A:$B,COLUMN('用語辞書'!B$1),FALSE),
IF(_xlpm.v=0,"",_xlpm.v)
),"")</f>
        <v/>
      </c>
      <c r="K829" s="17"/>
      <c r="L829" s="17" t="str">
        <f>IF(OR(COUNTIF('クラス'!$A$1:$A$1267,$B829)&gt;0,$B829="",$M829=""),"",True)</f>
        <v/>
      </c>
      <c r="M829" s="1" t="str">
        <f t="shared" si="21"/>
        <v>存在しない</v>
      </c>
      <c r="N829" s="1" t="s">
        <v>29</v>
      </c>
      <c r="O829" s="1"/>
      <c r="P829" s="11"/>
      <c r="Q829" s="11"/>
      <c r="R829" s="11"/>
      <c r="S829" s="11"/>
      <c r="T829" s="1"/>
      <c r="U829" s="1"/>
      <c r="V829" s="1"/>
      <c r="W829" s="1"/>
      <c r="X829" s="1"/>
      <c r="Y829" s="1"/>
      <c r="Z829" s="1"/>
    </row>
    <row r="830" ht="18.0" customHeight="1" outlineLevel="2">
      <c r="A830" s="1">
        <v>9.0</v>
      </c>
      <c r="B830" s="26" t="s">
        <v>1339</v>
      </c>
      <c r="C830" s="1"/>
      <c r="D830" s="1"/>
      <c r="E830" s="29" t="s">
        <v>33</v>
      </c>
      <c r="F830" s="15"/>
      <c r="G830" s="30">
        <v>30.0</v>
      </c>
      <c r="H830" s="22" t="s">
        <v>1340</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v>10.0</v>
      </c>
      <c r="B831" s="26" t="s">
        <v>1341</v>
      </c>
      <c r="C831" s="1"/>
      <c r="D831" s="26" t="s">
        <v>1342</v>
      </c>
      <c r="E831" s="29" t="s">
        <v>33</v>
      </c>
      <c r="F831" s="15"/>
      <c r="G831" s="30">
        <v>100.0</v>
      </c>
      <c r="H831" s="22" t="s">
        <v>1343</v>
      </c>
      <c r="I831" s="7"/>
      <c r="J831" s="7" t="str">
        <f>IFERROR(LET(_xlpm.v,
VLOOKUP($I831,'用語辞書'!$A:$B,COLUMN('用語辞書'!B$1),FALSE),
IF(_xlpm.v=0,"",_xlpm.v)
),"")</f>
        <v/>
      </c>
      <c r="K831" s="17"/>
      <c r="L831" s="17" t="b">
        <f>IF(OR(COUNTIF('クラス'!$A$1:$A$1267,$B831)&gt;0,$B831="",$M831=""),"",True)</f>
        <v>1</v>
      </c>
      <c r="M831" s="1" t="str">
        <f t="shared" si="21"/>
        <v>存在しない</v>
      </c>
      <c r="N831" s="1" t="s">
        <v>29</v>
      </c>
      <c r="O831" s="1"/>
      <c r="P831" s="11"/>
      <c r="Q831" s="11"/>
      <c r="R831" s="11"/>
      <c r="S831" s="11"/>
      <c r="T831" s="1"/>
      <c r="U831" s="1"/>
      <c r="V831" s="1"/>
      <c r="W831" s="1"/>
      <c r="X831" s="1"/>
      <c r="Y831" s="1"/>
      <c r="Z831" s="1"/>
    </row>
    <row r="832" ht="18.0" customHeight="1" outlineLevel="2">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ollapsed="1">
      <c r="A833" s="1"/>
      <c r="B833" s="1"/>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1">
      <c r="A834" s="1"/>
      <c r="B834" s="1" t="s">
        <v>1344</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存在しない</v>
      </c>
      <c r="N834" s="1" t="s">
        <v>29</v>
      </c>
      <c r="O834" s="1"/>
      <c r="P834" s="11"/>
      <c r="Q834" s="11"/>
      <c r="R834" s="11"/>
      <c r="S834" s="11"/>
      <c r="T834" s="1"/>
      <c r="U834" s="1"/>
      <c r="V834" s="1"/>
      <c r="W834" s="1"/>
      <c r="X834" s="1"/>
      <c r="Y834" s="1"/>
      <c r="Z834" s="1"/>
    </row>
    <row r="835" ht="18.0" customHeight="1" outlineLevel="2">
      <c r="A835" s="1">
        <v>1.0</v>
      </c>
      <c r="B835" s="26" t="s">
        <v>1296</v>
      </c>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
      </c>
      <c r="N835" s="1" t="s">
        <v>29</v>
      </c>
      <c r="O835" s="1"/>
      <c r="P835" s="11"/>
      <c r="Q835" s="11"/>
      <c r="R835" s="11"/>
      <c r="S835" s="11"/>
      <c r="T835" s="1"/>
      <c r="U835" s="1"/>
      <c r="V835" s="1"/>
      <c r="W835" s="1"/>
      <c r="X835" s="1"/>
      <c r="Y835" s="1"/>
      <c r="Z835" s="1"/>
    </row>
    <row r="836" ht="18.0" customHeight="1" outlineLevel="2">
      <c r="A836" s="1">
        <v>2.0</v>
      </c>
      <c r="B836" s="1"/>
      <c r="C836" s="1"/>
      <c r="D836" s="1"/>
      <c r="E836" s="14"/>
      <c r="F836" s="15"/>
      <c r="G836" s="16"/>
      <c r="H836" s="11"/>
      <c r="I836" s="7"/>
      <c r="J836" s="7" t="str">
        <f>IFERROR(LET(_xlpm.v,
VLOOKUP($I836,'用語辞書'!$A:$B,COLUMN('用語辞書'!B$1),FALSE),
IF(_xlpm.v=0,"",_xlpm.v)
),"")</f>
        <v/>
      </c>
      <c r="K836" s="17"/>
      <c r="L836" s="17" t="str">
        <f>IF(OR(COUNTIF('クラス'!$A$1:$A$1267,$B836)&gt;0,$B836="",$M836=""),"",True)</f>
        <v/>
      </c>
      <c r="M836" s="1" t="str">
        <f t="shared" si="21"/>
        <v>存在しない</v>
      </c>
      <c r="N836" s="1" t="s">
        <v>29</v>
      </c>
      <c r="O836" s="1"/>
      <c r="P836" s="11"/>
      <c r="Q836" s="11"/>
      <c r="R836" s="11"/>
      <c r="S836" s="11"/>
      <c r="T836" s="1"/>
      <c r="U836" s="1"/>
      <c r="V836" s="1"/>
      <c r="W836" s="1"/>
      <c r="X836" s="1"/>
      <c r="Y836" s="1"/>
      <c r="Z836" s="1"/>
    </row>
    <row r="837" ht="18.0" customHeight="1" outlineLevel="2">
      <c r="A837" s="1">
        <v>3.0</v>
      </c>
      <c r="B837" s="26" t="s">
        <v>1345</v>
      </c>
      <c r="C837" s="1"/>
      <c r="D837" s="1"/>
      <c r="E837" s="29" t="s">
        <v>55</v>
      </c>
      <c r="F837" s="15"/>
      <c r="G837" s="16"/>
      <c r="H837" s="22" t="s">
        <v>1346</v>
      </c>
      <c r="I837" s="7"/>
      <c r="J837" s="7" t="str">
        <f>IFERROR(LET(_xlpm.v,
VLOOKUP($I837,'用語辞書'!$A:$B,COLUMN('用語辞書'!B$1),FALSE),
IF(_xlpm.v=0,"",_xlpm.v)
),"")</f>
        <v/>
      </c>
      <c r="K837" s="17"/>
      <c r="L837" s="17" t="b">
        <f>IF(OR(COUNTIF('クラス'!$A$1:$A$1267,$B837)&gt;0,$B837="",$M837=""),"",True)</f>
        <v>1</v>
      </c>
      <c r="M837" s="1" t="str">
        <f t="shared" si="21"/>
        <v>存在しない</v>
      </c>
      <c r="N837" s="1" t="s">
        <v>29</v>
      </c>
      <c r="O837" s="1"/>
      <c r="P837" s="11"/>
      <c r="Q837" s="11"/>
      <c r="R837" s="11"/>
      <c r="S837" s="11"/>
      <c r="T837" s="1"/>
      <c r="U837" s="1"/>
      <c r="V837" s="1"/>
      <c r="W837" s="1"/>
      <c r="X837" s="1"/>
      <c r="Y837" s="1"/>
      <c r="Z837" s="1"/>
    </row>
    <row r="838" ht="18.0" customHeight="1" outlineLevel="2">
      <c r="A838" s="1">
        <v>4.0</v>
      </c>
      <c r="B838" s="1"/>
      <c r="C838" s="1"/>
      <c r="D838" s="1"/>
      <c r="E838" s="14"/>
      <c r="F838" s="15"/>
      <c r="G838" s="16"/>
      <c r="H838" s="11"/>
      <c r="I838" s="7"/>
      <c r="J838" s="7" t="str">
        <f>IFERROR(LET(_xlpm.v,
VLOOKUP($I838,'用語辞書'!$A:$B,COLUMN('用語辞書'!B$1),FALSE),
IF(_xlpm.v=0,"",_xlpm.v)
),"")</f>
        <v/>
      </c>
      <c r="K838" s="17"/>
      <c r="L838" s="17" t="str">
        <f>IF(OR(COUNTIF('クラス'!$A$1:$A$1267,$B838)&gt;0,$B838="",$M838=""),"",True)</f>
        <v/>
      </c>
      <c r="M838" s="1" t="str">
        <f t="shared" si="21"/>
        <v>存在しない</v>
      </c>
      <c r="N838" s="1" t="s">
        <v>29</v>
      </c>
      <c r="O838" s="1"/>
      <c r="P838" s="11"/>
      <c r="Q838" s="11"/>
      <c r="R838" s="11"/>
      <c r="S838" s="11"/>
      <c r="T838" s="1"/>
      <c r="U838" s="1"/>
      <c r="V838" s="1"/>
      <c r="W838" s="1"/>
      <c r="X838" s="1"/>
      <c r="Y838" s="1"/>
      <c r="Z838" s="1"/>
    </row>
    <row r="839" ht="18.0" customHeight="1" outlineLevel="2">
      <c r="A839" s="1">
        <v>5.0</v>
      </c>
      <c r="B839" s="26" t="s">
        <v>1347</v>
      </c>
      <c r="C839" s="1"/>
      <c r="D839" s="26" t="s">
        <v>1348</v>
      </c>
      <c r="E839" s="29" t="s">
        <v>33</v>
      </c>
      <c r="F839" s="15"/>
      <c r="G839" s="30">
        <v>40.0</v>
      </c>
      <c r="H839" s="22" t="s">
        <v>1349</v>
      </c>
      <c r="I839" s="32" t="s">
        <v>1222</v>
      </c>
      <c r="J839" s="7" t="str">
        <f>IFERROR(LET(_xlpm.v,
VLOOKUP($I839,'用語辞書'!$A:$B,COLUMN('用語辞書'!B$1),FALSE),
IF(_xlpm.v=0,"",_xlpm.v)
),"")</f>
        <v>攻撃・命中・士気などが低下する状態</v>
      </c>
      <c r="K839" s="17"/>
      <c r="L839" s="17" t="b">
        <f>IF(OR(COUNTIF('クラス'!$A$1:$A$1267,$B839)&gt;0,$B839="",$M839=""),"",True)</f>
        <v>1</v>
      </c>
      <c r="M839" s="1" t="str">
        <f t="shared" si="21"/>
        <v>存在しない</v>
      </c>
      <c r="N839" s="1" t="s">
        <v>29</v>
      </c>
      <c r="O839" s="1"/>
      <c r="P839" s="11"/>
      <c r="Q839" s="11"/>
      <c r="R839" s="11"/>
      <c r="S839" s="11"/>
      <c r="T839" s="1"/>
      <c r="U839" s="1"/>
      <c r="V839" s="1"/>
      <c r="W839" s="1"/>
      <c r="X839" s="1"/>
      <c r="Y839" s="1"/>
      <c r="Z839" s="1"/>
    </row>
    <row r="840" ht="18.0" customHeight="1" outlineLevel="2">
      <c r="A840" s="1">
        <v>6.0</v>
      </c>
      <c r="B840" s="1"/>
      <c r="C840" s="1"/>
      <c r="D840" s="1"/>
      <c r="E840" s="14"/>
      <c r="F840" s="15"/>
      <c r="G840" s="16"/>
      <c r="H840" s="11"/>
      <c r="I840" s="7"/>
      <c r="J840" s="7" t="str">
        <f>IFERROR(LET(_xlpm.v,
VLOOKUP($I840,'用語辞書'!$A:$B,COLUMN('用語辞書'!B$1),FALSE),
IF(_xlpm.v=0,"",_xlpm.v)
),"")</f>
        <v/>
      </c>
      <c r="K840" s="17"/>
      <c r="L840" s="17" t="str">
        <f>IF(OR(COUNTIF('クラス'!$A$1:$A$1267,$B840)&gt;0,$B840="",$M840=""),"",True)</f>
        <v/>
      </c>
      <c r="M840" s="1" t="str">
        <f t="shared" si="21"/>
        <v>存在しない</v>
      </c>
      <c r="N840" s="1" t="s">
        <v>29</v>
      </c>
      <c r="O840" s="1"/>
      <c r="P840" s="11"/>
      <c r="Q840" s="11"/>
      <c r="R840" s="11"/>
      <c r="S840" s="11"/>
      <c r="T840" s="1"/>
      <c r="U840" s="1"/>
      <c r="V840" s="1"/>
      <c r="W840" s="1"/>
      <c r="X840" s="1"/>
      <c r="Y840" s="1"/>
      <c r="Z840" s="1"/>
    </row>
    <row r="841" ht="18.0" customHeight="1" outlineLevel="2">
      <c r="A841" s="1">
        <v>7.0</v>
      </c>
      <c r="B841" s="26" t="s">
        <v>1350</v>
      </c>
      <c r="C841" s="1"/>
      <c r="D841" s="1"/>
      <c r="E841" s="29" t="s">
        <v>33</v>
      </c>
      <c r="F841" s="15"/>
      <c r="G841" s="30">
        <v>30.0</v>
      </c>
      <c r="H841" s="22" t="s">
        <v>1351</v>
      </c>
      <c r="I841" s="7"/>
      <c r="J841" s="7" t="str">
        <f>IFERROR(LET(_xlpm.v,
VLOOKUP($I841,'用語辞書'!$A:$B,COLUMN('用語辞書'!B$1),FALSE),
IF(_xlpm.v=0,"",_xlpm.v)
),"")</f>
        <v/>
      </c>
      <c r="K841" s="17"/>
      <c r="L841" s="17" t="b">
        <f>IF(OR(COUNTIF('クラス'!$A$1:$A$1267,$B841)&gt;0,$B841="",$M841=""),"",True)</f>
        <v>1</v>
      </c>
      <c r="M841" s="1" t="str">
        <f t="shared" si="21"/>
        <v>存在しない</v>
      </c>
      <c r="N841" s="1" t="s">
        <v>29</v>
      </c>
      <c r="O841" s="1"/>
      <c r="P841" s="11"/>
      <c r="Q841" s="11"/>
      <c r="R841" s="11"/>
      <c r="S841" s="11"/>
      <c r="T841" s="1"/>
      <c r="U841" s="1"/>
      <c r="V841" s="1"/>
      <c r="W841" s="1"/>
      <c r="X841" s="1"/>
      <c r="Y841" s="1"/>
      <c r="Z841" s="1"/>
    </row>
    <row r="842" ht="18.0" customHeight="1" outlineLevel="2">
      <c r="A842" s="1">
        <v>8.0</v>
      </c>
      <c r="B842" s="1"/>
      <c r="C842" s="1"/>
      <c r="D842" s="1"/>
      <c r="E842" s="14"/>
      <c r="F842" s="15"/>
      <c r="G842" s="16"/>
      <c r="H842" s="11"/>
      <c r="I842" s="7"/>
      <c r="J842" s="7" t="str">
        <f>IFERROR(LET(_xlpm.v,
VLOOKUP($I842,'用語辞書'!$A:$B,COLUMN('用語辞書'!B$1),FALSE),
IF(_xlpm.v=0,"",_xlpm.v)
),"")</f>
        <v/>
      </c>
      <c r="K842" s="17"/>
      <c r="L842" s="17" t="str">
        <f>IF(OR(COUNTIF('クラス'!$A$1:$A$1267,$B842)&gt;0,$B842="",$M842=""),"",True)</f>
        <v/>
      </c>
      <c r="M842" s="1" t="str">
        <f t="shared" si="21"/>
        <v>存在しない</v>
      </c>
      <c r="N842" s="1" t="s">
        <v>29</v>
      </c>
      <c r="O842" s="1"/>
      <c r="P842" s="11"/>
      <c r="Q842" s="11"/>
      <c r="R842" s="11"/>
      <c r="S842" s="11"/>
      <c r="T842" s="1"/>
      <c r="U842" s="1"/>
      <c r="V842" s="1"/>
      <c r="W842" s="1"/>
      <c r="X842" s="1"/>
      <c r="Y842" s="1"/>
      <c r="Z842" s="1"/>
    </row>
    <row r="843" ht="18.0" customHeight="1" outlineLevel="2">
      <c r="A843" s="1">
        <v>9.0</v>
      </c>
      <c r="B843" s="26" t="s">
        <v>1352</v>
      </c>
      <c r="C843" s="1"/>
      <c r="D843" s="26" t="s">
        <v>1348</v>
      </c>
      <c r="E843" s="29" t="s">
        <v>33</v>
      </c>
      <c r="F843" s="15"/>
      <c r="G843" s="30">
        <v>80.0</v>
      </c>
      <c r="H843" s="22" t="s">
        <v>1353</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v>10.0</v>
      </c>
      <c r="B844" s="26" t="s">
        <v>1354</v>
      </c>
      <c r="C844" s="1"/>
      <c r="D844" s="1"/>
      <c r="E844" s="29" t="s">
        <v>55</v>
      </c>
      <c r="F844" s="15"/>
      <c r="G844" s="16"/>
      <c r="H844" s="22" t="s">
        <v>1355</v>
      </c>
      <c r="I844" s="7"/>
      <c r="J844" s="7" t="str">
        <f>IFERROR(LET(_xlpm.v,
VLOOKUP($I844,'用語辞書'!$A:$B,COLUMN('用語辞書'!B$1),FALSE),
IF(_xlpm.v=0,"",_xlpm.v)
),"")</f>
        <v/>
      </c>
      <c r="K844" s="17"/>
      <c r="L844" s="17" t="b">
        <f>IF(OR(COUNTIF('クラス'!$A$1:$A$1267,$B844)&gt;0,$B844="",$M844=""),"",True)</f>
        <v>1</v>
      </c>
      <c r="M844" s="1" t="str">
        <f t="shared" si="21"/>
        <v>存在しない</v>
      </c>
      <c r="N844" s="1" t="s">
        <v>29</v>
      </c>
      <c r="O844" s="1"/>
      <c r="P844" s="11"/>
      <c r="Q844" s="11"/>
      <c r="R844" s="11"/>
      <c r="S844" s="11"/>
      <c r="T844" s="1"/>
      <c r="U844" s="1"/>
      <c r="V844" s="1"/>
      <c r="W844" s="1"/>
      <c r="X844" s="1"/>
      <c r="Y844" s="1"/>
      <c r="Z844" s="1"/>
    </row>
    <row r="845" ht="18.0" customHeight="1" outlineLevel="2">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ollapsed="1">
      <c r="A846" s="1"/>
      <c r="B846" s="1"/>
      <c r="C846" s="1"/>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1"/>
      <c r="C847" s="26" t="s">
        <v>1356</v>
      </c>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1"/>
      <c r="B848" s="26" t="s">
        <v>1357</v>
      </c>
      <c r="C848" s="1"/>
      <c r="D848" s="1"/>
      <c r="E848" s="14"/>
      <c r="F848" s="15"/>
      <c r="G848" s="16"/>
      <c r="H848" s="11"/>
      <c r="I848" s="7"/>
      <c r="J848" s="7" t="str">
        <f>IFERROR(LET(_xlpm.v,
VLOOKUP($I848,'用語辞書'!$A:$B,COLUMN('用語辞書'!B$1),FALSE),
IF(_xlpm.v=0,"",_xlpm.v)
),"")</f>
        <v/>
      </c>
      <c r="K848" s="17"/>
      <c r="L848" s="17" t="str">
        <f>IF(OR(COUNTIF('クラス'!$A$1:$A$1267,$B848)&gt;0,$B848="",$M848=""),"",True)</f>
        <v/>
      </c>
      <c r="M848" s="1" t="str">
        <f t="shared" si="21"/>
        <v>存在しない</v>
      </c>
      <c r="N848" s="1" t="s">
        <v>29</v>
      </c>
      <c r="O848" s="1"/>
      <c r="P848" s="11"/>
      <c r="Q848" s="11"/>
      <c r="R848" s="11"/>
      <c r="S848" s="11"/>
      <c r="T848" s="1"/>
      <c r="U848" s="1"/>
      <c r="V848" s="1"/>
      <c r="W848" s="1"/>
      <c r="X848" s="1"/>
      <c r="Y848" s="1"/>
      <c r="Z848" s="1"/>
    </row>
    <row r="849" ht="18.0" customHeight="1" outlineLevel="1">
      <c r="A849" s="26">
        <v>1.0</v>
      </c>
      <c r="B849" s="26" t="s">
        <v>1358</v>
      </c>
      <c r="C849" s="1"/>
      <c r="D849" s="26" t="s">
        <v>644</v>
      </c>
      <c r="E849" s="29" t="s">
        <v>33</v>
      </c>
      <c r="F849" s="15"/>
      <c r="G849" s="30">
        <v>50.0</v>
      </c>
      <c r="H849" s="22" t="s">
        <v>1359</v>
      </c>
      <c r="I849" s="7"/>
      <c r="J849" s="7" t="str">
        <f>IFERROR(LET(_xlpm.v,
VLOOKUP($I849,'用語辞書'!$A:$B,COLUMN('用語辞書'!B$1),FALSE),
IF(_xlpm.v=0,"",_xlpm.v)
),"")</f>
        <v/>
      </c>
      <c r="K849" s="17"/>
      <c r="L849" s="17" t="b">
        <f>IF(OR(COUNTIF('クラス'!$A$1:$A$1267,$B849)&gt;0,$B849="",$M849=""),"",True)</f>
        <v>1</v>
      </c>
      <c r="M849" s="1" t="str">
        <f t="shared" si="21"/>
        <v>存在しない</v>
      </c>
      <c r="N849" s="1" t="s">
        <v>29</v>
      </c>
      <c r="O849" s="1"/>
      <c r="P849" s="11"/>
      <c r="Q849" s="11"/>
      <c r="R849" s="11"/>
      <c r="S849" s="11"/>
      <c r="T849" s="1"/>
      <c r="U849" s="1"/>
      <c r="V849" s="1"/>
      <c r="W849" s="1"/>
      <c r="X849" s="1"/>
      <c r="Y849" s="1"/>
      <c r="Z849" s="1"/>
    </row>
    <row r="850" ht="18.0" customHeight="1" outlineLevel="1">
      <c r="A850" s="26">
        <v>2.0</v>
      </c>
      <c r="B850" s="1"/>
      <c r="C850" s="1"/>
      <c r="D850" s="1"/>
      <c r="E850" s="14"/>
      <c r="F850" s="15"/>
      <c r="G850" s="16"/>
      <c r="H850" s="11"/>
      <c r="I850" s="7"/>
      <c r="J850" s="7" t="str">
        <f>IFERROR(LET(_xlpm.v,
VLOOKUP($I850,'用語辞書'!$A:$B,COLUMN('用語辞書'!B$1),FALSE),
IF(_xlpm.v=0,"",_xlpm.v)
),"")</f>
        <v/>
      </c>
      <c r="K850" s="17"/>
      <c r="L850" s="17" t="str">
        <f>IF(OR(COUNTIF('クラス'!$A$1:$A$1267,$B850)&gt;0,$B850="",$M850=""),"",True)</f>
        <v/>
      </c>
      <c r="M850" s="1" t="str">
        <f t="shared" si="21"/>
        <v>存在しない</v>
      </c>
      <c r="N850" s="1" t="s">
        <v>29</v>
      </c>
      <c r="O850" s="1"/>
      <c r="P850" s="11"/>
      <c r="Q850" s="11"/>
      <c r="R850" s="11"/>
      <c r="S850" s="11"/>
      <c r="T850" s="1"/>
      <c r="U850" s="1"/>
      <c r="V850" s="1"/>
      <c r="W850" s="1"/>
      <c r="X850" s="1"/>
      <c r="Y850" s="1"/>
      <c r="Z850" s="1"/>
    </row>
    <row r="851" ht="18.0" customHeight="1" outlineLevel="1">
      <c r="A851" s="26">
        <v>3.0</v>
      </c>
      <c r="B851" s="26" t="s">
        <v>1360</v>
      </c>
      <c r="C851" s="1"/>
      <c r="D851" s="1"/>
      <c r="E851" s="29" t="s">
        <v>33</v>
      </c>
      <c r="F851" s="15"/>
      <c r="G851" s="30">
        <v>50.0</v>
      </c>
      <c r="H851" s="22" t="s">
        <v>1361</v>
      </c>
      <c r="I851" s="7"/>
      <c r="J851" s="7" t="str">
        <f>IFERROR(LET(_xlpm.v,
VLOOKUP($I851,'用語辞書'!$A:$B,COLUMN('用語辞書'!B$1),FALSE),
IF(_xlpm.v=0,"",_xlpm.v)
),"")</f>
        <v/>
      </c>
      <c r="K851" s="17"/>
      <c r="L851" s="17" t="b">
        <f>IF(OR(COUNTIF('クラス'!$A$1:$A$1267,$B851)&gt;0,$B851="",$M851=""),"",True)</f>
        <v>1</v>
      </c>
      <c r="M851" s="1" t="str">
        <f t="shared" si="21"/>
        <v>存在しない</v>
      </c>
      <c r="N851" s="1" t="s">
        <v>29</v>
      </c>
      <c r="O851" s="1"/>
      <c r="P851" s="11"/>
      <c r="Q851" s="11"/>
      <c r="R851" s="11"/>
      <c r="S851" s="11"/>
      <c r="T851" s="1"/>
      <c r="U851" s="1"/>
      <c r="V851" s="1"/>
      <c r="W851" s="1"/>
      <c r="X851" s="1"/>
      <c r="Y851" s="1"/>
      <c r="Z851" s="1"/>
    </row>
    <row r="852" ht="18.0" customHeight="1" outlineLevel="1">
      <c r="A852" s="26">
        <v>4.0</v>
      </c>
      <c r="B852" s="1"/>
      <c r="C852" s="1"/>
      <c r="D852" s="1"/>
      <c r="E852" s="14"/>
      <c r="F852" s="15"/>
      <c r="G852" s="16"/>
      <c r="H852" s="11"/>
      <c r="I852" s="7"/>
      <c r="J852" s="7" t="str">
        <f>IFERROR(LET(_xlpm.v,
VLOOKUP($I852,'用語辞書'!$A:$B,COLUMN('用語辞書'!B$1),FALSE),
IF(_xlpm.v=0,"",_xlpm.v)
),"")</f>
        <v/>
      </c>
      <c r="K852" s="17"/>
      <c r="L852" s="17" t="str">
        <f>IF(OR(COUNTIF('クラス'!$A$1:$A$1267,$B852)&gt;0,$B852="",$M852=""),"",True)</f>
        <v/>
      </c>
      <c r="M852" s="1" t="str">
        <f t="shared" si="21"/>
        <v>存在しない</v>
      </c>
      <c r="N852" s="1" t="s">
        <v>29</v>
      </c>
      <c r="O852" s="1"/>
      <c r="P852" s="11"/>
      <c r="Q852" s="11"/>
      <c r="R852" s="11"/>
      <c r="S852" s="11"/>
      <c r="T852" s="1"/>
      <c r="U852" s="1"/>
      <c r="V852" s="1"/>
      <c r="W852" s="1"/>
      <c r="X852" s="1"/>
      <c r="Y852" s="1"/>
      <c r="Z852" s="1"/>
    </row>
    <row r="853" ht="18.0" customHeight="1" outlineLevel="1">
      <c r="A853" s="26">
        <v>5.0</v>
      </c>
      <c r="B853" s="26" t="s">
        <v>1362</v>
      </c>
      <c r="C853" s="1"/>
      <c r="D853" s="26" t="s">
        <v>644</v>
      </c>
      <c r="E853" s="29" t="s">
        <v>33</v>
      </c>
      <c r="F853" s="15"/>
      <c r="G853" s="30">
        <v>60.0</v>
      </c>
      <c r="H853" s="22" t="s">
        <v>1363</v>
      </c>
      <c r="I853" s="7"/>
      <c r="J853" s="7" t="str">
        <f>IFERROR(LET(_xlpm.v,
VLOOKUP($I853,'用語辞書'!$A:$B,COLUMN('用語辞書'!B$1),FALSE),
IF(_xlpm.v=0,"",_xlpm.v)
),"")</f>
        <v/>
      </c>
      <c r="K853" s="17"/>
      <c r="L853" s="17" t="b">
        <f>IF(OR(COUNTIF('クラス'!$A$1:$A$1267,$B853)&gt;0,$B853="",$M853=""),"",True)</f>
        <v>1</v>
      </c>
      <c r="M853" s="1" t="str">
        <f t="shared" si="21"/>
        <v>存在しない</v>
      </c>
      <c r="N853" s="1" t="s">
        <v>29</v>
      </c>
      <c r="O853" s="1"/>
      <c r="P853" s="11"/>
      <c r="Q853" s="11"/>
      <c r="R853" s="11"/>
      <c r="S853" s="11"/>
      <c r="T853" s="1"/>
      <c r="U853" s="1"/>
      <c r="V853" s="1"/>
      <c r="W853" s="1"/>
      <c r="X853" s="1"/>
      <c r="Y853" s="1"/>
      <c r="Z853" s="1"/>
    </row>
    <row r="854" ht="18.0" customHeight="1" outlineLevel="1">
      <c r="A854" s="26">
        <v>6.0</v>
      </c>
      <c r="B854" s="1"/>
      <c r="C854" s="1"/>
      <c r="D854" s="1"/>
      <c r="E854" s="14"/>
      <c r="F854" s="15"/>
      <c r="G854" s="16"/>
      <c r="H854" s="11"/>
      <c r="I854" s="7"/>
      <c r="J854" s="7" t="str">
        <f>IFERROR(LET(_xlpm.v,
VLOOKUP($I854,'用語辞書'!$A:$B,COLUMN('用語辞書'!B$1),FALSE),
IF(_xlpm.v=0,"",_xlpm.v)
),"")</f>
        <v/>
      </c>
      <c r="K854" s="17"/>
      <c r="L854" s="17" t="str">
        <f>IF(OR(COUNTIF('クラス'!$A$1:$A$1267,$B854)&gt;0,$B854="",$M854=""),"",True)</f>
        <v/>
      </c>
      <c r="M854" s="1" t="str">
        <f t="shared" si="21"/>
        <v>存在しない</v>
      </c>
      <c r="N854" s="1" t="s">
        <v>29</v>
      </c>
      <c r="O854" s="1"/>
      <c r="P854" s="11"/>
      <c r="Q854" s="11"/>
      <c r="R854" s="11"/>
      <c r="S854" s="11"/>
      <c r="T854" s="1"/>
      <c r="U854" s="1"/>
      <c r="V854" s="1"/>
      <c r="W854" s="1"/>
      <c r="X854" s="1"/>
      <c r="Y854" s="1"/>
      <c r="Z854" s="1"/>
    </row>
    <row r="855" ht="18.0" customHeight="1" outlineLevel="1">
      <c r="A855" s="26">
        <v>7.0</v>
      </c>
      <c r="B855" s="26" t="s">
        <v>1364</v>
      </c>
      <c r="C855" s="1"/>
      <c r="D855" s="1"/>
      <c r="E855" s="29" t="s">
        <v>55</v>
      </c>
      <c r="F855" s="15"/>
      <c r="G855" s="30"/>
      <c r="H855" s="22" t="s">
        <v>1365</v>
      </c>
      <c r="I855" s="7"/>
      <c r="J855" s="7" t="str">
        <f>IFERROR(LET(_xlpm.v,
VLOOKUP($I855,'用語辞書'!$A:$B,COLUMN('用語辞書'!B$1),FALSE),
IF(_xlpm.v=0,"",_xlpm.v)
),"")</f>
        <v/>
      </c>
      <c r="K855" s="17"/>
      <c r="L855" s="17" t="b">
        <f>IF(OR(COUNTIF('クラス'!$A$1:$A$1267,$B855)&gt;0,$B855="",$M855=""),"",True)</f>
        <v>1</v>
      </c>
      <c r="M855" s="1" t="str">
        <f t="shared" si="21"/>
        <v>存在しない</v>
      </c>
      <c r="N855" s="1" t="s">
        <v>29</v>
      </c>
      <c r="O855" s="1"/>
      <c r="P855" s="11"/>
      <c r="Q855" s="11"/>
      <c r="R855" s="11"/>
      <c r="S855" s="11"/>
      <c r="T855" s="1"/>
      <c r="U855" s="1"/>
      <c r="V855" s="1"/>
      <c r="W855" s="1"/>
      <c r="X855" s="1"/>
      <c r="Y855" s="1"/>
      <c r="Z855" s="1"/>
    </row>
    <row r="856" ht="18.0" customHeight="1" outlineLevel="1">
      <c r="A856" s="26">
        <v>8.0</v>
      </c>
      <c r="B856" s="1"/>
      <c r="C856" s="1"/>
      <c r="D856" s="1"/>
      <c r="E856" s="14"/>
      <c r="F856" s="15"/>
      <c r="G856" s="16"/>
      <c r="H856" s="11"/>
      <c r="I856" s="7"/>
      <c r="J856" s="7" t="str">
        <f>IFERROR(LET(_xlpm.v,
VLOOKUP($I856,'用語辞書'!$A:$B,COLUMN('用語辞書'!B$1),FALSE),
IF(_xlpm.v=0,"",_xlpm.v)
),"")</f>
        <v/>
      </c>
      <c r="K856" s="17"/>
      <c r="L856" s="17" t="str">
        <f>IF(OR(COUNTIF('クラス'!$A$1:$A$1267,$B856)&gt;0,$B856="",$M856=""),"",True)</f>
        <v/>
      </c>
      <c r="M856" s="1" t="str">
        <f t="shared" si="21"/>
        <v>存在しない</v>
      </c>
      <c r="N856" s="1" t="s">
        <v>29</v>
      </c>
      <c r="O856" s="1"/>
      <c r="P856" s="11"/>
      <c r="Q856" s="11"/>
      <c r="R856" s="11"/>
      <c r="S856" s="11"/>
      <c r="T856" s="1"/>
      <c r="U856" s="1"/>
      <c r="V856" s="1"/>
      <c r="W856" s="1"/>
      <c r="X856" s="1"/>
      <c r="Y856" s="1"/>
      <c r="Z856" s="1"/>
    </row>
    <row r="857" ht="18.0" customHeight="1" outlineLevel="1">
      <c r="A857" s="26">
        <v>9.0</v>
      </c>
      <c r="B857" s="26" t="s">
        <v>1366</v>
      </c>
      <c r="C857" s="1"/>
      <c r="D857" s="1"/>
      <c r="E857" s="29" t="s">
        <v>55</v>
      </c>
      <c r="F857" s="15"/>
      <c r="G857" s="16"/>
      <c r="H857" s="22" t="s">
        <v>1367</v>
      </c>
      <c r="I857" s="7"/>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26">
        <v>10.0</v>
      </c>
      <c r="B858" s="26" t="s">
        <v>1368</v>
      </c>
      <c r="C858" s="1"/>
      <c r="D858" s="1"/>
      <c r="E858" s="29" t="s">
        <v>33</v>
      </c>
      <c r="F858" s="15"/>
      <c r="G858" s="30">
        <v>70.0</v>
      </c>
      <c r="H858" s="22" t="s">
        <v>1369</v>
      </c>
      <c r="I858" s="32"/>
      <c r="J858" s="7" t="str">
        <f>IFERROR(LET(_xlpm.v,
VLOOKUP($I858,'用語辞書'!$A:$B,COLUMN('用語辞書'!B$1),FALSE),
IF(_xlpm.v=0,"",_xlpm.v)
),"")</f>
        <v/>
      </c>
      <c r="K858" s="17"/>
      <c r="L858" s="17" t="b">
        <f>IF(OR(COUNTIF('クラス'!$A$1:$A$1267,$B858)&gt;0,$B858="",$M858=""),"",True)</f>
        <v>1</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1"/>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1"/>
      <c r="B861" s="26" t="s">
        <v>1370</v>
      </c>
      <c r="C861" s="1"/>
      <c r="D861" s="1"/>
      <c r="E861" s="14"/>
      <c r="F861" s="15"/>
      <c r="G861" s="16"/>
      <c r="H861" s="11"/>
      <c r="I861" s="7"/>
      <c r="J861" s="7" t="str">
        <f>IFERROR(LET(_xlpm.v,
VLOOKUP($I861,'用語辞書'!$A:$B,COLUMN('用語辞書'!B$1),FALSE),
IF(_xlpm.v=0,"",_xlpm.v)
),"")</f>
        <v/>
      </c>
      <c r="K861" s="17"/>
      <c r="L861" s="17" t="str">
        <f>IF(OR(COUNTIF('クラス'!$A$1:$A$1267,$B861)&gt;0,$B861="",$M861=""),"",True)</f>
        <v/>
      </c>
      <c r="M861" s="1" t="str">
        <f t="shared" si="21"/>
        <v>存在しない</v>
      </c>
      <c r="N861" s="1" t="s">
        <v>29</v>
      </c>
      <c r="O861" s="1"/>
      <c r="P861" s="11"/>
      <c r="Q861" s="11"/>
      <c r="R861" s="11"/>
      <c r="S861" s="11"/>
      <c r="T861" s="1"/>
      <c r="U861" s="1"/>
      <c r="V861" s="1"/>
      <c r="W861" s="1"/>
      <c r="X861" s="1"/>
      <c r="Y861" s="1"/>
      <c r="Z861" s="1"/>
    </row>
    <row r="862" ht="18.0" customHeight="1" outlineLevel="1">
      <c r="A862" s="26">
        <v>1.0</v>
      </c>
      <c r="B862" s="26" t="s">
        <v>1371</v>
      </c>
      <c r="C862" s="1"/>
      <c r="D862" s="26" t="s">
        <v>370</v>
      </c>
      <c r="E862" s="29" t="s">
        <v>33</v>
      </c>
      <c r="F862" s="15"/>
      <c r="G862" s="30">
        <v>50.0</v>
      </c>
      <c r="H862" s="22" t="s">
        <v>1372</v>
      </c>
      <c r="I862" s="7"/>
      <c r="J862" s="7" t="str">
        <f>IFERROR(LET(_xlpm.v,
VLOOKUP($I862,'用語辞書'!$A:$B,COLUMN('用語辞書'!B$1),FALSE),
IF(_xlpm.v=0,"",_xlpm.v)
),"")</f>
        <v/>
      </c>
      <c r="K862" s="17"/>
      <c r="L862" s="17" t="b">
        <f>IF(OR(COUNTIF('クラス'!$A$1:$A$1267,$B862)&gt;0,$B862="",$M862=""),"",True)</f>
        <v>1</v>
      </c>
      <c r="M862" s="1" t="str">
        <f t="shared" si="21"/>
        <v>存在しない</v>
      </c>
      <c r="N862" s="1" t="s">
        <v>29</v>
      </c>
      <c r="O862" s="1"/>
      <c r="P862" s="11"/>
      <c r="Q862" s="11"/>
      <c r="R862" s="11"/>
      <c r="S862" s="11"/>
      <c r="T862" s="1"/>
      <c r="U862" s="1"/>
      <c r="V862" s="1"/>
      <c r="W862" s="1"/>
      <c r="X862" s="1"/>
      <c r="Y862" s="1"/>
      <c r="Z862" s="1"/>
    </row>
    <row r="863" ht="18.0" customHeight="1" outlineLevel="1">
      <c r="A863" s="26">
        <v>2.0</v>
      </c>
      <c r="B863" s="1"/>
      <c r="C863" s="1"/>
      <c r="D863" s="1"/>
      <c r="E863" s="14"/>
      <c r="F863" s="15"/>
      <c r="G863" s="16"/>
      <c r="H863" s="11"/>
      <c r="I863" s="7"/>
      <c r="J863" s="7" t="str">
        <f>IFERROR(LET(_xlpm.v,
VLOOKUP($I863,'用語辞書'!$A:$B,COLUMN('用語辞書'!B$1),FALSE),
IF(_xlpm.v=0,"",_xlpm.v)
),"")</f>
        <v/>
      </c>
      <c r="K863" s="17"/>
      <c r="L863" s="17" t="str">
        <f>IF(OR(COUNTIF('クラス'!$A$1:$A$1267,$B863)&gt;0,$B863="",$M863=""),"",True)</f>
        <v/>
      </c>
      <c r="M863" s="1" t="str">
        <f t="shared" si="21"/>
        <v>存在しない</v>
      </c>
      <c r="N863" s="1" t="s">
        <v>29</v>
      </c>
      <c r="O863" s="1"/>
      <c r="P863" s="11"/>
      <c r="Q863" s="11"/>
      <c r="R863" s="11"/>
      <c r="S863" s="11"/>
      <c r="T863" s="1"/>
      <c r="U863" s="1"/>
      <c r="V863" s="1"/>
      <c r="W863" s="1"/>
      <c r="X863" s="1"/>
      <c r="Y863" s="1"/>
      <c r="Z863" s="1"/>
    </row>
    <row r="864" ht="18.0" customHeight="1" outlineLevel="1">
      <c r="A864" s="26">
        <v>3.0</v>
      </c>
      <c r="B864" s="26" t="s">
        <v>1373</v>
      </c>
      <c r="C864" s="1"/>
      <c r="D864" s="26" t="s">
        <v>716</v>
      </c>
      <c r="E864" s="29" t="s">
        <v>33</v>
      </c>
      <c r="F864" s="15"/>
      <c r="G864" s="30">
        <v>60.0</v>
      </c>
      <c r="H864" s="22" t="s">
        <v>1374</v>
      </c>
      <c r="I864" s="7"/>
      <c r="J864" s="7" t="str">
        <f>IFERROR(LET(_xlpm.v,
VLOOKUP($I864,'用語辞書'!$A:$B,COLUMN('用語辞書'!B$1),FALSE),
IF(_xlpm.v=0,"",_xlpm.v)
),"")</f>
        <v/>
      </c>
      <c r="K864" s="17"/>
      <c r="L864" s="17" t="b">
        <f>IF(OR(COUNTIF('クラス'!$A$1:$A$1267,$B864)&gt;0,$B864="",$M864=""),"",True)</f>
        <v>1</v>
      </c>
      <c r="M864" s="1" t="str">
        <f t="shared" si="21"/>
        <v>存在しない</v>
      </c>
      <c r="N864" s="1" t="s">
        <v>29</v>
      </c>
      <c r="O864" s="1"/>
      <c r="P864" s="11"/>
      <c r="Q864" s="11"/>
      <c r="R864" s="11"/>
      <c r="S864" s="11"/>
      <c r="T864" s="1"/>
      <c r="U864" s="1"/>
      <c r="V864" s="1"/>
      <c r="W864" s="1"/>
      <c r="X864" s="1"/>
      <c r="Y864" s="1"/>
      <c r="Z864" s="1"/>
    </row>
    <row r="865" ht="18.0" customHeight="1" outlineLevel="1">
      <c r="A865" s="26">
        <v>4.0</v>
      </c>
      <c r="B865" s="1"/>
      <c r="C865" s="1"/>
      <c r="D865" s="1"/>
      <c r="E865" s="14"/>
      <c r="F865" s="15"/>
      <c r="G865" s="16"/>
      <c r="H865" s="11"/>
      <c r="I865" s="7"/>
      <c r="J865" s="7" t="str">
        <f>IFERROR(LET(_xlpm.v,
VLOOKUP($I865,'用語辞書'!$A:$B,COLUMN('用語辞書'!B$1),FALSE),
IF(_xlpm.v=0,"",_xlpm.v)
),"")</f>
        <v/>
      </c>
      <c r="K865" s="17"/>
      <c r="L865" s="17" t="str">
        <f>IF(OR(COUNTIF('クラス'!$A$1:$A$1267,$B865)&gt;0,$B865="",$M865=""),"",True)</f>
        <v/>
      </c>
      <c r="M865" s="1" t="str">
        <f t="shared" si="21"/>
        <v>存在しない</v>
      </c>
      <c r="N865" s="1" t="s">
        <v>29</v>
      </c>
      <c r="O865" s="1"/>
      <c r="P865" s="11"/>
      <c r="Q865" s="11"/>
      <c r="R865" s="11"/>
      <c r="S865" s="11"/>
      <c r="T865" s="1"/>
      <c r="U865" s="1"/>
      <c r="V865" s="1"/>
      <c r="W865" s="1"/>
      <c r="X865" s="1"/>
      <c r="Y865" s="1"/>
      <c r="Z865" s="1"/>
    </row>
    <row r="866" ht="18.0" customHeight="1" outlineLevel="1">
      <c r="A866" s="26">
        <v>5.0</v>
      </c>
      <c r="B866" s="26" t="s">
        <v>1375</v>
      </c>
      <c r="C866" s="1"/>
      <c r="D866" s="26"/>
      <c r="E866" s="29" t="s">
        <v>55</v>
      </c>
      <c r="F866" s="15"/>
      <c r="G866" s="30"/>
      <c r="H866" s="22" t="s">
        <v>1376</v>
      </c>
      <c r="I866" s="7"/>
      <c r="J866" s="7" t="str">
        <f>IFERROR(LET(_xlpm.v,
VLOOKUP($I866,'用語辞書'!$A:$B,COLUMN('用語辞書'!B$1),FALSE),
IF(_xlpm.v=0,"",_xlpm.v)
),"")</f>
        <v/>
      </c>
      <c r="K866" s="17"/>
      <c r="L866" s="17" t="b">
        <f>IF(OR(COUNTIF('クラス'!$A$1:$A$1267,$B866)&gt;0,$B866="",$M866=""),"",True)</f>
        <v>1</v>
      </c>
      <c r="M866" s="1" t="str">
        <f t="shared" si="21"/>
        <v>存在しない</v>
      </c>
      <c r="N866" s="1" t="s">
        <v>29</v>
      </c>
      <c r="O866" s="1"/>
      <c r="P866" s="11"/>
      <c r="Q866" s="11"/>
      <c r="R866" s="11"/>
      <c r="S866" s="11"/>
      <c r="T866" s="1"/>
      <c r="U866" s="1"/>
      <c r="V866" s="1"/>
      <c r="W866" s="1"/>
      <c r="X866" s="1"/>
      <c r="Y866" s="1"/>
      <c r="Z866" s="1"/>
    </row>
    <row r="867" ht="18.0" customHeight="1" outlineLevel="1">
      <c r="A867" s="26">
        <v>6.0</v>
      </c>
      <c r="B867" s="1"/>
      <c r="C867" s="1"/>
      <c r="D867" s="1"/>
      <c r="E867" s="14"/>
      <c r="F867" s="15"/>
      <c r="G867" s="16"/>
      <c r="H867" s="11"/>
      <c r="I867" s="7"/>
      <c r="J867" s="7" t="str">
        <f>IFERROR(LET(_xlpm.v,
VLOOKUP($I867,'用語辞書'!$A:$B,COLUMN('用語辞書'!B$1),FALSE),
IF(_xlpm.v=0,"",_xlpm.v)
),"")</f>
        <v/>
      </c>
      <c r="K867" s="17"/>
      <c r="L867" s="17" t="str">
        <f>IF(OR(COUNTIF('クラス'!$A$1:$A$1267,$B867)&gt;0,$B867="",$M867=""),"",True)</f>
        <v/>
      </c>
      <c r="M867" s="1" t="str">
        <f t="shared" si="21"/>
        <v>存在しない</v>
      </c>
      <c r="N867" s="1" t="s">
        <v>29</v>
      </c>
      <c r="O867" s="1"/>
      <c r="P867" s="11"/>
      <c r="Q867" s="11"/>
      <c r="R867" s="11"/>
      <c r="S867" s="11"/>
      <c r="T867" s="1"/>
      <c r="U867" s="1"/>
      <c r="V867" s="1"/>
      <c r="W867" s="1"/>
      <c r="X867" s="1"/>
      <c r="Y867" s="1"/>
      <c r="Z867" s="1"/>
    </row>
    <row r="868" ht="18.0" customHeight="1" outlineLevel="1">
      <c r="A868" s="26">
        <v>7.0</v>
      </c>
      <c r="B868" s="26" t="s">
        <v>1377</v>
      </c>
      <c r="C868" s="1"/>
      <c r="D868" s="1"/>
      <c r="E868" s="29" t="s">
        <v>55</v>
      </c>
      <c r="F868" s="15"/>
      <c r="G868" s="30"/>
      <c r="H868" s="22" t="s">
        <v>1378</v>
      </c>
      <c r="I868" s="7"/>
      <c r="J868" s="7" t="str">
        <f>IFERROR(LET(_xlpm.v,
VLOOKUP($I868,'用語辞書'!$A:$B,COLUMN('用語辞書'!B$1),FALSE),
IF(_xlpm.v=0,"",_xlpm.v)
),"")</f>
        <v/>
      </c>
      <c r="K868" s="17"/>
      <c r="L868" s="17" t="b">
        <f>IF(OR(COUNTIF('クラス'!$A$1:$A$1267,$B868)&gt;0,$B868="",$M868=""),"",True)</f>
        <v>1</v>
      </c>
      <c r="M868" s="1" t="str">
        <f t="shared" si="21"/>
        <v>存在しない</v>
      </c>
      <c r="N868" s="1" t="s">
        <v>29</v>
      </c>
      <c r="O868" s="1"/>
      <c r="P868" s="11"/>
      <c r="Q868" s="11"/>
      <c r="R868" s="11"/>
      <c r="S868" s="11"/>
      <c r="T868" s="1"/>
      <c r="U868" s="1"/>
      <c r="V868" s="1"/>
      <c r="W868" s="1"/>
      <c r="X868" s="1"/>
      <c r="Y868" s="1"/>
      <c r="Z868" s="1"/>
    </row>
    <row r="869" ht="18.0" customHeight="1" outlineLevel="1">
      <c r="A869" s="26">
        <v>8.0</v>
      </c>
      <c r="B869" s="1"/>
      <c r="C869" s="1"/>
      <c r="D869" s="1"/>
      <c r="E869" s="14"/>
      <c r="F869" s="15"/>
      <c r="G869" s="16"/>
      <c r="H869" s="11"/>
      <c r="I869" s="7"/>
      <c r="J869" s="7" t="str">
        <f>IFERROR(LET(_xlpm.v,
VLOOKUP($I869,'用語辞書'!$A:$B,COLUMN('用語辞書'!B$1),FALSE),
IF(_xlpm.v=0,"",_xlpm.v)
),"")</f>
        <v/>
      </c>
      <c r="K869" s="17"/>
      <c r="L869" s="17" t="str">
        <f>IF(OR(COUNTIF('クラス'!$A$1:$A$1267,$B869)&gt;0,$B869="",$M869=""),"",True)</f>
        <v/>
      </c>
      <c r="M869" s="1" t="str">
        <f t="shared" si="21"/>
        <v>存在しない</v>
      </c>
      <c r="N869" s="1" t="s">
        <v>29</v>
      </c>
      <c r="O869" s="1"/>
      <c r="P869" s="11"/>
      <c r="Q869" s="11"/>
      <c r="R869" s="11"/>
      <c r="S869" s="11"/>
      <c r="T869" s="1"/>
      <c r="U869" s="1"/>
      <c r="V869" s="1"/>
      <c r="W869" s="1"/>
      <c r="X869" s="1"/>
      <c r="Y869" s="1"/>
      <c r="Z869" s="1"/>
    </row>
    <row r="870" ht="18.0" customHeight="1" outlineLevel="1">
      <c r="A870" s="26">
        <v>9.0</v>
      </c>
      <c r="B870" s="26" t="s">
        <v>1379</v>
      </c>
      <c r="C870" s="1"/>
      <c r="D870" s="26" t="s">
        <v>716</v>
      </c>
      <c r="E870" s="29" t="s">
        <v>33</v>
      </c>
      <c r="F870" s="15"/>
      <c r="G870" s="30">
        <v>60.0</v>
      </c>
      <c r="H870" s="22" t="s">
        <v>1380</v>
      </c>
      <c r="I870" s="7"/>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26">
        <v>10.0</v>
      </c>
      <c r="B871" s="26" t="s">
        <v>1381</v>
      </c>
      <c r="C871" s="1"/>
      <c r="D871" s="1"/>
      <c r="E871" s="29" t="s">
        <v>33</v>
      </c>
      <c r="F871" s="15"/>
      <c r="G871" s="30">
        <v>90.0</v>
      </c>
      <c r="H871" s="22" t="s">
        <v>1382</v>
      </c>
      <c r="I871" s="32"/>
      <c r="J871" s="7" t="str">
        <f>IFERROR(LET(_xlpm.v,
VLOOKUP($I871,'用語辞書'!$A:$B,COLUMN('用語辞書'!B$1),FALSE),
IF(_xlpm.v=0,"",_xlpm.v)
),"")</f>
        <v/>
      </c>
      <c r="K871" s="17"/>
      <c r="L871" s="17" t="b">
        <f>IF(OR(COUNTIF('クラス'!$A$1:$A$1267,$B871)&gt;0,$B871="",$M871=""),"",True)</f>
        <v>1</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1"/>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1"/>
      <c r="B874" s="26" t="s">
        <v>1383</v>
      </c>
      <c r="C874" s="1"/>
      <c r="D874" s="1"/>
      <c r="E874" s="14"/>
      <c r="F874" s="15"/>
      <c r="G874" s="16"/>
      <c r="H874" s="11"/>
      <c r="I874" s="7"/>
      <c r="J874" s="7" t="str">
        <f>IFERROR(LET(_xlpm.v,
VLOOKUP($I874,'用語辞書'!$A:$B,COLUMN('用語辞書'!B$1),FALSE),
IF(_xlpm.v=0,"",_xlpm.v)
),"")</f>
        <v/>
      </c>
      <c r="K874" s="17"/>
      <c r="L874" s="17" t="str">
        <f>IF(OR(COUNTIF('クラス'!$A$1:$A$1267,$B874)&gt;0,$B874="",$M874=""),"",True)</f>
        <v/>
      </c>
      <c r="M874" s="1" t="str">
        <f t="shared" si="21"/>
        <v>存在しない</v>
      </c>
      <c r="N874" s="1" t="s">
        <v>29</v>
      </c>
      <c r="O874" s="1"/>
      <c r="P874" s="11"/>
      <c r="Q874" s="11"/>
      <c r="R874" s="11"/>
      <c r="S874" s="11"/>
      <c r="T874" s="1"/>
      <c r="U874" s="1"/>
      <c r="V874" s="1"/>
      <c r="W874" s="1"/>
      <c r="X874" s="1"/>
      <c r="Y874" s="1"/>
      <c r="Z874" s="1"/>
    </row>
    <row r="875" ht="18.0" customHeight="1" outlineLevel="1">
      <c r="A875" s="26">
        <v>1.0</v>
      </c>
      <c r="B875" s="26" t="s">
        <v>1384</v>
      </c>
      <c r="C875" s="1"/>
      <c r="D875" s="1"/>
      <c r="E875" s="29" t="s">
        <v>33</v>
      </c>
      <c r="F875" s="15"/>
      <c r="G875" s="30">
        <v>50.0</v>
      </c>
      <c r="H875" s="22" t="s">
        <v>1385</v>
      </c>
      <c r="I875" s="7"/>
      <c r="J875" s="7" t="str">
        <f>IFERROR(LET(_xlpm.v,
VLOOKUP($I875,'用語辞書'!$A:$B,COLUMN('用語辞書'!B$1),FALSE),
IF(_xlpm.v=0,"",_xlpm.v)
),"")</f>
        <v/>
      </c>
      <c r="K875" s="17"/>
      <c r="L875" s="17" t="b">
        <f>IF(OR(COUNTIF('クラス'!$A$1:$A$1267,$B875)&gt;0,$B875="",$M875=""),"",True)</f>
        <v>1</v>
      </c>
      <c r="M875" s="1" t="str">
        <f t="shared" si="21"/>
        <v>存在しない</v>
      </c>
      <c r="N875" s="1" t="s">
        <v>29</v>
      </c>
      <c r="O875" s="1"/>
      <c r="P875" s="11"/>
      <c r="Q875" s="11"/>
      <c r="R875" s="11"/>
      <c r="S875" s="11"/>
      <c r="T875" s="1"/>
      <c r="U875" s="1"/>
      <c r="V875" s="1"/>
      <c r="W875" s="1"/>
      <c r="X875" s="1"/>
      <c r="Y875" s="1"/>
      <c r="Z875" s="1"/>
    </row>
    <row r="876" ht="18.0" customHeight="1" outlineLevel="1">
      <c r="A876" s="26">
        <v>2.0</v>
      </c>
      <c r="B876" s="1"/>
      <c r="C876" s="1"/>
      <c r="D876" s="1"/>
      <c r="E876" s="14"/>
      <c r="F876" s="15"/>
      <c r="G876" s="16"/>
      <c r="H876" s="11"/>
      <c r="I876" s="7"/>
      <c r="J876" s="7" t="str">
        <f>IFERROR(LET(_xlpm.v,
VLOOKUP($I876,'用語辞書'!$A:$B,COLUMN('用語辞書'!B$1),FALSE),
IF(_xlpm.v=0,"",_xlpm.v)
),"")</f>
        <v/>
      </c>
      <c r="K876" s="17"/>
      <c r="L876" s="17" t="str">
        <f>IF(OR(COUNTIF('クラス'!$A$1:$A$1267,$B876)&gt;0,$B876="",$M876=""),"",True)</f>
        <v/>
      </c>
      <c r="M876" s="1" t="str">
        <f t="shared" si="21"/>
        <v>存在しない</v>
      </c>
      <c r="N876" s="1" t="s">
        <v>29</v>
      </c>
      <c r="O876" s="1"/>
      <c r="P876" s="11"/>
      <c r="Q876" s="11"/>
      <c r="R876" s="11"/>
      <c r="S876" s="11"/>
      <c r="T876" s="1"/>
      <c r="U876" s="1"/>
      <c r="V876" s="1"/>
      <c r="W876" s="1"/>
      <c r="X876" s="1"/>
      <c r="Y876" s="1"/>
      <c r="Z876" s="1"/>
    </row>
    <row r="877" ht="18.0" customHeight="1" outlineLevel="1">
      <c r="A877" s="26">
        <v>3.0</v>
      </c>
      <c r="B877" s="26" t="s">
        <v>1386</v>
      </c>
      <c r="C877" s="1"/>
      <c r="D877" s="1"/>
      <c r="E877" s="29" t="s">
        <v>55</v>
      </c>
      <c r="F877" s="15"/>
      <c r="G877" s="16"/>
      <c r="H877" s="22" t="s">
        <v>1387</v>
      </c>
      <c r="I877" s="7"/>
      <c r="J877" s="7" t="str">
        <f>IFERROR(LET(_xlpm.v,
VLOOKUP($I877,'用語辞書'!$A:$B,COLUMN('用語辞書'!B$1),FALSE),
IF(_xlpm.v=0,"",_xlpm.v)
),"")</f>
        <v/>
      </c>
      <c r="K877" s="17"/>
      <c r="L877" s="17" t="b">
        <f>IF(OR(COUNTIF('クラス'!$A$1:$A$1267,$B877)&gt;0,$B877="",$M877=""),"",True)</f>
        <v>1</v>
      </c>
      <c r="M877" s="1" t="str">
        <f t="shared" si="21"/>
        <v>存在しない</v>
      </c>
      <c r="N877" s="1" t="s">
        <v>29</v>
      </c>
      <c r="O877" s="1"/>
      <c r="P877" s="11"/>
      <c r="Q877" s="11"/>
      <c r="R877" s="11"/>
      <c r="S877" s="11"/>
      <c r="T877" s="1"/>
      <c r="U877" s="1"/>
      <c r="V877" s="1"/>
      <c r="W877" s="1"/>
      <c r="X877" s="1"/>
      <c r="Y877" s="1"/>
      <c r="Z877" s="1"/>
    </row>
    <row r="878" ht="18.0" customHeight="1" outlineLevel="1">
      <c r="A878" s="26">
        <v>4.0</v>
      </c>
      <c r="B878" s="1"/>
      <c r="C878" s="1"/>
      <c r="D878" s="1"/>
      <c r="E878" s="14"/>
      <c r="F878" s="15"/>
      <c r="G878" s="16"/>
      <c r="H878" s="11"/>
      <c r="I878" s="7"/>
      <c r="J878" s="7" t="str">
        <f>IFERROR(LET(_xlpm.v,
VLOOKUP($I878,'用語辞書'!$A:$B,COLUMN('用語辞書'!B$1),FALSE),
IF(_xlpm.v=0,"",_xlpm.v)
),"")</f>
        <v/>
      </c>
      <c r="K878" s="17"/>
      <c r="L878" s="17" t="str">
        <f>IF(OR(COUNTIF('クラス'!$A$1:$A$1267,$B878)&gt;0,$B878="",$M878=""),"",True)</f>
        <v/>
      </c>
      <c r="M878" s="1" t="str">
        <f t="shared" si="21"/>
        <v>存在しない</v>
      </c>
      <c r="N878" s="1" t="s">
        <v>29</v>
      </c>
      <c r="O878" s="1"/>
      <c r="P878" s="11"/>
      <c r="Q878" s="11"/>
      <c r="R878" s="11"/>
      <c r="S878" s="11"/>
      <c r="T878" s="1"/>
      <c r="U878" s="1"/>
      <c r="V878" s="1"/>
      <c r="W878" s="1"/>
      <c r="X878" s="1"/>
      <c r="Y878" s="1"/>
      <c r="Z878" s="1"/>
    </row>
    <row r="879" ht="18.0" customHeight="1" outlineLevel="1">
      <c r="A879" s="26">
        <v>5.0</v>
      </c>
      <c r="B879" s="26" t="s">
        <v>1388</v>
      </c>
      <c r="C879" s="1"/>
      <c r="D879" s="26"/>
      <c r="E879" s="29" t="s">
        <v>55</v>
      </c>
      <c r="F879" s="15"/>
      <c r="G879" s="30"/>
      <c r="H879" s="22" t="s">
        <v>1389</v>
      </c>
      <c r="I879" s="7"/>
      <c r="J879" s="7" t="str">
        <f>IFERROR(LET(_xlpm.v,
VLOOKUP($I879,'用語辞書'!$A:$B,COLUMN('用語辞書'!B$1),FALSE),
IF(_xlpm.v=0,"",_xlpm.v)
),"")</f>
        <v/>
      </c>
      <c r="K879" s="17"/>
      <c r="L879" s="17" t="b">
        <f>IF(OR(COUNTIF('クラス'!$A$1:$A$1267,$B879)&gt;0,$B879="",$M879=""),"",True)</f>
        <v>1</v>
      </c>
      <c r="M879" s="1" t="str">
        <f t="shared" si="21"/>
        <v>存在しない</v>
      </c>
      <c r="N879" s="1" t="s">
        <v>29</v>
      </c>
      <c r="O879" s="1"/>
      <c r="P879" s="11"/>
      <c r="Q879" s="11"/>
      <c r="R879" s="11"/>
      <c r="S879" s="11"/>
      <c r="T879" s="1"/>
      <c r="U879" s="1"/>
      <c r="V879" s="1"/>
      <c r="W879" s="1"/>
      <c r="X879" s="1"/>
      <c r="Y879" s="1"/>
      <c r="Z879" s="1"/>
    </row>
    <row r="880" ht="18.0" customHeight="1" outlineLevel="1">
      <c r="A880" s="26">
        <v>6.0</v>
      </c>
      <c r="B880" s="1"/>
      <c r="C880" s="1"/>
      <c r="D880" s="1"/>
      <c r="E880" s="14"/>
      <c r="F880" s="15"/>
      <c r="G880" s="16"/>
      <c r="H880" s="11"/>
      <c r="I880" s="7"/>
      <c r="J880" s="7" t="str">
        <f>IFERROR(LET(_xlpm.v,
VLOOKUP($I880,'用語辞書'!$A:$B,COLUMN('用語辞書'!B$1),FALSE),
IF(_xlpm.v=0,"",_xlpm.v)
),"")</f>
        <v/>
      </c>
      <c r="K880" s="17"/>
      <c r="L880" s="17" t="str">
        <f>IF(OR(COUNTIF('クラス'!$A$1:$A$1267,$B880)&gt;0,$B880="",$M880=""),"",True)</f>
        <v/>
      </c>
      <c r="M880" s="1" t="str">
        <f t="shared" si="21"/>
        <v>存在しない</v>
      </c>
      <c r="N880" s="1" t="s">
        <v>29</v>
      </c>
      <c r="O880" s="1"/>
      <c r="P880" s="11"/>
      <c r="Q880" s="11"/>
      <c r="R880" s="11"/>
      <c r="S880" s="11"/>
      <c r="T880" s="1"/>
      <c r="U880" s="1"/>
      <c r="V880" s="1"/>
      <c r="W880" s="1"/>
      <c r="X880" s="1"/>
      <c r="Y880" s="1"/>
      <c r="Z880" s="1"/>
    </row>
    <row r="881" ht="18.0" customHeight="1" outlineLevel="1">
      <c r="A881" s="26">
        <v>7.0</v>
      </c>
      <c r="B881" s="26" t="s">
        <v>1390</v>
      </c>
      <c r="C881" s="1"/>
      <c r="D881" s="1"/>
      <c r="E881" s="29" t="s">
        <v>55</v>
      </c>
      <c r="F881" s="15"/>
      <c r="G881" s="30"/>
      <c r="H881" s="22" t="s">
        <v>1391</v>
      </c>
      <c r="I881" s="7"/>
      <c r="J881" s="7" t="str">
        <f>IFERROR(LET(_xlpm.v,
VLOOKUP($I881,'用語辞書'!$A:$B,COLUMN('用語辞書'!B$1),FALSE),
IF(_xlpm.v=0,"",_xlpm.v)
),"")</f>
        <v/>
      </c>
      <c r="K881" s="17"/>
      <c r="L881" s="17" t="b">
        <f>IF(OR(COUNTIF('クラス'!$A$1:$A$1267,$B881)&gt;0,$B881="",$M881=""),"",True)</f>
        <v>1</v>
      </c>
      <c r="M881" s="1" t="str">
        <f t="shared" si="21"/>
        <v>存在しない</v>
      </c>
      <c r="N881" s="1" t="s">
        <v>29</v>
      </c>
      <c r="O881" s="1"/>
      <c r="P881" s="11"/>
      <c r="Q881" s="11"/>
      <c r="R881" s="11"/>
      <c r="S881" s="11"/>
      <c r="T881" s="1"/>
      <c r="U881" s="1"/>
      <c r="V881" s="1"/>
      <c r="W881" s="1"/>
      <c r="X881" s="1"/>
      <c r="Y881" s="1"/>
      <c r="Z881" s="1"/>
    </row>
    <row r="882" ht="18.0" customHeight="1" outlineLevel="1">
      <c r="A882" s="26">
        <v>8.0</v>
      </c>
      <c r="B882" s="1"/>
      <c r="C882" s="1"/>
      <c r="D882" s="1"/>
      <c r="E882" s="14"/>
      <c r="F882" s="15"/>
      <c r="G882" s="16"/>
      <c r="H882" s="11"/>
      <c r="I882" s="7"/>
      <c r="J882" s="7" t="str">
        <f>IFERROR(LET(_xlpm.v,
VLOOKUP($I882,'用語辞書'!$A:$B,COLUMN('用語辞書'!B$1),FALSE),
IF(_xlpm.v=0,"",_xlpm.v)
),"")</f>
        <v/>
      </c>
      <c r="K882" s="17"/>
      <c r="L882" s="17" t="str">
        <f>IF(OR(COUNTIF('クラス'!$A$1:$A$1267,$B882)&gt;0,$B882="",$M882=""),"",True)</f>
        <v/>
      </c>
      <c r="M882" s="1" t="str">
        <f t="shared" si="21"/>
        <v>存在しない</v>
      </c>
      <c r="N882" s="1" t="s">
        <v>29</v>
      </c>
      <c r="O882" s="1"/>
      <c r="P882" s="11"/>
      <c r="Q882" s="11"/>
      <c r="R882" s="11"/>
      <c r="S882" s="11"/>
      <c r="T882" s="1"/>
      <c r="U882" s="1"/>
      <c r="V882" s="1"/>
      <c r="W882" s="1"/>
      <c r="X882" s="1"/>
      <c r="Y882" s="1"/>
      <c r="Z882" s="1"/>
    </row>
    <row r="883" ht="18.0" customHeight="1" outlineLevel="1">
      <c r="A883" s="26">
        <v>9.0</v>
      </c>
      <c r="B883" s="26" t="s">
        <v>1392</v>
      </c>
      <c r="C883" s="1"/>
      <c r="D883" s="1"/>
      <c r="E883" s="29" t="s">
        <v>33</v>
      </c>
      <c r="F883" s="15"/>
      <c r="G883" s="30">
        <v>70.0</v>
      </c>
      <c r="H883" s="22" t="s">
        <v>1393</v>
      </c>
      <c r="I883" s="7"/>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26">
        <v>10.0</v>
      </c>
      <c r="B884" s="26" t="s">
        <v>1394</v>
      </c>
      <c r="C884" s="1"/>
      <c r="D884" s="26" t="s">
        <v>1342</v>
      </c>
      <c r="E884" s="29" t="s">
        <v>33</v>
      </c>
      <c r="F884" s="15"/>
      <c r="G884" s="30">
        <v>100.0</v>
      </c>
      <c r="H884" s="22" t="s">
        <v>1395</v>
      </c>
      <c r="I884" s="32"/>
      <c r="J884" s="7" t="str">
        <f>IFERROR(LET(_xlpm.v,
VLOOKUP($I884,'用語辞書'!$A:$B,COLUMN('用語辞書'!B$1),FALSE),
IF(_xlpm.v=0,"",_xlpm.v)
),"")</f>
        <v/>
      </c>
      <c r="K884" s="17"/>
      <c r="L884" s="17" t="b">
        <f>IF(OR(COUNTIF('クラス'!$A$1:$A$1267,$B884)&gt;0,$B884="",$M884=""),"",True)</f>
        <v>1</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1"/>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1"/>
      <c r="B887" s="26" t="s">
        <v>1396</v>
      </c>
      <c r="C887" s="1"/>
      <c r="D887" s="1"/>
      <c r="E887" s="14"/>
      <c r="F887" s="15"/>
      <c r="G887" s="16"/>
      <c r="H887" s="11"/>
      <c r="I887" s="7"/>
      <c r="J887" s="7" t="str">
        <f>IFERROR(LET(_xlpm.v,
VLOOKUP($I887,'用語辞書'!$A:$B,COLUMN('用語辞書'!B$1),FALSE),
IF(_xlpm.v=0,"",_xlpm.v)
),"")</f>
        <v/>
      </c>
      <c r="K887" s="17"/>
      <c r="L887" s="17" t="str">
        <f>IF(OR(COUNTIF('クラス'!$A$1:$A$1267,$B887)&gt;0,$B887="",$M887=""),"",True)</f>
        <v/>
      </c>
      <c r="M887" s="1" t="str">
        <f t="shared" si="21"/>
        <v>存在しない</v>
      </c>
      <c r="N887" s="1" t="s">
        <v>29</v>
      </c>
      <c r="O887" s="1"/>
      <c r="P887" s="11"/>
      <c r="Q887" s="11"/>
      <c r="R887" s="11"/>
      <c r="S887" s="11"/>
      <c r="T887" s="1"/>
      <c r="U887" s="1"/>
      <c r="V887" s="1"/>
      <c r="W887" s="1"/>
      <c r="X887" s="1"/>
      <c r="Y887" s="1"/>
      <c r="Z887" s="1"/>
    </row>
    <row r="888" ht="18.0" customHeight="1" outlineLevel="1">
      <c r="A888" s="26">
        <v>1.0</v>
      </c>
      <c r="B888" s="26" t="s">
        <v>1397</v>
      </c>
      <c r="C888" s="1"/>
      <c r="D888" s="26" t="s">
        <v>716</v>
      </c>
      <c r="E888" s="29" t="s">
        <v>33</v>
      </c>
      <c r="F888" s="15"/>
      <c r="G888" s="30">
        <v>50.0</v>
      </c>
      <c r="H888" s="22" t="s">
        <v>1398</v>
      </c>
      <c r="I888" s="7"/>
      <c r="J888" s="7" t="str">
        <f>IFERROR(LET(_xlpm.v,
VLOOKUP($I888,'用語辞書'!$A:$B,COLUMN('用語辞書'!B$1),FALSE),
IF(_xlpm.v=0,"",_xlpm.v)
),"")</f>
        <v/>
      </c>
      <c r="K888" s="17"/>
      <c r="L888" s="17" t="b">
        <f>IF(OR(COUNTIF('クラス'!$A$1:$A$1267,$B888)&gt;0,$B888="",$M888=""),"",True)</f>
        <v>1</v>
      </c>
      <c r="M888" s="1" t="str">
        <f t="shared" si="21"/>
        <v>存在しない</v>
      </c>
      <c r="N888" s="1" t="s">
        <v>29</v>
      </c>
      <c r="O888" s="1"/>
      <c r="P888" s="11"/>
      <c r="Q888" s="11"/>
      <c r="R888" s="11"/>
      <c r="S888" s="11"/>
      <c r="T888" s="1"/>
      <c r="U888" s="1"/>
      <c r="V888" s="1"/>
      <c r="W888" s="1"/>
      <c r="X888" s="1"/>
      <c r="Y888" s="1"/>
      <c r="Z888" s="1"/>
    </row>
    <row r="889" ht="18.0" customHeight="1" outlineLevel="1">
      <c r="A889" s="26">
        <v>2.0</v>
      </c>
      <c r="B889" s="1"/>
      <c r="C889" s="1"/>
      <c r="D889" s="1"/>
      <c r="E889" s="14"/>
      <c r="F889" s="15"/>
      <c r="G889" s="16"/>
      <c r="H889" s="11"/>
      <c r="I889" s="7"/>
      <c r="J889" s="7" t="str">
        <f>IFERROR(LET(_xlpm.v,
VLOOKUP($I889,'用語辞書'!$A:$B,COLUMN('用語辞書'!B$1),FALSE),
IF(_xlpm.v=0,"",_xlpm.v)
),"")</f>
        <v/>
      </c>
      <c r="K889" s="17"/>
      <c r="L889" s="17" t="str">
        <f>IF(OR(COUNTIF('クラス'!$A$1:$A$1267,$B889)&gt;0,$B889="",$M889=""),"",True)</f>
        <v/>
      </c>
      <c r="M889" s="1" t="str">
        <f t="shared" si="21"/>
        <v>存在しない</v>
      </c>
      <c r="N889" s="1" t="s">
        <v>29</v>
      </c>
      <c r="O889" s="1"/>
      <c r="P889" s="11"/>
      <c r="Q889" s="11"/>
      <c r="R889" s="11"/>
      <c r="S889" s="11"/>
      <c r="T889" s="1"/>
      <c r="U889" s="1"/>
      <c r="V889" s="1"/>
      <c r="W889" s="1"/>
      <c r="X889" s="1"/>
      <c r="Y889" s="1"/>
      <c r="Z889" s="1"/>
    </row>
    <row r="890" ht="18.0" customHeight="1" outlineLevel="1">
      <c r="A890" s="26">
        <v>3.0</v>
      </c>
      <c r="B890" s="26" t="s">
        <v>1399</v>
      </c>
      <c r="C890" s="1"/>
      <c r="D890" s="1"/>
      <c r="E890" s="29" t="s">
        <v>33</v>
      </c>
      <c r="F890" s="15"/>
      <c r="G890" s="30">
        <v>40.0</v>
      </c>
      <c r="H890" s="22" t="s">
        <v>1400</v>
      </c>
      <c r="I890" s="7"/>
      <c r="J890" s="7" t="str">
        <f>IFERROR(LET(_xlpm.v,
VLOOKUP($I890,'用語辞書'!$A:$B,COLUMN('用語辞書'!B$1),FALSE),
IF(_xlpm.v=0,"",_xlpm.v)
),"")</f>
        <v/>
      </c>
      <c r="K890" s="17"/>
      <c r="L890" s="17" t="b">
        <f>IF(OR(COUNTIF('クラス'!$A$1:$A$1267,$B890)&gt;0,$B890="",$M890=""),"",True)</f>
        <v>1</v>
      </c>
      <c r="M890" s="1" t="str">
        <f t="shared" si="21"/>
        <v>存在しない</v>
      </c>
      <c r="N890" s="1" t="s">
        <v>29</v>
      </c>
      <c r="O890" s="1"/>
      <c r="P890" s="11"/>
      <c r="Q890" s="11"/>
      <c r="R890" s="11"/>
      <c r="S890" s="11"/>
      <c r="T890" s="1"/>
      <c r="U890" s="1"/>
      <c r="V890" s="1"/>
      <c r="W890" s="1"/>
      <c r="X890" s="1"/>
      <c r="Y890" s="1"/>
      <c r="Z890" s="1"/>
    </row>
    <row r="891" ht="18.0" customHeight="1" outlineLevel="1">
      <c r="A891" s="26">
        <v>4.0</v>
      </c>
      <c r="B891" s="1"/>
      <c r="C891" s="1"/>
      <c r="D891" s="1"/>
      <c r="E891" s="14"/>
      <c r="F891" s="15"/>
      <c r="G891" s="16"/>
      <c r="H891" s="11"/>
      <c r="I891" s="7"/>
      <c r="J891" s="7" t="str">
        <f>IFERROR(LET(_xlpm.v,
VLOOKUP($I891,'用語辞書'!$A:$B,COLUMN('用語辞書'!B$1),FALSE),
IF(_xlpm.v=0,"",_xlpm.v)
),"")</f>
        <v/>
      </c>
      <c r="K891" s="17"/>
      <c r="L891" s="17" t="str">
        <f>IF(OR(COUNTIF('クラス'!$A$1:$A$1267,$B891)&gt;0,$B891="",$M891=""),"",True)</f>
        <v/>
      </c>
      <c r="M891" s="1" t="str">
        <f t="shared" si="21"/>
        <v>存在しない</v>
      </c>
      <c r="N891" s="1" t="s">
        <v>29</v>
      </c>
      <c r="O891" s="1"/>
      <c r="P891" s="11"/>
      <c r="Q891" s="11"/>
      <c r="R891" s="11"/>
      <c r="S891" s="11"/>
      <c r="T891" s="1"/>
      <c r="U891" s="1"/>
      <c r="V891" s="1"/>
      <c r="W891" s="1"/>
      <c r="X891" s="1"/>
      <c r="Y891" s="1"/>
      <c r="Z891" s="1"/>
    </row>
    <row r="892" ht="18.0" customHeight="1" outlineLevel="1">
      <c r="A892" s="26">
        <v>5.0</v>
      </c>
      <c r="B892" s="26" t="s">
        <v>1401</v>
      </c>
      <c r="C892" s="1"/>
      <c r="D892" s="26"/>
      <c r="E892" s="29" t="s">
        <v>55</v>
      </c>
      <c r="F892" s="15"/>
      <c r="G892" s="30"/>
      <c r="H892" s="22" t="s">
        <v>1402</v>
      </c>
      <c r="I892" s="7"/>
      <c r="J892" s="7" t="str">
        <f>IFERROR(LET(_xlpm.v,
VLOOKUP($I892,'用語辞書'!$A:$B,COLUMN('用語辞書'!B$1),FALSE),
IF(_xlpm.v=0,"",_xlpm.v)
),"")</f>
        <v/>
      </c>
      <c r="K892" s="17"/>
      <c r="L892" s="17" t="b">
        <f>IF(OR(COUNTIF('クラス'!$A$1:$A$1267,$B892)&gt;0,$B892="",$M892=""),"",True)</f>
        <v>1</v>
      </c>
      <c r="M892" s="1" t="str">
        <f t="shared" si="21"/>
        <v>存在しない</v>
      </c>
      <c r="N892" s="1" t="s">
        <v>29</v>
      </c>
      <c r="O892" s="1"/>
      <c r="P892" s="11"/>
      <c r="Q892" s="11"/>
      <c r="R892" s="11"/>
      <c r="S892" s="11"/>
      <c r="T892" s="1"/>
      <c r="U892" s="1"/>
      <c r="V892" s="1"/>
      <c r="W892" s="1"/>
      <c r="X892" s="1"/>
      <c r="Y892" s="1"/>
      <c r="Z892" s="1"/>
    </row>
    <row r="893" ht="18.0" customHeight="1" outlineLevel="1">
      <c r="A893" s="26">
        <v>6.0</v>
      </c>
      <c r="B893" s="1"/>
      <c r="C893" s="1"/>
      <c r="D893" s="1"/>
      <c r="E893" s="14"/>
      <c r="F893" s="15"/>
      <c r="G893" s="16"/>
      <c r="H893" s="11"/>
      <c r="I893" s="7"/>
      <c r="J893" s="7" t="str">
        <f>IFERROR(LET(_xlpm.v,
VLOOKUP($I893,'用語辞書'!$A:$B,COLUMN('用語辞書'!B$1),FALSE),
IF(_xlpm.v=0,"",_xlpm.v)
),"")</f>
        <v/>
      </c>
      <c r="K893" s="17"/>
      <c r="L893" s="17" t="str">
        <f>IF(OR(COUNTIF('クラス'!$A$1:$A$1267,$B893)&gt;0,$B893="",$M893=""),"",True)</f>
        <v/>
      </c>
      <c r="M893" s="1" t="str">
        <f t="shared" si="21"/>
        <v>存在しない</v>
      </c>
      <c r="N893" s="1" t="s">
        <v>29</v>
      </c>
      <c r="O893" s="1"/>
      <c r="P893" s="11"/>
      <c r="Q893" s="11"/>
      <c r="R893" s="11"/>
      <c r="S893" s="11"/>
      <c r="T893" s="1"/>
      <c r="U893" s="1"/>
      <c r="V893" s="1"/>
      <c r="W893" s="1"/>
      <c r="X893" s="1"/>
      <c r="Y893" s="1"/>
      <c r="Z893" s="1"/>
    </row>
    <row r="894" ht="18.0" customHeight="1" outlineLevel="1">
      <c r="A894" s="26">
        <v>7.0</v>
      </c>
      <c r="B894" s="26" t="s">
        <v>1403</v>
      </c>
      <c r="C894" s="1"/>
      <c r="D894" s="26" t="s">
        <v>1348</v>
      </c>
      <c r="E894" s="29" t="s">
        <v>33</v>
      </c>
      <c r="F894" s="15"/>
      <c r="G894" s="30">
        <v>60.0</v>
      </c>
      <c r="H894" s="22" t="s">
        <v>1404</v>
      </c>
      <c r="I894" s="7"/>
      <c r="J894" s="7" t="str">
        <f>IFERROR(LET(_xlpm.v,
VLOOKUP($I894,'用語辞書'!$A:$B,COLUMN('用語辞書'!B$1),FALSE),
IF(_xlpm.v=0,"",_xlpm.v)
),"")</f>
        <v/>
      </c>
      <c r="K894" s="17"/>
      <c r="L894" s="17" t="b">
        <f>IF(OR(COUNTIF('クラス'!$A$1:$A$1267,$B894)&gt;0,$B894="",$M894=""),"",True)</f>
        <v>1</v>
      </c>
      <c r="M894" s="1" t="str">
        <f t="shared" si="21"/>
        <v>存在しない</v>
      </c>
      <c r="N894" s="1" t="s">
        <v>29</v>
      </c>
      <c r="O894" s="1"/>
      <c r="P894" s="11"/>
      <c r="Q894" s="11"/>
      <c r="R894" s="11"/>
      <c r="S894" s="11"/>
      <c r="T894" s="1"/>
      <c r="U894" s="1"/>
      <c r="V894" s="1"/>
      <c r="W894" s="1"/>
      <c r="X894" s="1"/>
      <c r="Y894" s="1"/>
      <c r="Z894" s="1"/>
    </row>
    <row r="895" ht="18.0" customHeight="1" outlineLevel="1">
      <c r="A895" s="26">
        <v>8.0</v>
      </c>
      <c r="B895" s="1"/>
      <c r="C895" s="1"/>
      <c r="D895" s="1"/>
      <c r="E895" s="14"/>
      <c r="F895" s="15"/>
      <c r="G895" s="16"/>
      <c r="H895" s="11"/>
      <c r="I895" s="7"/>
      <c r="J895" s="7" t="str">
        <f>IFERROR(LET(_xlpm.v,
VLOOKUP($I895,'用語辞書'!$A:$B,COLUMN('用語辞書'!B$1),FALSE),
IF(_xlpm.v=0,"",_xlpm.v)
),"")</f>
        <v/>
      </c>
      <c r="K895" s="17"/>
      <c r="L895" s="17" t="str">
        <f>IF(OR(COUNTIF('クラス'!$A$1:$A$1267,$B895)&gt;0,$B895="",$M895=""),"",True)</f>
        <v/>
      </c>
      <c r="M895" s="1" t="str">
        <f t="shared" si="21"/>
        <v>存在しない</v>
      </c>
      <c r="N895" s="1" t="s">
        <v>29</v>
      </c>
      <c r="O895" s="1"/>
      <c r="P895" s="11"/>
      <c r="Q895" s="11"/>
      <c r="R895" s="11"/>
      <c r="S895" s="11"/>
      <c r="T895" s="1"/>
      <c r="U895" s="1"/>
      <c r="V895" s="1"/>
      <c r="W895" s="1"/>
      <c r="X895" s="1"/>
      <c r="Y895" s="1"/>
      <c r="Z895" s="1"/>
    </row>
    <row r="896" ht="18.0" customHeight="1" outlineLevel="1">
      <c r="A896" s="26">
        <v>9.0</v>
      </c>
      <c r="B896" s="26" t="s">
        <v>1405</v>
      </c>
      <c r="C896" s="1"/>
      <c r="D896" s="1"/>
      <c r="E896" s="29" t="s">
        <v>55</v>
      </c>
      <c r="F896" s="15"/>
      <c r="G896" s="16"/>
      <c r="H896" s="22" t="s">
        <v>1406</v>
      </c>
      <c r="I896" s="7"/>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26">
        <v>10.0</v>
      </c>
      <c r="B897" s="26" t="s">
        <v>1407</v>
      </c>
      <c r="C897" s="1"/>
      <c r="D897" s="26" t="s">
        <v>716</v>
      </c>
      <c r="E897" s="29" t="s">
        <v>33</v>
      </c>
      <c r="F897" s="15"/>
      <c r="G897" s="30">
        <v>80.0</v>
      </c>
      <c r="H897" s="22" t="s">
        <v>1408</v>
      </c>
      <c r="I897" s="32"/>
      <c r="J897" s="7" t="str">
        <f>IFERROR(LET(_xlpm.v,
VLOOKUP($I897,'用語辞書'!$A:$B,COLUMN('用語辞書'!B$1),FALSE),
IF(_xlpm.v=0,"",_xlpm.v)
),"")</f>
        <v/>
      </c>
      <c r="K897" s="17"/>
      <c r="L897" s="17" t="b">
        <f>IF(OR(COUNTIF('クラス'!$A$1:$A$1267,$B897)&gt;0,$B897="",$M897=""),"",True)</f>
        <v>1</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1"/>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1"/>
      <c r="B900" s="26" t="s">
        <v>1409</v>
      </c>
      <c r="C900" s="1"/>
      <c r="D900" s="1"/>
      <c r="E900" s="14"/>
      <c r="F900" s="15"/>
      <c r="G900" s="16"/>
      <c r="H900" s="11"/>
      <c r="I900" s="7"/>
      <c r="J900" s="7" t="str">
        <f>IFERROR(LET(_xlpm.v,
VLOOKUP($I900,'用語辞書'!$A:$B,COLUMN('用語辞書'!B$1),FALSE),
IF(_xlpm.v=0,"",_xlpm.v)
),"")</f>
        <v/>
      </c>
      <c r="K900" s="17"/>
      <c r="L900" s="17" t="str">
        <f>IF(OR(COUNTIF('クラス'!$A$1:$A$1267,$B900)&gt;0,$B900="",$M900=""),"",True)</f>
        <v/>
      </c>
      <c r="M900" s="1" t="str">
        <f t="shared" si="21"/>
        <v>存在しない</v>
      </c>
      <c r="N900" s="1" t="s">
        <v>29</v>
      </c>
      <c r="O900" s="1"/>
      <c r="P900" s="11"/>
      <c r="Q900" s="11"/>
      <c r="R900" s="11"/>
      <c r="S900" s="11"/>
      <c r="T900" s="1"/>
      <c r="U900" s="1"/>
      <c r="V900" s="1"/>
      <c r="W900" s="1"/>
      <c r="X900" s="1"/>
      <c r="Y900" s="1"/>
      <c r="Z900" s="1"/>
    </row>
    <row r="901" ht="18.0" customHeight="1" outlineLevel="1">
      <c r="A901" s="26">
        <v>1.0</v>
      </c>
      <c r="B901" s="26" t="s">
        <v>1410</v>
      </c>
      <c r="C901" s="1"/>
      <c r="D901" s="26" t="s">
        <v>1348</v>
      </c>
      <c r="E901" s="29" t="s">
        <v>33</v>
      </c>
      <c r="F901" s="15"/>
      <c r="G901" s="30">
        <v>50.0</v>
      </c>
      <c r="H901" s="22" t="s">
        <v>1411</v>
      </c>
      <c r="I901" s="7"/>
      <c r="J901" s="7" t="str">
        <f>IFERROR(LET(_xlpm.v,
VLOOKUP($I901,'用語辞書'!$A:$B,COLUMN('用語辞書'!B$1),FALSE),
IF(_xlpm.v=0,"",_xlpm.v)
),"")</f>
        <v/>
      </c>
      <c r="K901" s="17"/>
      <c r="L901" s="17" t="b">
        <f>IF(OR(COUNTIF('クラス'!$A$1:$A$1267,$B901)&gt;0,$B901="",$M901=""),"",True)</f>
        <v>1</v>
      </c>
      <c r="M901" s="1" t="str">
        <f t="shared" si="21"/>
        <v>存在しない</v>
      </c>
      <c r="N901" s="1" t="s">
        <v>29</v>
      </c>
      <c r="O901" s="1"/>
      <c r="P901" s="11"/>
      <c r="Q901" s="11"/>
      <c r="R901" s="11"/>
      <c r="S901" s="11"/>
      <c r="T901" s="1"/>
      <c r="U901" s="1"/>
      <c r="V901" s="1"/>
      <c r="W901" s="1"/>
      <c r="X901" s="1"/>
      <c r="Y901" s="1"/>
      <c r="Z901" s="1"/>
    </row>
    <row r="902" ht="18.0" customHeight="1" outlineLevel="1">
      <c r="A902" s="26">
        <v>2.0</v>
      </c>
      <c r="B902" s="1"/>
      <c r="C902" s="1"/>
      <c r="D902" s="1"/>
      <c r="E902" s="14"/>
      <c r="F902" s="15"/>
      <c r="G902" s="16"/>
      <c r="H902" s="11"/>
      <c r="I902" s="7"/>
      <c r="J902" s="7" t="str">
        <f>IFERROR(LET(_xlpm.v,
VLOOKUP($I902,'用語辞書'!$A:$B,COLUMN('用語辞書'!B$1),FALSE),
IF(_xlpm.v=0,"",_xlpm.v)
),"")</f>
        <v/>
      </c>
      <c r="K902" s="17"/>
      <c r="L902" s="17" t="str">
        <f>IF(OR(COUNTIF('クラス'!$A$1:$A$1267,$B902)&gt;0,$B902="",$M902=""),"",True)</f>
        <v/>
      </c>
      <c r="M902" s="1" t="str">
        <f t="shared" si="21"/>
        <v>存在しない</v>
      </c>
      <c r="N902" s="1" t="s">
        <v>29</v>
      </c>
      <c r="O902" s="1"/>
      <c r="P902" s="11"/>
      <c r="Q902" s="11"/>
      <c r="R902" s="11"/>
      <c r="S902" s="11"/>
      <c r="T902" s="1"/>
      <c r="U902" s="1"/>
      <c r="V902" s="1"/>
      <c r="W902" s="1"/>
      <c r="X902" s="1"/>
      <c r="Y902" s="1"/>
      <c r="Z902" s="1"/>
    </row>
    <row r="903" ht="18.0" customHeight="1" outlineLevel="1">
      <c r="A903" s="26">
        <v>3.0</v>
      </c>
      <c r="B903" s="26" t="s">
        <v>1412</v>
      </c>
      <c r="C903" s="1"/>
      <c r="D903" s="26" t="s">
        <v>676</v>
      </c>
      <c r="E903" s="29" t="s">
        <v>33</v>
      </c>
      <c r="F903" s="15"/>
      <c r="G903" s="30">
        <v>60.0</v>
      </c>
      <c r="H903" s="22" t="s">
        <v>1413</v>
      </c>
      <c r="I903" s="7"/>
      <c r="J903" s="7" t="str">
        <f>IFERROR(LET(_xlpm.v,
VLOOKUP($I903,'用語辞書'!$A:$B,COLUMN('用語辞書'!B$1),FALSE),
IF(_xlpm.v=0,"",_xlpm.v)
),"")</f>
        <v/>
      </c>
      <c r="K903" s="17"/>
      <c r="L903" s="17" t="b">
        <f>IF(OR(COUNTIF('クラス'!$A$1:$A$1267,$B903)&gt;0,$B903="",$M903=""),"",True)</f>
        <v>1</v>
      </c>
      <c r="M903" s="1" t="str">
        <f t="shared" si="21"/>
        <v>存在しない</v>
      </c>
      <c r="N903" s="1" t="s">
        <v>29</v>
      </c>
      <c r="O903" s="1"/>
      <c r="P903" s="11"/>
      <c r="Q903" s="11"/>
      <c r="R903" s="11"/>
      <c r="S903" s="11"/>
      <c r="T903" s="1"/>
      <c r="U903" s="1"/>
      <c r="V903" s="1"/>
      <c r="W903" s="1"/>
      <c r="X903" s="1"/>
      <c r="Y903" s="1"/>
      <c r="Z903" s="1"/>
    </row>
    <row r="904" ht="18.0" customHeight="1" outlineLevel="1">
      <c r="A904" s="26">
        <v>4.0</v>
      </c>
      <c r="B904" s="1"/>
      <c r="C904" s="1"/>
      <c r="D904" s="1"/>
      <c r="E904" s="14"/>
      <c r="F904" s="15"/>
      <c r="G904" s="16"/>
      <c r="H904" s="11"/>
      <c r="I904" s="7"/>
      <c r="J904" s="7" t="str">
        <f>IFERROR(LET(_xlpm.v,
VLOOKUP($I904,'用語辞書'!$A:$B,COLUMN('用語辞書'!B$1),FALSE),
IF(_xlpm.v=0,"",_xlpm.v)
),"")</f>
        <v/>
      </c>
      <c r="K904" s="17"/>
      <c r="L904" s="17" t="str">
        <f>IF(OR(COUNTIF('クラス'!$A$1:$A$1267,$B904)&gt;0,$B904="",$M904=""),"",True)</f>
        <v/>
      </c>
      <c r="M904" s="1" t="str">
        <f t="shared" si="21"/>
        <v>存在しない</v>
      </c>
      <c r="N904" s="1" t="s">
        <v>29</v>
      </c>
      <c r="O904" s="1"/>
      <c r="P904" s="11"/>
      <c r="Q904" s="11"/>
      <c r="R904" s="11"/>
      <c r="S904" s="11"/>
      <c r="T904" s="1"/>
      <c r="U904" s="1"/>
      <c r="V904" s="1"/>
      <c r="W904" s="1"/>
      <c r="X904" s="1"/>
      <c r="Y904" s="1"/>
      <c r="Z904" s="1"/>
    </row>
    <row r="905" ht="18.0" customHeight="1" outlineLevel="1">
      <c r="A905" s="26">
        <v>5.0</v>
      </c>
      <c r="B905" s="26" t="s">
        <v>1414</v>
      </c>
      <c r="C905" s="1"/>
      <c r="D905" s="26"/>
      <c r="E905" s="29" t="s">
        <v>55</v>
      </c>
      <c r="F905" s="15"/>
      <c r="G905" s="30"/>
      <c r="H905" s="22" t="s">
        <v>1415</v>
      </c>
      <c r="I905" s="7"/>
      <c r="J905" s="7" t="str">
        <f>IFERROR(LET(_xlpm.v,
VLOOKUP($I905,'用語辞書'!$A:$B,COLUMN('用語辞書'!B$1),FALSE),
IF(_xlpm.v=0,"",_xlpm.v)
),"")</f>
        <v/>
      </c>
      <c r="K905" s="17"/>
      <c r="L905" s="17" t="b">
        <f>IF(OR(COUNTIF('クラス'!$A$1:$A$1267,$B905)&gt;0,$B905="",$M905=""),"",True)</f>
        <v>1</v>
      </c>
      <c r="M905" s="1" t="str">
        <f t="shared" si="21"/>
        <v>存在しない</v>
      </c>
      <c r="N905" s="1" t="s">
        <v>29</v>
      </c>
      <c r="O905" s="1"/>
      <c r="P905" s="11"/>
      <c r="Q905" s="11"/>
      <c r="R905" s="11"/>
      <c r="S905" s="11"/>
      <c r="T905" s="1"/>
      <c r="U905" s="1"/>
      <c r="V905" s="1"/>
      <c r="W905" s="1"/>
      <c r="X905" s="1"/>
      <c r="Y905" s="1"/>
      <c r="Z905" s="1"/>
    </row>
    <row r="906" ht="18.0" customHeight="1" outlineLevel="1">
      <c r="A906" s="26">
        <v>6.0</v>
      </c>
      <c r="B906" s="1"/>
      <c r="C906" s="1"/>
      <c r="D906" s="1"/>
      <c r="E906" s="14"/>
      <c r="F906" s="15"/>
      <c r="G906" s="16"/>
      <c r="H906" s="11"/>
      <c r="I906" s="7"/>
      <c r="J906" s="7" t="str">
        <f>IFERROR(LET(_xlpm.v,
VLOOKUP($I906,'用語辞書'!$A:$B,COLUMN('用語辞書'!B$1),FALSE),
IF(_xlpm.v=0,"",_xlpm.v)
),"")</f>
        <v/>
      </c>
      <c r="K906" s="17"/>
      <c r="L906" s="17" t="str">
        <f>IF(OR(COUNTIF('クラス'!$A$1:$A$1267,$B906)&gt;0,$B906="",$M906=""),"",True)</f>
        <v/>
      </c>
      <c r="M906" s="1" t="str">
        <f t="shared" si="21"/>
        <v>存在しない</v>
      </c>
      <c r="N906" s="1" t="s">
        <v>29</v>
      </c>
      <c r="O906" s="1"/>
      <c r="P906" s="11"/>
      <c r="Q906" s="11"/>
      <c r="R906" s="11"/>
      <c r="S906" s="11"/>
      <c r="T906" s="1"/>
      <c r="U906" s="1"/>
      <c r="V906" s="1"/>
      <c r="W906" s="1"/>
      <c r="X906" s="1"/>
      <c r="Y906" s="1"/>
      <c r="Z906" s="1"/>
    </row>
    <row r="907" ht="18.0" customHeight="1" outlineLevel="1">
      <c r="A907" s="26">
        <v>7.0</v>
      </c>
      <c r="B907" s="26" t="s">
        <v>1416</v>
      </c>
      <c r="C907" s="1"/>
      <c r="D907" s="1"/>
      <c r="E907" s="29" t="s">
        <v>55</v>
      </c>
      <c r="F907" s="15"/>
      <c r="G907" s="30"/>
      <c r="H907" s="22" t="s">
        <v>1417</v>
      </c>
      <c r="I907" s="7"/>
      <c r="J907" s="7" t="str">
        <f>IFERROR(LET(_xlpm.v,
VLOOKUP($I907,'用語辞書'!$A:$B,COLUMN('用語辞書'!B$1),FALSE),
IF(_xlpm.v=0,"",_xlpm.v)
),"")</f>
        <v/>
      </c>
      <c r="K907" s="17"/>
      <c r="L907" s="17" t="b">
        <f>IF(OR(COUNTIF('クラス'!$A$1:$A$1267,$B907)&gt;0,$B907="",$M907=""),"",True)</f>
        <v>1</v>
      </c>
      <c r="M907" s="1" t="str">
        <f t="shared" si="21"/>
        <v>存在しない</v>
      </c>
      <c r="N907" s="1" t="s">
        <v>29</v>
      </c>
      <c r="O907" s="1"/>
      <c r="P907" s="11"/>
      <c r="Q907" s="11"/>
      <c r="R907" s="11"/>
      <c r="S907" s="11"/>
      <c r="T907" s="1"/>
      <c r="U907" s="1"/>
      <c r="V907" s="1"/>
      <c r="W907" s="1"/>
      <c r="X907" s="1"/>
      <c r="Y907" s="1"/>
      <c r="Z907" s="1"/>
    </row>
    <row r="908" ht="18.0" customHeight="1" outlineLevel="1">
      <c r="A908" s="26">
        <v>8.0</v>
      </c>
      <c r="B908" s="1"/>
      <c r="C908" s="1"/>
      <c r="D908" s="1"/>
      <c r="E908" s="14"/>
      <c r="F908" s="15"/>
      <c r="G908" s="16"/>
      <c r="H908" s="11"/>
      <c r="I908" s="7"/>
      <c r="J908" s="7" t="str">
        <f>IFERROR(LET(_xlpm.v,
VLOOKUP($I908,'用語辞書'!$A:$B,COLUMN('用語辞書'!B$1),FALSE),
IF(_xlpm.v=0,"",_xlpm.v)
),"")</f>
        <v/>
      </c>
      <c r="K908" s="17"/>
      <c r="L908" s="17" t="str">
        <f>IF(OR(COUNTIF('クラス'!$A$1:$A$1267,$B908)&gt;0,$B908="",$M908=""),"",True)</f>
        <v/>
      </c>
      <c r="M908" s="1" t="str">
        <f t="shared" si="21"/>
        <v>存在しない</v>
      </c>
      <c r="N908" s="1" t="s">
        <v>29</v>
      </c>
      <c r="O908" s="1"/>
      <c r="P908" s="11"/>
      <c r="Q908" s="11"/>
      <c r="R908" s="11"/>
      <c r="S908" s="11"/>
      <c r="T908" s="1"/>
      <c r="U908" s="1"/>
      <c r="V908" s="1"/>
      <c r="W908" s="1"/>
      <c r="X908" s="1"/>
      <c r="Y908" s="1"/>
      <c r="Z908" s="1"/>
    </row>
    <row r="909" ht="18.0" customHeight="1" outlineLevel="1">
      <c r="A909" s="26">
        <v>9.0</v>
      </c>
      <c r="B909" s="26" t="s">
        <v>1418</v>
      </c>
      <c r="C909" s="1"/>
      <c r="D909" s="26" t="s">
        <v>1348</v>
      </c>
      <c r="E909" s="29" t="s">
        <v>33</v>
      </c>
      <c r="F909" s="15"/>
      <c r="G909" s="30">
        <v>70.0</v>
      </c>
      <c r="H909" s="22" t="s">
        <v>1419</v>
      </c>
      <c r="I909" s="7"/>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26">
        <v>10.0</v>
      </c>
      <c r="B910" s="26" t="s">
        <v>1420</v>
      </c>
      <c r="C910" s="1"/>
      <c r="D910" s="26" t="s">
        <v>676</v>
      </c>
      <c r="E910" s="29" t="s">
        <v>33</v>
      </c>
      <c r="F910" s="15"/>
      <c r="G910" s="30">
        <v>90.0</v>
      </c>
      <c r="H910" s="22" t="s">
        <v>1421</v>
      </c>
      <c r="I910" s="32"/>
      <c r="J910" s="7" t="str">
        <f>IFERROR(LET(_xlpm.v,
VLOOKUP($I910,'用語辞書'!$A:$B,COLUMN('用語辞書'!B$1),FALSE),
IF(_xlpm.v=0,"",_xlpm.v)
),"")</f>
        <v/>
      </c>
      <c r="K910" s="17"/>
      <c r="L910" s="17" t="b">
        <f>IF(OR(COUNTIF('クラス'!$A$1:$A$1267,$B910)&gt;0,$B910="",$M910=""),"",True)</f>
        <v>1</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1"/>
      <c r="C912" s="1"/>
      <c r="D912" s="1"/>
      <c r="E912" s="14"/>
      <c r="F912" s="15"/>
      <c r="G912" s="16"/>
      <c r="H912" s="11"/>
      <c r="I912" s="7"/>
      <c r="J912" s="7" t="str">
        <f>IFERROR(LET(_xlpm.v,
VLOOKUP($I912,'用語辞書'!$A:$B,COLUMN('用語辞書'!B$1),FALSE),
IF(_xlpm.v=0,"",_xlpm.v)
),"")</f>
        <v/>
      </c>
      <c r="K912" s="17"/>
      <c r="L912" s="17" t="str">
        <f>IF(OR(COUNTIF('クラス'!$A$1:$A$1267,$B912)&gt;0,$B912="",$M912=""),"",True)</f>
        <v/>
      </c>
      <c r="M912" s="1" t="str">
        <f t="shared" si="21"/>
        <v>存在しない</v>
      </c>
      <c r="N912" s="1" t="s">
        <v>29</v>
      </c>
      <c r="O912" s="1"/>
      <c r="P912" s="11"/>
      <c r="Q912" s="11"/>
      <c r="R912" s="11"/>
      <c r="S912" s="11"/>
      <c r="T912" s="1"/>
      <c r="U912" s="1"/>
      <c r="V912" s="1"/>
      <c r="W912" s="1"/>
      <c r="X912" s="1"/>
      <c r="Y912" s="1"/>
      <c r="Z912" s="1"/>
    </row>
    <row r="913" ht="18.0" customHeight="1" outlineLevel="1">
      <c r="A913" s="1"/>
      <c r="B913" s="26" t="s">
        <v>1422</v>
      </c>
      <c r="C913" s="1"/>
      <c r="D913" s="1"/>
      <c r="E913" s="14"/>
      <c r="F913" s="15"/>
      <c r="G913" s="16"/>
      <c r="H913" s="11"/>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1.0</v>
      </c>
      <c r="B914" s="26" t="s">
        <v>1423</v>
      </c>
      <c r="C914" s="1"/>
      <c r="D914" s="1"/>
      <c r="E914" s="29" t="s">
        <v>55</v>
      </c>
      <c r="F914" s="15"/>
      <c r="G914" s="16"/>
      <c r="H914" s="22" t="s">
        <v>1424</v>
      </c>
      <c r="I914" s="7"/>
      <c r="J914" s="7" t="str">
        <f>IFERROR(LET(_xlpm.v,
VLOOKUP($I914,'用語辞書'!$A:$B,COLUMN('用語辞書'!B$1),FALSE),
IF(_xlpm.v=0,"",_xlpm.v)
),"")</f>
        <v/>
      </c>
      <c r="K914" s="17"/>
      <c r="L914" s="17" t="b">
        <f>IF(OR(COUNTIF('クラス'!$A$1:$A$1267,$B914)&gt;0,$B914="",$M914=""),"",True)</f>
        <v>1</v>
      </c>
      <c r="M914" s="1" t="str">
        <f t="shared" si="21"/>
        <v>存在しない</v>
      </c>
      <c r="N914" s="1" t="s">
        <v>29</v>
      </c>
      <c r="O914" s="1"/>
      <c r="P914" s="11"/>
      <c r="Q914" s="11"/>
      <c r="R914" s="11"/>
      <c r="S914" s="11"/>
      <c r="T914" s="1"/>
      <c r="U914" s="1"/>
      <c r="V914" s="1"/>
      <c r="W914" s="1"/>
      <c r="X914" s="1"/>
      <c r="Y914" s="1"/>
      <c r="Z914" s="1"/>
    </row>
    <row r="915" ht="18.0" customHeight="1" outlineLevel="1">
      <c r="A915" s="26">
        <v>2.0</v>
      </c>
      <c r="B915" s="1"/>
      <c r="C915" s="1"/>
      <c r="D915" s="1"/>
      <c r="E915" s="14"/>
      <c r="F915" s="15"/>
      <c r="G915" s="16"/>
      <c r="H915" s="11"/>
      <c r="I915" s="7"/>
      <c r="J915" s="7" t="str">
        <f>IFERROR(LET(_xlpm.v,
VLOOKUP($I915,'用語辞書'!$A:$B,COLUMN('用語辞書'!B$1),FALSE),
IF(_xlpm.v=0,"",_xlpm.v)
),"")</f>
        <v/>
      </c>
      <c r="K915" s="17"/>
      <c r="L915" s="17" t="str">
        <f>IF(OR(COUNTIF('クラス'!$A$1:$A$1267,$B915)&gt;0,$B915="",$M915=""),"",True)</f>
        <v/>
      </c>
      <c r="M915" s="1" t="str">
        <f t="shared" si="21"/>
        <v>存在しない</v>
      </c>
      <c r="N915" s="1" t="s">
        <v>29</v>
      </c>
      <c r="O915" s="1"/>
      <c r="P915" s="11"/>
      <c r="Q915" s="11"/>
      <c r="R915" s="11"/>
      <c r="S915" s="11"/>
      <c r="T915" s="1"/>
      <c r="U915" s="1"/>
      <c r="V915" s="1"/>
      <c r="W915" s="1"/>
      <c r="X915" s="1"/>
      <c r="Y915" s="1"/>
      <c r="Z915" s="1"/>
    </row>
    <row r="916" ht="18.0" customHeight="1" outlineLevel="1">
      <c r="A916" s="26">
        <v>3.0</v>
      </c>
      <c r="B916" s="26" t="s">
        <v>1425</v>
      </c>
      <c r="C916" s="1"/>
      <c r="D916" s="26" t="s">
        <v>1348</v>
      </c>
      <c r="E916" s="29" t="s">
        <v>33</v>
      </c>
      <c r="F916" s="15"/>
      <c r="G916" s="30">
        <v>70.0</v>
      </c>
      <c r="H916" s="22" t="s">
        <v>1426</v>
      </c>
      <c r="I916" s="7"/>
      <c r="J916" s="7" t="str">
        <f>IFERROR(LET(_xlpm.v,
VLOOKUP($I916,'用語辞書'!$A:$B,COLUMN('用語辞書'!B$1),FALSE),
IF(_xlpm.v=0,"",_xlpm.v)
),"")</f>
        <v/>
      </c>
      <c r="K916" s="17"/>
      <c r="L916" s="17" t="b">
        <f>IF(OR(COUNTIF('クラス'!$A$1:$A$1267,$B916)&gt;0,$B916="",$M916=""),"",True)</f>
        <v>1</v>
      </c>
      <c r="M916" s="1" t="str">
        <f t="shared" si="21"/>
        <v>存在しない</v>
      </c>
      <c r="N916" s="1" t="s">
        <v>29</v>
      </c>
      <c r="O916" s="1"/>
      <c r="P916" s="11"/>
      <c r="Q916" s="11"/>
      <c r="R916" s="11"/>
      <c r="S916" s="11"/>
      <c r="T916" s="1"/>
      <c r="U916" s="1"/>
      <c r="V916" s="1"/>
      <c r="W916" s="1"/>
      <c r="X916" s="1"/>
      <c r="Y916" s="1"/>
      <c r="Z916" s="1"/>
    </row>
    <row r="917" ht="18.0" customHeight="1" outlineLevel="1">
      <c r="A917" s="26">
        <v>4.0</v>
      </c>
      <c r="B917" s="1"/>
      <c r="C917" s="1"/>
      <c r="D917" s="1"/>
      <c r="E917" s="14"/>
      <c r="F917" s="15"/>
      <c r="G917" s="16"/>
      <c r="H917" s="11"/>
      <c r="I917" s="7"/>
      <c r="J917" s="7" t="str">
        <f>IFERROR(LET(_xlpm.v,
VLOOKUP($I917,'用語辞書'!$A:$B,COLUMN('用語辞書'!B$1),FALSE),
IF(_xlpm.v=0,"",_xlpm.v)
),"")</f>
        <v/>
      </c>
      <c r="K917" s="17"/>
      <c r="L917" s="17" t="str">
        <f>IF(OR(COUNTIF('クラス'!$A$1:$A$1267,$B917)&gt;0,$B917="",$M917=""),"",True)</f>
        <v/>
      </c>
      <c r="M917" s="1" t="str">
        <f t="shared" si="21"/>
        <v>存在しない</v>
      </c>
      <c r="N917" s="1" t="s">
        <v>29</v>
      </c>
      <c r="O917" s="1"/>
      <c r="P917" s="11"/>
      <c r="Q917" s="11"/>
      <c r="R917" s="11"/>
      <c r="S917" s="11"/>
      <c r="T917" s="1"/>
      <c r="U917" s="1"/>
      <c r="V917" s="1"/>
      <c r="W917" s="1"/>
      <c r="X917" s="1"/>
      <c r="Y917" s="1"/>
      <c r="Z917" s="1"/>
    </row>
    <row r="918" ht="18.0" customHeight="1" outlineLevel="1">
      <c r="A918" s="26">
        <v>5.0</v>
      </c>
      <c r="B918" s="26" t="s">
        <v>1427</v>
      </c>
      <c r="C918" s="1"/>
      <c r="D918" s="26"/>
      <c r="E918" s="29" t="s">
        <v>55</v>
      </c>
      <c r="F918" s="15"/>
      <c r="G918" s="30"/>
      <c r="H918" s="22" t="s">
        <v>1428</v>
      </c>
      <c r="I918" s="7"/>
      <c r="J918" s="7" t="str">
        <f>IFERROR(LET(_xlpm.v,
VLOOKUP($I918,'用語辞書'!$A:$B,COLUMN('用語辞書'!B$1),FALSE),
IF(_xlpm.v=0,"",_xlpm.v)
),"")</f>
        <v/>
      </c>
      <c r="K918" s="17"/>
      <c r="L918" s="17" t="b">
        <f>IF(OR(COUNTIF('クラス'!$A$1:$A$1267,$B918)&gt;0,$B918="",$M918=""),"",True)</f>
        <v>1</v>
      </c>
      <c r="M918" s="1" t="str">
        <f t="shared" si="21"/>
        <v>存在しない</v>
      </c>
      <c r="N918" s="1" t="s">
        <v>29</v>
      </c>
      <c r="O918" s="1"/>
      <c r="P918" s="11"/>
      <c r="Q918" s="11"/>
      <c r="R918" s="11"/>
      <c r="S918" s="11"/>
      <c r="T918" s="1"/>
      <c r="U918" s="1"/>
      <c r="V918" s="1"/>
      <c r="W918" s="1"/>
      <c r="X918" s="1"/>
      <c r="Y918" s="1"/>
      <c r="Z918" s="1"/>
    </row>
    <row r="919" ht="18.0" customHeight="1" outlineLevel="1">
      <c r="A919" s="26">
        <v>6.0</v>
      </c>
      <c r="B919" s="1"/>
      <c r="C919" s="1"/>
      <c r="D919" s="1"/>
      <c r="E919" s="14"/>
      <c r="F919" s="15"/>
      <c r="G919" s="16"/>
      <c r="H919" s="11"/>
      <c r="I919" s="7"/>
      <c r="J919" s="7" t="str">
        <f>IFERROR(LET(_xlpm.v,
VLOOKUP($I919,'用語辞書'!$A:$B,COLUMN('用語辞書'!B$1),FALSE),
IF(_xlpm.v=0,"",_xlpm.v)
),"")</f>
        <v/>
      </c>
      <c r="K919" s="17"/>
      <c r="L919" s="17" t="str">
        <f>IF(OR(COUNTIF('クラス'!$A$1:$A$1267,$B919)&gt;0,$B919="",$M919=""),"",True)</f>
        <v/>
      </c>
      <c r="M919" s="1" t="str">
        <f t="shared" si="21"/>
        <v>存在しない</v>
      </c>
      <c r="N919" s="1" t="s">
        <v>29</v>
      </c>
      <c r="O919" s="1"/>
      <c r="P919" s="11"/>
      <c r="Q919" s="11"/>
      <c r="R919" s="11"/>
      <c r="S919" s="11"/>
      <c r="T919" s="1"/>
      <c r="U919" s="1"/>
      <c r="V919" s="1"/>
      <c r="W919" s="1"/>
      <c r="X919" s="1"/>
      <c r="Y919" s="1"/>
      <c r="Z919" s="1"/>
    </row>
    <row r="920" ht="18.0" customHeight="1" outlineLevel="1">
      <c r="A920" s="26">
        <v>7.0</v>
      </c>
      <c r="B920" s="26" t="s">
        <v>1429</v>
      </c>
      <c r="C920" s="1"/>
      <c r="D920" s="26" t="s">
        <v>1348</v>
      </c>
      <c r="E920" s="29" t="s">
        <v>33</v>
      </c>
      <c r="F920" s="15"/>
      <c r="G920" s="30">
        <v>90.0</v>
      </c>
      <c r="H920" s="22" t="s">
        <v>1430</v>
      </c>
      <c r="I920" s="7"/>
      <c r="J920" s="7" t="str">
        <f>IFERROR(LET(_xlpm.v,
VLOOKUP($I920,'用語辞書'!$A:$B,COLUMN('用語辞書'!B$1),FALSE),
IF(_xlpm.v=0,"",_xlpm.v)
),"")</f>
        <v/>
      </c>
      <c r="K920" s="17"/>
      <c r="L920" s="17" t="b">
        <f>IF(OR(COUNTIF('クラス'!$A$1:$A$1267,$B920)&gt;0,$B920="",$M920=""),"",True)</f>
        <v>1</v>
      </c>
      <c r="M920" s="1" t="str">
        <f t="shared" si="21"/>
        <v>存在しない</v>
      </c>
      <c r="N920" s="1" t="s">
        <v>29</v>
      </c>
      <c r="O920" s="1"/>
      <c r="P920" s="11"/>
      <c r="Q920" s="11"/>
      <c r="R920" s="11"/>
      <c r="S920" s="11"/>
      <c r="T920" s="1"/>
      <c r="U920" s="1"/>
      <c r="V920" s="1"/>
      <c r="W920" s="1"/>
      <c r="X920" s="1"/>
      <c r="Y920" s="1"/>
      <c r="Z920" s="1"/>
    </row>
    <row r="921" ht="18.0" customHeight="1" outlineLevel="1">
      <c r="A921" s="26">
        <v>8.0</v>
      </c>
      <c r="B921" s="1"/>
      <c r="C921" s="1"/>
      <c r="D921" s="1"/>
      <c r="E921" s="14"/>
      <c r="F921" s="15"/>
      <c r="G921" s="16"/>
      <c r="H921" s="11"/>
      <c r="I921" s="7"/>
      <c r="J921" s="7" t="str">
        <f>IFERROR(LET(_xlpm.v,
VLOOKUP($I921,'用語辞書'!$A:$B,COLUMN('用語辞書'!B$1),FALSE),
IF(_xlpm.v=0,"",_xlpm.v)
),"")</f>
        <v/>
      </c>
      <c r="K921" s="17"/>
      <c r="L921" s="17" t="str">
        <f>IF(OR(COUNTIF('クラス'!$A$1:$A$1267,$B921)&gt;0,$B921="",$M921=""),"",True)</f>
        <v/>
      </c>
      <c r="M921" s="1" t="str">
        <f t="shared" si="21"/>
        <v>存在しない</v>
      </c>
      <c r="N921" s="1" t="s">
        <v>29</v>
      </c>
      <c r="O921" s="1"/>
      <c r="P921" s="11"/>
      <c r="Q921" s="11"/>
      <c r="R921" s="11"/>
      <c r="S921" s="11"/>
      <c r="T921" s="1"/>
      <c r="U921" s="1"/>
      <c r="V921" s="1"/>
      <c r="W921" s="1"/>
      <c r="X921" s="1"/>
      <c r="Y921" s="1"/>
      <c r="Z921" s="1"/>
    </row>
    <row r="922" ht="18.0" customHeight="1" outlineLevel="1">
      <c r="A922" s="26">
        <v>9.0</v>
      </c>
      <c r="B922" s="26" t="s">
        <v>1431</v>
      </c>
      <c r="C922" s="1"/>
      <c r="D922" s="26" t="s">
        <v>716</v>
      </c>
      <c r="E922" s="29" t="s">
        <v>33</v>
      </c>
      <c r="F922" s="15"/>
      <c r="G922" s="30">
        <v>90.0</v>
      </c>
      <c r="H922" s="22" t="s">
        <v>1432</v>
      </c>
      <c r="I922" s="7"/>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26">
        <v>10.0</v>
      </c>
      <c r="B923" s="26" t="s">
        <v>1433</v>
      </c>
      <c r="C923" s="1"/>
      <c r="D923" s="26" t="s">
        <v>716</v>
      </c>
      <c r="E923" s="29" t="s">
        <v>33</v>
      </c>
      <c r="F923" s="15"/>
      <c r="G923" s="30">
        <v>120.0</v>
      </c>
      <c r="H923" s="22" t="s">
        <v>1434</v>
      </c>
      <c r="I923" s="32"/>
      <c r="J923" s="7" t="str">
        <f>IFERROR(LET(_xlpm.v,
VLOOKUP($I923,'用語辞書'!$A:$B,COLUMN('用語辞書'!B$1),FALSE),
IF(_xlpm.v=0,"",_xlpm.v)
),"")</f>
        <v/>
      </c>
      <c r="K923" s="17"/>
      <c r="L923" s="17" t="b">
        <f>IF(OR(COUNTIF('クラス'!$A$1:$A$1267,$B923)&gt;0,$B923="",$M923=""),"",True)</f>
        <v>1</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1"/>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1"/>
      <c r="B926" s="26" t="s">
        <v>1435</v>
      </c>
      <c r="C926" s="1"/>
      <c r="D926" s="1"/>
      <c r="E926" s="14"/>
      <c r="F926" s="15"/>
      <c r="G926" s="16"/>
      <c r="H926" s="11"/>
      <c r="I926" s="7"/>
      <c r="J926" s="7" t="str">
        <f>IFERROR(LET(_xlpm.v,
VLOOKUP($I926,'用語辞書'!$A:$B,COLUMN('用語辞書'!B$1),FALSE),
IF(_xlpm.v=0,"",_xlpm.v)
),"")</f>
        <v/>
      </c>
      <c r="K926" s="17"/>
      <c r="L926" s="17" t="str">
        <f>IF(OR(COUNTIF('クラス'!$A$1:$A$1267,$B926)&gt;0,$B926="",$M926=""),"",True)</f>
        <v/>
      </c>
      <c r="M926" s="1" t="str">
        <f t="shared" si="21"/>
        <v>存在しない</v>
      </c>
      <c r="N926" s="1" t="s">
        <v>29</v>
      </c>
      <c r="O926" s="1"/>
      <c r="P926" s="11"/>
      <c r="Q926" s="11"/>
      <c r="R926" s="11"/>
      <c r="S926" s="11"/>
      <c r="T926" s="1"/>
      <c r="U926" s="1"/>
      <c r="V926" s="1"/>
      <c r="W926" s="1"/>
      <c r="X926" s="1"/>
      <c r="Y926" s="1"/>
      <c r="Z926" s="1"/>
    </row>
    <row r="927" ht="18.0" customHeight="1" outlineLevel="1">
      <c r="A927" s="26">
        <v>1.0</v>
      </c>
      <c r="B927" s="26" t="s">
        <v>1436</v>
      </c>
      <c r="C927" s="1"/>
      <c r="D927" s="1"/>
      <c r="E927" s="29" t="s">
        <v>55</v>
      </c>
      <c r="F927" s="15"/>
      <c r="G927" s="16"/>
      <c r="H927" s="22" t="s">
        <v>1437</v>
      </c>
      <c r="I927" s="7"/>
      <c r="J927" s="7" t="str">
        <f>IFERROR(LET(_xlpm.v,
VLOOKUP($I927,'用語辞書'!$A:$B,COLUMN('用語辞書'!B$1),FALSE),
IF(_xlpm.v=0,"",_xlpm.v)
),"")</f>
        <v/>
      </c>
      <c r="K927" s="17"/>
      <c r="L927" s="17" t="b">
        <f>IF(OR(COUNTIF('クラス'!$A$1:$A$1267,$B927)&gt;0,$B927="",$M927=""),"",True)</f>
        <v>1</v>
      </c>
      <c r="M927" s="1" t="str">
        <f t="shared" si="21"/>
        <v>存在しない</v>
      </c>
      <c r="N927" s="1" t="s">
        <v>29</v>
      </c>
      <c r="O927" s="1"/>
      <c r="P927" s="11"/>
      <c r="Q927" s="11"/>
      <c r="R927" s="11"/>
      <c r="S927" s="11"/>
      <c r="T927" s="1"/>
      <c r="U927" s="1"/>
      <c r="V927" s="1"/>
      <c r="W927" s="1"/>
      <c r="X927" s="1"/>
      <c r="Y927" s="1"/>
      <c r="Z927" s="1"/>
    </row>
    <row r="928" ht="18.0" customHeight="1" outlineLevel="1">
      <c r="A928" s="26">
        <v>2.0</v>
      </c>
      <c r="B928" s="1"/>
      <c r="C928" s="1"/>
      <c r="D928" s="1"/>
      <c r="E928" s="14"/>
      <c r="F928" s="15"/>
      <c r="G928" s="16"/>
      <c r="H928" s="11"/>
      <c r="I928" s="7"/>
      <c r="J928" s="7" t="str">
        <f>IFERROR(LET(_xlpm.v,
VLOOKUP($I928,'用語辞書'!$A:$B,COLUMN('用語辞書'!B$1),FALSE),
IF(_xlpm.v=0,"",_xlpm.v)
),"")</f>
        <v/>
      </c>
      <c r="K928" s="17"/>
      <c r="L928" s="17" t="str">
        <f>IF(OR(COUNTIF('クラス'!$A$1:$A$1267,$B928)&gt;0,$B928="",$M928=""),"",True)</f>
        <v/>
      </c>
      <c r="M928" s="1" t="str">
        <f t="shared" si="21"/>
        <v>存在しない</v>
      </c>
      <c r="N928" s="1" t="s">
        <v>29</v>
      </c>
      <c r="O928" s="1"/>
      <c r="P928" s="11"/>
      <c r="Q928" s="11"/>
      <c r="R928" s="11"/>
      <c r="S928" s="11"/>
      <c r="T928" s="1"/>
      <c r="U928" s="1"/>
      <c r="V928" s="1"/>
      <c r="W928" s="1"/>
      <c r="X928" s="1"/>
      <c r="Y928" s="1"/>
      <c r="Z928" s="1"/>
    </row>
    <row r="929" ht="18.0" customHeight="1" outlineLevel="1">
      <c r="A929" s="26">
        <v>3.0</v>
      </c>
      <c r="B929" s="26" t="s">
        <v>1438</v>
      </c>
      <c r="C929" s="1"/>
      <c r="D929" s="1"/>
      <c r="E929" s="29" t="s">
        <v>33</v>
      </c>
      <c r="F929" s="15"/>
      <c r="G929" s="30">
        <v>40.0</v>
      </c>
      <c r="H929" s="22" t="s">
        <v>1439</v>
      </c>
      <c r="I929" s="7"/>
      <c r="J929" s="7" t="str">
        <f>IFERROR(LET(_xlpm.v,
VLOOKUP($I929,'用語辞書'!$A:$B,COLUMN('用語辞書'!B$1),FALSE),
IF(_xlpm.v=0,"",_xlpm.v)
),"")</f>
        <v/>
      </c>
      <c r="K929" s="17"/>
      <c r="L929" s="17" t="b">
        <f>IF(OR(COUNTIF('クラス'!$A$1:$A$1267,$B929)&gt;0,$B929="",$M929=""),"",True)</f>
        <v>1</v>
      </c>
      <c r="M929" s="1" t="str">
        <f t="shared" si="21"/>
        <v>存在しない</v>
      </c>
      <c r="N929" s="1" t="s">
        <v>29</v>
      </c>
      <c r="O929" s="1"/>
      <c r="P929" s="11"/>
      <c r="Q929" s="11"/>
      <c r="R929" s="11"/>
      <c r="S929" s="11"/>
      <c r="T929" s="1"/>
      <c r="U929" s="1"/>
      <c r="V929" s="1"/>
      <c r="W929" s="1"/>
      <c r="X929" s="1"/>
      <c r="Y929" s="1"/>
      <c r="Z929" s="1"/>
    </row>
    <row r="930" ht="18.0" customHeight="1" outlineLevel="1">
      <c r="A930" s="26">
        <v>4.0</v>
      </c>
      <c r="B930" s="1"/>
      <c r="C930" s="1"/>
      <c r="D930" s="1"/>
      <c r="E930" s="14"/>
      <c r="F930" s="15"/>
      <c r="G930" s="16"/>
      <c r="H930" s="11"/>
      <c r="I930" s="7"/>
      <c r="J930" s="7" t="str">
        <f>IFERROR(LET(_xlpm.v,
VLOOKUP($I930,'用語辞書'!$A:$B,COLUMN('用語辞書'!B$1),FALSE),
IF(_xlpm.v=0,"",_xlpm.v)
),"")</f>
        <v/>
      </c>
      <c r="K930" s="17"/>
      <c r="L930" s="17" t="str">
        <f>IF(OR(COUNTIF('クラス'!$A$1:$A$1267,$B930)&gt;0,$B930="",$M930=""),"",True)</f>
        <v/>
      </c>
      <c r="M930" s="1" t="str">
        <f t="shared" si="21"/>
        <v>存在しない</v>
      </c>
      <c r="N930" s="1" t="s">
        <v>29</v>
      </c>
      <c r="O930" s="1"/>
      <c r="P930" s="11"/>
      <c r="Q930" s="11"/>
      <c r="R930" s="11"/>
      <c r="S930" s="11"/>
      <c r="T930" s="1"/>
      <c r="U930" s="1"/>
      <c r="V930" s="1"/>
      <c r="W930" s="1"/>
      <c r="X930" s="1"/>
      <c r="Y930" s="1"/>
      <c r="Z930" s="1"/>
    </row>
    <row r="931" ht="18.0" customHeight="1" outlineLevel="1">
      <c r="A931" s="26">
        <v>5.0</v>
      </c>
      <c r="B931" s="26" t="s">
        <v>1440</v>
      </c>
      <c r="C931" s="1"/>
      <c r="D931" s="26" t="s">
        <v>716</v>
      </c>
      <c r="E931" s="29" t="s">
        <v>33</v>
      </c>
      <c r="F931" s="15"/>
      <c r="G931" s="30">
        <v>60.0</v>
      </c>
      <c r="H931" s="22" t="s">
        <v>1441</v>
      </c>
      <c r="I931" s="7"/>
      <c r="J931" s="7" t="str">
        <f>IFERROR(LET(_xlpm.v,
VLOOKUP($I931,'用語辞書'!$A:$B,COLUMN('用語辞書'!B$1),FALSE),
IF(_xlpm.v=0,"",_xlpm.v)
),"")</f>
        <v/>
      </c>
      <c r="K931" s="17"/>
      <c r="L931" s="17" t="b">
        <f>IF(OR(COUNTIF('クラス'!$A$1:$A$1267,$B931)&gt;0,$B931="",$M931=""),"",True)</f>
        <v>1</v>
      </c>
      <c r="M931" s="1" t="str">
        <f t="shared" si="21"/>
        <v>存在しない</v>
      </c>
      <c r="N931" s="1" t="s">
        <v>29</v>
      </c>
      <c r="O931" s="1"/>
      <c r="P931" s="11"/>
      <c r="Q931" s="11"/>
      <c r="R931" s="11"/>
      <c r="S931" s="11"/>
      <c r="T931" s="1"/>
      <c r="U931" s="1"/>
      <c r="V931" s="1"/>
      <c r="W931" s="1"/>
      <c r="X931" s="1"/>
      <c r="Y931" s="1"/>
      <c r="Z931" s="1"/>
    </row>
    <row r="932" ht="18.0" customHeight="1" outlineLevel="1">
      <c r="A932" s="26">
        <v>6.0</v>
      </c>
      <c r="B932" s="1"/>
      <c r="C932" s="1"/>
      <c r="D932" s="1"/>
      <c r="E932" s="14"/>
      <c r="F932" s="15"/>
      <c r="G932" s="16"/>
      <c r="H932" s="11"/>
      <c r="I932" s="7"/>
      <c r="J932" s="7" t="str">
        <f>IFERROR(LET(_xlpm.v,
VLOOKUP($I932,'用語辞書'!$A:$B,COLUMN('用語辞書'!B$1),FALSE),
IF(_xlpm.v=0,"",_xlpm.v)
),"")</f>
        <v/>
      </c>
      <c r="K932" s="17"/>
      <c r="L932" s="17" t="str">
        <f>IF(OR(COUNTIF('クラス'!$A$1:$A$1267,$B932)&gt;0,$B932="",$M932=""),"",True)</f>
        <v/>
      </c>
      <c r="M932" s="1" t="str">
        <f t="shared" si="21"/>
        <v>存在しない</v>
      </c>
      <c r="N932" s="1" t="s">
        <v>29</v>
      </c>
      <c r="O932" s="1"/>
      <c r="P932" s="11"/>
      <c r="Q932" s="11"/>
      <c r="R932" s="11"/>
      <c r="S932" s="11"/>
      <c r="T932" s="1"/>
      <c r="U932" s="1"/>
      <c r="V932" s="1"/>
      <c r="W932" s="1"/>
      <c r="X932" s="1"/>
      <c r="Y932" s="1"/>
      <c r="Z932" s="1"/>
    </row>
    <row r="933" ht="18.0" customHeight="1" outlineLevel="1">
      <c r="A933" s="26">
        <v>7.0</v>
      </c>
      <c r="B933" s="26" t="s">
        <v>1442</v>
      </c>
      <c r="C933" s="1"/>
      <c r="D933" s="1"/>
      <c r="E933" s="29" t="s">
        <v>55</v>
      </c>
      <c r="F933" s="15"/>
      <c r="G933" s="30"/>
      <c r="H933" s="22" t="s">
        <v>1443</v>
      </c>
      <c r="I933" s="7"/>
      <c r="J933" s="7" t="str">
        <f>IFERROR(LET(_xlpm.v,
VLOOKUP($I933,'用語辞書'!$A:$B,COLUMN('用語辞書'!B$1),FALSE),
IF(_xlpm.v=0,"",_xlpm.v)
),"")</f>
        <v/>
      </c>
      <c r="K933" s="17"/>
      <c r="L933" s="17" t="b">
        <f>IF(OR(COUNTIF('クラス'!$A$1:$A$1267,$B933)&gt;0,$B933="",$M933=""),"",True)</f>
        <v>1</v>
      </c>
      <c r="M933" s="1" t="str">
        <f t="shared" si="21"/>
        <v>存在しない</v>
      </c>
      <c r="N933" s="1" t="s">
        <v>29</v>
      </c>
      <c r="O933" s="1"/>
      <c r="P933" s="11"/>
      <c r="Q933" s="11"/>
      <c r="R933" s="11"/>
      <c r="S933" s="11"/>
      <c r="T933" s="1"/>
      <c r="U933" s="1"/>
      <c r="V933" s="1"/>
      <c r="W933" s="1"/>
      <c r="X933" s="1"/>
      <c r="Y933" s="1"/>
      <c r="Z933" s="1"/>
    </row>
    <row r="934" ht="18.0" customHeight="1" outlineLevel="1">
      <c r="A934" s="26">
        <v>8.0</v>
      </c>
      <c r="B934" s="1"/>
      <c r="C934" s="1"/>
      <c r="D934" s="1"/>
      <c r="E934" s="14"/>
      <c r="F934" s="15"/>
      <c r="G934" s="16"/>
      <c r="H934" s="11"/>
      <c r="I934" s="7"/>
      <c r="J934" s="7" t="str">
        <f>IFERROR(LET(_xlpm.v,
VLOOKUP($I934,'用語辞書'!$A:$B,COLUMN('用語辞書'!B$1),FALSE),
IF(_xlpm.v=0,"",_xlpm.v)
),"")</f>
        <v/>
      </c>
      <c r="K934" s="17"/>
      <c r="L934" s="17" t="str">
        <f>IF(OR(COUNTIF('クラス'!$A$1:$A$1267,$B934)&gt;0,$B934="",$M934=""),"",True)</f>
        <v/>
      </c>
      <c r="M934" s="1" t="str">
        <f t="shared" si="21"/>
        <v>存在しない</v>
      </c>
      <c r="N934" s="1" t="s">
        <v>29</v>
      </c>
      <c r="O934" s="1"/>
      <c r="P934" s="11"/>
      <c r="Q934" s="11"/>
      <c r="R934" s="11"/>
      <c r="S934" s="11"/>
      <c r="T934" s="1"/>
      <c r="U934" s="1"/>
      <c r="V934" s="1"/>
      <c r="W934" s="1"/>
      <c r="X934" s="1"/>
      <c r="Y934" s="1"/>
      <c r="Z934" s="1"/>
    </row>
    <row r="935" ht="18.0" customHeight="1" outlineLevel="1">
      <c r="A935" s="26">
        <v>9.0</v>
      </c>
      <c r="B935" s="26" t="s">
        <v>1444</v>
      </c>
      <c r="C935" s="1"/>
      <c r="D935" s="26" t="s">
        <v>1342</v>
      </c>
      <c r="E935" s="29" t="s">
        <v>33</v>
      </c>
      <c r="F935" s="15"/>
      <c r="G935" s="30">
        <v>100.0</v>
      </c>
      <c r="H935" s="22" t="s">
        <v>1445</v>
      </c>
      <c r="I935" s="7"/>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26">
        <v>10.0</v>
      </c>
      <c r="B936" s="26" t="s">
        <v>1446</v>
      </c>
      <c r="C936" s="1"/>
      <c r="D936" s="1"/>
      <c r="E936" s="29" t="s">
        <v>55</v>
      </c>
      <c r="F936" s="15"/>
      <c r="G936" s="16"/>
      <c r="H936" s="22" t="s">
        <v>1447</v>
      </c>
      <c r="I936" s="32"/>
      <c r="J936" s="7" t="str">
        <f>IFERROR(LET(_xlpm.v,
VLOOKUP($I936,'用語辞書'!$A:$B,COLUMN('用語辞書'!B$1),FALSE),
IF(_xlpm.v=0,"",_xlpm.v)
),"")</f>
        <v/>
      </c>
      <c r="K936" s="17"/>
      <c r="L936" s="17" t="b">
        <f>IF(OR(COUNTIF('クラス'!$A$1:$A$1267,$B936)&gt;0,$B936="",$M936=""),"",True)</f>
        <v>1</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1"/>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1"/>
      <c r="B939" s="26" t="s">
        <v>1448</v>
      </c>
      <c r="C939" s="1"/>
      <c r="D939" s="1"/>
      <c r="E939" s="14"/>
      <c r="F939" s="15"/>
      <c r="G939" s="16"/>
      <c r="H939" s="11"/>
      <c r="I939" s="7"/>
      <c r="J939" s="7" t="str">
        <f>IFERROR(LET(_xlpm.v,
VLOOKUP($I939,'用語辞書'!$A:$B,COLUMN('用語辞書'!B$1),FALSE),
IF(_xlpm.v=0,"",_xlpm.v)
),"")</f>
        <v/>
      </c>
      <c r="K939" s="17"/>
      <c r="L939" s="17" t="str">
        <f>IF(OR(COUNTIF('クラス'!$A$1:$A$1267,$B939)&gt;0,$B939="",$M939=""),"",True)</f>
        <v/>
      </c>
      <c r="M939" s="1" t="str">
        <f t="shared" si="21"/>
        <v>存在しない</v>
      </c>
      <c r="N939" s="1" t="s">
        <v>29</v>
      </c>
      <c r="O939" s="1"/>
      <c r="P939" s="11"/>
      <c r="Q939" s="11"/>
      <c r="R939" s="11"/>
      <c r="S939" s="11"/>
      <c r="T939" s="1"/>
      <c r="U939" s="1"/>
      <c r="V939" s="1"/>
      <c r="W939" s="1"/>
      <c r="X939" s="1"/>
      <c r="Y939" s="1"/>
      <c r="Z939" s="1"/>
    </row>
    <row r="940" ht="18.0" customHeight="1" outlineLevel="1">
      <c r="A940" s="26">
        <v>1.0</v>
      </c>
      <c r="B940" s="26" t="s">
        <v>1449</v>
      </c>
      <c r="C940" s="1"/>
      <c r="D940" s="1"/>
      <c r="E940" s="29" t="s">
        <v>55</v>
      </c>
      <c r="F940" s="15"/>
      <c r="G940" s="16"/>
      <c r="H940" s="22" t="s">
        <v>1450</v>
      </c>
      <c r="I940" s="7"/>
      <c r="J940" s="7" t="str">
        <f>IFERROR(LET(_xlpm.v,
VLOOKUP($I940,'用語辞書'!$A:$B,COLUMN('用語辞書'!B$1),FALSE),
IF(_xlpm.v=0,"",_xlpm.v)
),"")</f>
        <v/>
      </c>
      <c r="K940" s="17"/>
      <c r="L940" s="17" t="b">
        <f>IF(OR(COUNTIF('クラス'!$A$1:$A$1267,$B940)&gt;0,$B940="",$M940=""),"",True)</f>
        <v>1</v>
      </c>
      <c r="M940" s="1" t="str">
        <f t="shared" si="21"/>
        <v>存在しない</v>
      </c>
      <c r="N940" s="1" t="s">
        <v>29</v>
      </c>
      <c r="O940" s="1"/>
      <c r="P940" s="11"/>
      <c r="Q940" s="11"/>
      <c r="R940" s="11"/>
      <c r="S940" s="11"/>
      <c r="T940" s="1"/>
      <c r="U940" s="1"/>
      <c r="V940" s="1"/>
      <c r="W940" s="1"/>
      <c r="X940" s="1"/>
      <c r="Y940" s="1"/>
      <c r="Z940" s="1"/>
    </row>
    <row r="941" ht="18.0" customHeight="1" outlineLevel="1">
      <c r="A941" s="26">
        <v>2.0</v>
      </c>
      <c r="B941" s="1"/>
      <c r="C941" s="1"/>
      <c r="D941" s="1"/>
      <c r="E941" s="14"/>
      <c r="F941" s="15"/>
      <c r="G941" s="16"/>
      <c r="H941" s="11"/>
      <c r="I941" s="7"/>
      <c r="J941" s="7" t="str">
        <f>IFERROR(LET(_xlpm.v,
VLOOKUP($I941,'用語辞書'!$A:$B,COLUMN('用語辞書'!B$1),FALSE),
IF(_xlpm.v=0,"",_xlpm.v)
),"")</f>
        <v/>
      </c>
      <c r="K941" s="17"/>
      <c r="L941" s="17" t="str">
        <f>IF(OR(COUNTIF('クラス'!$A$1:$A$1267,$B941)&gt;0,$B941="",$M941=""),"",True)</f>
        <v/>
      </c>
      <c r="M941" s="1" t="str">
        <f t="shared" si="21"/>
        <v>存在しない</v>
      </c>
      <c r="N941" s="1" t="s">
        <v>29</v>
      </c>
      <c r="O941" s="1"/>
      <c r="P941" s="11"/>
      <c r="Q941" s="11"/>
      <c r="R941" s="11"/>
      <c r="S941" s="11"/>
      <c r="T941" s="1"/>
      <c r="U941" s="1"/>
      <c r="V941" s="1"/>
      <c r="W941" s="1"/>
      <c r="X941" s="1"/>
      <c r="Y941" s="1"/>
      <c r="Z941" s="1"/>
    </row>
    <row r="942" ht="18.0" customHeight="1" outlineLevel="1">
      <c r="A942" s="26">
        <v>3.0</v>
      </c>
      <c r="B942" s="26" t="s">
        <v>1451</v>
      </c>
      <c r="C942" s="1"/>
      <c r="D942" s="26" t="s">
        <v>1452</v>
      </c>
      <c r="E942" s="29" t="s">
        <v>33</v>
      </c>
      <c r="F942" s="15"/>
      <c r="G942" s="30">
        <v>60.0</v>
      </c>
      <c r="H942" s="22" t="s">
        <v>1453</v>
      </c>
      <c r="I942" s="7"/>
      <c r="J942" s="7" t="str">
        <f>IFERROR(LET(_xlpm.v,
VLOOKUP($I942,'用語辞書'!$A:$B,COLUMN('用語辞書'!B$1),FALSE),
IF(_xlpm.v=0,"",_xlpm.v)
),"")</f>
        <v/>
      </c>
      <c r="K942" s="17"/>
      <c r="L942" s="17" t="b">
        <f>IF(OR(COUNTIF('クラス'!$A$1:$A$1267,$B942)&gt;0,$B942="",$M942=""),"",True)</f>
        <v>1</v>
      </c>
      <c r="M942" s="1" t="str">
        <f t="shared" si="21"/>
        <v>存在しない</v>
      </c>
      <c r="N942" s="1" t="s">
        <v>29</v>
      </c>
      <c r="O942" s="1"/>
      <c r="P942" s="11"/>
      <c r="Q942" s="11"/>
      <c r="R942" s="11"/>
      <c r="S942" s="11"/>
      <c r="T942" s="1"/>
      <c r="U942" s="1"/>
      <c r="V942" s="1"/>
      <c r="W942" s="1"/>
      <c r="X942" s="1"/>
      <c r="Y942" s="1"/>
      <c r="Z942" s="1"/>
    </row>
    <row r="943" ht="18.0" customHeight="1" outlineLevel="1">
      <c r="A943" s="26">
        <v>4.0</v>
      </c>
      <c r="B943" s="1"/>
      <c r="C943" s="1"/>
      <c r="D943" s="1"/>
      <c r="E943" s="14"/>
      <c r="F943" s="15"/>
      <c r="G943" s="16"/>
      <c r="H943" s="11"/>
      <c r="I943" s="7"/>
      <c r="J943" s="7" t="str">
        <f>IFERROR(LET(_xlpm.v,
VLOOKUP($I943,'用語辞書'!$A:$B,COLUMN('用語辞書'!B$1),FALSE),
IF(_xlpm.v=0,"",_xlpm.v)
),"")</f>
        <v/>
      </c>
      <c r="K943" s="17"/>
      <c r="L943" s="17" t="str">
        <f>IF(OR(COUNTIF('クラス'!$A$1:$A$1267,$B943)&gt;0,$B943="",$M943=""),"",True)</f>
        <v/>
      </c>
      <c r="M943" s="1" t="str">
        <f t="shared" si="21"/>
        <v>存在しない</v>
      </c>
      <c r="N943" s="1" t="s">
        <v>29</v>
      </c>
      <c r="O943" s="1"/>
      <c r="P943" s="11"/>
      <c r="Q943" s="11"/>
      <c r="R943" s="11"/>
      <c r="S943" s="11"/>
      <c r="T943" s="1"/>
      <c r="U943" s="1"/>
      <c r="V943" s="1"/>
      <c r="W943" s="1"/>
      <c r="X943" s="1"/>
      <c r="Y943" s="1"/>
      <c r="Z943" s="1"/>
    </row>
    <row r="944" ht="18.0" customHeight="1" outlineLevel="1">
      <c r="A944" s="26">
        <v>5.0</v>
      </c>
      <c r="B944" s="26" t="s">
        <v>1454</v>
      </c>
      <c r="C944" s="1"/>
      <c r="D944" s="26"/>
      <c r="E944" s="29" t="s">
        <v>55</v>
      </c>
      <c r="F944" s="15"/>
      <c r="G944" s="30"/>
      <c r="H944" s="22" t="s">
        <v>1455</v>
      </c>
      <c r="I944" s="7"/>
      <c r="J944" s="7" t="str">
        <f>IFERROR(LET(_xlpm.v,
VLOOKUP($I944,'用語辞書'!$A:$B,COLUMN('用語辞書'!B$1),FALSE),
IF(_xlpm.v=0,"",_xlpm.v)
),"")</f>
        <v/>
      </c>
      <c r="K944" s="17"/>
      <c r="L944" s="17" t="b">
        <f>IF(OR(COUNTIF('クラス'!$A$1:$A$1267,$B944)&gt;0,$B944="",$M944=""),"",True)</f>
        <v>1</v>
      </c>
      <c r="M944" s="1" t="str">
        <f t="shared" si="21"/>
        <v>存在しない</v>
      </c>
      <c r="N944" s="1" t="s">
        <v>29</v>
      </c>
      <c r="O944" s="1"/>
      <c r="P944" s="11"/>
      <c r="Q944" s="11"/>
      <c r="R944" s="11"/>
      <c r="S944" s="11"/>
      <c r="T944" s="1"/>
      <c r="U944" s="1"/>
      <c r="V944" s="1"/>
      <c r="W944" s="1"/>
      <c r="X944" s="1"/>
      <c r="Y944" s="1"/>
      <c r="Z944" s="1"/>
    </row>
    <row r="945" ht="18.0" customHeight="1" outlineLevel="1">
      <c r="A945" s="26">
        <v>6.0</v>
      </c>
      <c r="B945" s="1"/>
      <c r="C945" s="1"/>
      <c r="D945" s="1"/>
      <c r="E945" s="14"/>
      <c r="F945" s="15"/>
      <c r="G945" s="16"/>
      <c r="H945" s="11"/>
      <c r="I945" s="7"/>
      <c r="J945" s="7" t="str">
        <f>IFERROR(LET(_xlpm.v,
VLOOKUP($I945,'用語辞書'!$A:$B,COLUMN('用語辞書'!B$1),FALSE),
IF(_xlpm.v=0,"",_xlpm.v)
),"")</f>
        <v/>
      </c>
      <c r="K945" s="17"/>
      <c r="L945" s="17" t="str">
        <f>IF(OR(COUNTIF('クラス'!$A$1:$A$1267,$B945)&gt;0,$B945="",$M945=""),"",True)</f>
        <v/>
      </c>
      <c r="M945" s="1" t="str">
        <f t="shared" si="21"/>
        <v>存在しない</v>
      </c>
      <c r="N945" s="1" t="s">
        <v>29</v>
      </c>
      <c r="O945" s="1"/>
      <c r="P945" s="11"/>
      <c r="Q945" s="11"/>
      <c r="R945" s="11"/>
      <c r="S945" s="11"/>
      <c r="T945" s="1"/>
      <c r="U945" s="1"/>
      <c r="V945" s="1"/>
      <c r="W945" s="1"/>
      <c r="X945" s="1"/>
      <c r="Y945" s="1"/>
      <c r="Z945" s="1"/>
    </row>
    <row r="946" ht="18.0" customHeight="1" outlineLevel="1">
      <c r="A946" s="26">
        <v>7.0</v>
      </c>
      <c r="B946" s="26" t="s">
        <v>1456</v>
      </c>
      <c r="C946" s="1"/>
      <c r="D946" s="1"/>
      <c r="E946" s="29" t="s">
        <v>33</v>
      </c>
      <c r="F946" s="15"/>
      <c r="G946" s="30">
        <v>70.0</v>
      </c>
      <c r="H946" s="22" t="s">
        <v>1457</v>
      </c>
      <c r="I946" s="7"/>
      <c r="J946" s="7" t="str">
        <f>IFERROR(LET(_xlpm.v,
VLOOKUP($I946,'用語辞書'!$A:$B,COLUMN('用語辞書'!B$1),FALSE),
IF(_xlpm.v=0,"",_xlpm.v)
),"")</f>
        <v/>
      </c>
      <c r="K946" s="17"/>
      <c r="L946" s="17" t="b">
        <f>IF(OR(COUNTIF('クラス'!$A$1:$A$1267,$B946)&gt;0,$B946="",$M946=""),"",True)</f>
        <v>1</v>
      </c>
      <c r="M946" s="1" t="str">
        <f t="shared" si="21"/>
        <v>存在しない</v>
      </c>
      <c r="N946" s="1" t="s">
        <v>29</v>
      </c>
      <c r="O946" s="1"/>
      <c r="P946" s="11"/>
      <c r="Q946" s="11"/>
      <c r="R946" s="11"/>
      <c r="S946" s="11"/>
      <c r="T946" s="1"/>
      <c r="U946" s="1"/>
      <c r="V946" s="1"/>
      <c r="W946" s="1"/>
      <c r="X946" s="1"/>
      <c r="Y946" s="1"/>
      <c r="Z946" s="1"/>
    </row>
    <row r="947" ht="18.0" customHeight="1" outlineLevel="1">
      <c r="A947" s="26">
        <v>8.0</v>
      </c>
      <c r="B947" s="1"/>
      <c r="C947" s="1"/>
      <c r="D947" s="1"/>
      <c r="E947" s="14"/>
      <c r="F947" s="15"/>
      <c r="G947" s="16"/>
      <c r="H947" s="11"/>
      <c r="I947" s="7"/>
      <c r="J947" s="7" t="str">
        <f>IFERROR(LET(_xlpm.v,
VLOOKUP($I947,'用語辞書'!$A:$B,COLUMN('用語辞書'!B$1),FALSE),
IF(_xlpm.v=0,"",_xlpm.v)
),"")</f>
        <v/>
      </c>
      <c r="K947" s="17"/>
      <c r="L947" s="17" t="str">
        <f>IF(OR(COUNTIF('クラス'!$A$1:$A$1267,$B947)&gt;0,$B947="",$M947=""),"",True)</f>
        <v/>
      </c>
      <c r="M947" s="1" t="str">
        <f t="shared" si="21"/>
        <v>存在しない</v>
      </c>
      <c r="N947" s="1" t="s">
        <v>29</v>
      </c>
      <c r="O947" s="1"/>
      <c r="P947" s="11"/>
      <c r="Q947" s="11"/>
      <c r="R947" s="11"/>
      <c r="S947" s="11"/>
      <c r="T947" s="1"/>
      <c r="U947" s="1"/>
      <c r="V947" s="1"/>
      <c r="W947" s="1"/>
      <c r="X947" s="1"/>
      <c r="Y947" s="1"/>
      <c r="Z947" s="1"/>
    </row>
    <row r="948" ht="18.0" customHeight="1" outlineLevel="1">
      <c r="A948" s="26">
        <v>9.0</v>
      </c>
      <c r="B948" s="26" t="s">
        <v>1458</v>
      </c>
      <c r="C948" s="1"/>
      <c r="D948" s="1"/>
      <c r="E948" s="29" t="s">
        <v>55</v>
      </c>
      <c r="F948" s="15"/>
      <c r="G948" s="16"/>
      <c r="H948" s="22" t="s">
        <v>1459</v>
      </c>
      <c r="I948" s="7"/>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26">
        <v>10.0</v>
      </c>
      <c r="B949" s="26" t="s">
        <v>1460</v>
      </c>
      <c r="C949" s="1"/>
      <c r="D949" s="1"/>
      <c r="E949" s="29" t="s">
        <v>55</v>
      </c>
      <c r="F949" s="15"/>
      <c r="G949" s="16"/>
      <c r="H949" s="22" t="s">
        <v>1461</v>
      </c>
      <c r="I949" s="32"/>
      <c r="J949" s="7" t="str">
        <f>IFERROR(LET(_xlpm.v,
VLOOKUP($I949,'用語辞書'!$A:$B,COLUMN('用語辞書'!B$1),FALSE),
IF(_xlpm.v=0,"",_xlpm.v)
),"")</f>
        <v/>
      </c>
      <c r="K949" s="17"/>
      <c r="L949" s="17" t="b">
        <f>IF(OR(COUNTIF('クラス'!$A$1:$A$1267,$B949)&gt;0,$B949="",$M949=""),"",True)</f>
        <v>1</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1"/>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1"/>
      <c r="B952" s="26" t="s">
        <v>1462</v>
      </c>
      <c r="C952" s="1"/>
      <c r="D952" s="1"/>
      <c r="E952" s="14"/>
      <c r="F952" s="15"/>
      <c r="G952" s="16"/>
      <c r="H952" s="11"/>
      <c r="I952" s="7"/>
      <c r="J952" s="7" t="str">
        <f>IFERROR(LET(_xlpm.v,
VLOOKUP($I952,'用語辞書'!$A:$B,COLUMN('用語辞書'!B$1),FALSE),
IF(_xlpm.v=0,"",_xlpm.v)
),"")</f>
        <v/>
      </c>
      <c r="K952" s="17"/>
      <c r="L952" s="17" t="str">
        <f>IF(OR(COUNTIF('クラス'!$A$1:$A$1267,$B952)&gt;0,$B952="",$M952=""),"",True)</f>
        <v/>
      </c>
      <c r="M952" s="1" t="str">
        <f t="shared" si="21"/>
        <v>存在しない</v>
      </c>
      <c r="N952" s="1" t="s">
        <v>29</v>
      </c>
      <c r="O952" s="1"/>
      <c r="P952" s="11"/>
      <c r="Q952" s="11"/>
      <c r="R952" s="11"/>
      <c r="S952" s="11"/>
      <c r="T952" s="1"/>
      <c r="U952" s="1"/>
      <c r="V952" s="1"/>
      <c r="W952" s="1"/>
      <c r="X952" s="1"/>
      <c r="Y952" s="1"/>
      <c r="Z952" s="1"/>
    </row>
    <row r="953" ht="18.0" customHeight="1" outlineLevel="1">
      <c r="A953" s="26">
        <v>1.0</v>
      </c>
      <c r="B953" s="26" t="s">
        <v>1463</v>
      </c>
      <c r="C953" s="1"/>
      <c r="D953" s="1"/>
      <c r="E953" s="29" t="s">
        <v>55</v>
      </c>
      <c r="F953" s="15"/>
      <c r="G953" s="16"/>
      <c r="H953" s="22" t="s">
        <v>1464</v>
      </c>
      <c r="I953" s="7"/>
      <c r="J953" s="7" t="str">
        <f>IFERROR(LET(_xlpm.v,
VLOOKUP($I953,'用語辞書'!$A:$B,COLUMN('用語辞書'!B$1),FALSE),
IF(_xlpm.v=0,"",_xlpm.v)
),"")</f>
        <v/>
      </c>
      <c r="K953" s="17"/>
      <c r="L953" s="17" t="b">
        <f>IF(OR(COUNTIF('クラス'!$A$1:$A$1267,$B953)&gt;0,$B953="",$M953=""),"",True)</f>
        <v>1</v>
      </c>
      <c r="M953" s="1" t="str">
        <f t="shared" si="21"/>
        <v>存在しない</v>
      </c>
      <c r="N953" s="1" t="s">
        <v>29</v>
      </c>
      <c r="O953" s="1"/>
      <c r="P953" s="11"/>
      <c r="Q953" s="11"/>
      <c r="R953" s="11"/>
      <c r="S953" s="11"/>
      <c r="T953" s="1"/>
      <c r="U953" s="1"/>
      <c r="V953" s="1"/>
      <c r="W953" s="1"/>
      <c r="X953" s="1"/>
      <c r="Y953" s="1"/>
      <c r="Z953" s="1"/>
    </row>
    <row r="954" ht="18.0" customHeight="1" outlineLevel="1">
      <c r="A954" s="26">
        <v>2.0</v>
      </c>
      <c r="B954" s="1"/>
      <c r="C954" s="1"/>
      <c r="D954" s="1"/>
      <c r="E954" s="14"/>
      <c r="F954" s="15"/>
      <c r="G954" s="16"/>
      <c r="H954" s="11"/>
      <c r="I954" s="7"/>
      <c r="J954" s="7" t="str">
        <f>IFERROR(LET(_xlpm.v,
VLOOKUP($I954,'用語辞書'!$A:$B,COLUMN('用語辞書'!B$1),FALSE),
IF(_xlpm.v=0,"",_xlpm.v)
),"")</f>
        <v/>
      </c>
      <c r="K954" s="17"/>
      <c r="L954" s="17" t="str">
        <f>IF(OR(COUNTIF('クラス'!$A$1:$A$1267,$B954)&gt;0,$B954="",$M954=""),"",True)</f>
        <v/>
      </c>
      <c r="M954" s="1" t="str">
        <f t="shared" si="21"/>
        <v>存在しない</v>
      </c>
      <c r="N954" s="1" t="s">
        <v>29</v>
      </c>
      <c r="O954" s="1"/>
      <c r="P954" s="11"/>
      <c r="Q954" s="11"/>
      <c r="R954" s="11"/>
      <c r="S954" s="11"/>
      <c r="T954" s="1"/>
      <c r="U954" s="1"/>
      <c r="V954" s="1"/>
      <c r="W954" s="1"/>
      <c r="X954" s="1"/>
      <c r="Y954" s="1"/>
      <c r="Z954" s="1"/>
    </row>
    <row r="955" ht="18.0" customHeight="1" outlineLevel="1">
      <c r="A955" s="26">
        <v>3.0</v>
      </c>
      <c r="B955" s="26" t="s">
        <v>1465</v>
      </c>
      <c r="C955" s="1"/>
      <c r="D955" s="26" t="s">
        <v>284</v>
      </c>
      <c r="E955" s="29" t="s">
        <v>33</v>
      </c>
      <c r="F955" s="15"/>
      <c r="G955" s="30">
        <v>70.0</v>
      </c>
      <c r="H955" s="22" t="s">
        <v>1466</v>
      </c>
      <c r="I955" s="7"/>
      <c r="J955" s="7" t="str">
        <f>IFERROR(LET(_xlpm.v,
VLOOKUP($I955,'用語辞書'!$A:$B,COLUMN('用語辞書'!B$1),FALSE),
IF(_xlpm.v=0,"",_xlpm.v)
),"")</f>
        <v/>
      </c>
      <c r="K955" s="17"/>
      <c r="L955" s="17" t="b">
        <f>IF(OR(COUNTIF('クラス'!$A$1:$A$1267,$B955)&gt;0,$B955="",$M955=""),"",True)</f>
        <v>1</v>
      </c>
      <c r="M955" s="1" t="str">
        <f t="shared" si="21"/>
        <v>存在しない</v>
      </c>
      <c r="N955" s="1" t="s">
        <v>29</v>
      </c>
      <c r="O955" s="1"/>
      <c r="P955" s="11"/>
      <c r="Q955" s="11"/>
      <c r="R955" s="11"/>
      <c r="S955" s="11"/>
      <c r="T955" s="1"/>
      <c r="U955" s="1"/>
      <c r="V955" s="1"/>
      <c r="W955" s="1"/>
      <c r="X955" s="1"/>
      <c r="Y955" s="1"/>
      <c r="Z955" s="1"/>
    </row>
    <row r="956" ht="18.0" customHeight="1" outlineLevel="1">
      <c r="A956" s="26">
        <v>4.0</v>
      </c>
      <c r="B956" s="1"/>
      <c r="C956" s="1"/>
      <c r="D956" s="1"/>
      <c r="E956" s="14"/>
      <c r="F956" s="15"/>
      <c r="G956" s="16"/>
      <c r="H956" s="11"/>
      <c r="I956" s="7"/>
      <c r="J956" s="7" t="str">
        <f>IFERROR(LET(_xlpm.v,
VLOOKUP($I956,'用語辞書'!$A:$B,COLUMN('用語辞書'!B$1),FALSE),
IF(_xlpm.v=0,"",_xlpm.v)
),"")</f>
        <v/>
      </c>
      <c r="K956" s="17"/>
      <c r="L956" s="17" t="str">
        <f>IF(OR(COUNTIF('クラス'!$A$1:$A$1267,$B956)&gt;0,$B956="",$M956=""),"",True)</f>
        <v/>
      </c>
      <c r="M956" s="1" t="str">
        <f t="shared" si="21"/>
        <v>存在しない</v>
      </c>
      <c r="N956" s="1" t="s">
        <v>29</v>
      </c>
      <c r="O956" s="1"/>
      <c r="P956" s="11"/>
      <c r="Q956" s="11"/>
      <c r="R956" s="11"/>
      <c r="S956" s="11"/>
      <c r="T956" s="1"/>
      <c r="U956" s="1"/>
      <c r="V956" s="1"/>
      <c r="W956" s="1"/>
      <c r="X956" s="1"/>
      <c r="Y956" s="1"/>
      <c r="Z956" s="1"/>
    </row>
    <row r="957" ht="18.0" customHeight="1" outlineLevel="1">
      <c r="A957" s="26">
        <v>5.0</v>
      </c>
      <c r="B957" s="26" t="s">
        <v>1467</v>
      </c>
      <c r="C957" s="1"/>
      <c r="D957" s="26"/>
      <c r="E957" s="29" t="s">
        <v>33</v>
      </c>
      <c r="F957" s="15"/>
      <c r="G957" s="30">
        <v>50.0</v>
      </c>
      <c r="H957" s="22" t="s">
        <v>1468</v>
      </c>
      <c r="I957" s="7"/>
      <c r="J957" s="7" t="str">
        <f>IFERROR(LET(_xlpm.v,
VLOOKUP($I957,'用語辞書'!$A:$B,COLUMN('用語辞書'!B$1),FALSE),
IF(_xlpm.v=0,"",_xlpm.v)
),"")</f>
        <v/>
      </c>
      <c r="K957" s="17"/>
      <c r="L957" s="17" t="b">
        <f>IF(OR(COUNTIF('クラス'!$A$1:$A$1267,$B957)&gt;0,$B957="",$M957=""),"",True)</f>
        <v>1</v>
      </c>
      <c r="M957" s="1" t="str">
        <f t="shared" si="21"/>
        <v>存在しない</v>
      </c>
      <c r="N957" s="1" t="s">
        <v>29</v>
      </c>
      <c r="O957" s="1"/>
      <c r="P957" s="11"/>
      <c r="Q957" s="11"/>
      <c r="R957" s="11"/>
      <c r="S957" s="11"/>
      <c r="T957" s="1"/>
      <c r="U957" s="1"/>
      <c r="V957" s="1"/>
      <c r="W957" s="1"/>
      <c r="X957" s="1"/>
      <c r="Y957" s="1"/>
      <c r="Z957" s="1"/>
    </row>
    <row r="958" ht="18.0" customHeight="1" outlineLevel="1">
      <c r="A958" s="26">
        <v>6.0</v>
      </c>
      <c r="B958" s="1"/>
      <c r="C958" s="1"/>
      <c r="D958" s="1"/>
      <c r="E958" s="14"/>
      <c r="F958" s="15"/>
      <c r="G958" s="16"/>
      <c r="H958" s="11"/>
      <c r="I958" s="7"/>
      <c r="J958" s="7" t="str">
        <f>IFERROR(LET(_xlpm.v,
VLOOKUP($I958,'用語辞書'!$A:$B,COLUMN('用語辞書'!B$1),FALSE),
IF(_xlpm.v=0,"",_xlpm.v)
),"")</f>
        <v/>
      </c>
      <c r="K958" s="17"/>
      <c r="L958" s="17" t="str">
        <f>IF(OR(COUNTIF('クラス'!$A$1:$A$1267,$B958)&gt;0,$B958="",$M958=""),"",True)</f>
        <v/>
      </c>
      <c r="M958" s="1" t="str">
        <f t="shared" si="21"/>
        <v>存在しない</v>
      </c>
      <c r="N958" s="1" t="s">
        <v>29</v>
      </c>
      <c r="O958" s="1"/>
      <c r="P958" s="11"/>
      <c r="Q958" s="11"/>
      <c r="R958" s="11"/>
      <c r="S958" s="11"/>
      <c r="T958" s="1"/>
      <c r="U958" s="1"/>
      <c r="V958" s="1"/>
      <c r="W958" s="1"/>
      <c r="X958" s="1"/>
      <c r="Y958" s="1"/>
      <c r="Z958" s="1"/>
    </row>
    <row r="959" ht="18.0" customHeight="1" outlineLevel="1">
      <c r="A959" s="26">
        <v>7.0</v>
      </c>
      <c r="B959" s="26" t="s">
        <v>1469</v>
      </c>
      <c r="C959" s="1"/>
      <c r="D959" s="26" t="s">
        <v>284</v>
      </c>
      <c r="E959" s="29" t="s">
        <v>33</v>
      </c>
      <c r="F959" s="15"/>
      <c r="G959" s="30">
        <v>80.0</v>
      </c>
      <c r="H959" s="22" t="s">
        <v>1470</v>
      </c>
      <c r="I959" s="7"/>
      <c r="J959" s="7" t="str">
        <f>IFERROR(LET(_xlpm.v,
VLOOKUP($I959,'用語辞書'!$A:$B,COLUMN('用語辞書'!B$1),FALSE),
IF(_xlpm.v=0,"",_xlpm.v)
),"")</f>
        <v/>
      </c>
      <c r="K959" s="17"/>
      <c r="L959" s="17" t="b">
        <f>IF(OR(COUNTIF('クラス'!$A$1:$A$1267,$B959)&gt;0,$B959="",$M959=""),"",True)</f>
        <v>1</v>
      </c>
      <c r="M959" s="1" t="str">
        <f t="shared" si="21"/>
        <v>存在しない</v>
      </c>
      <c r="N959" s="1" t="s">
        <v>29</v>
      </c>
      <c r="O959" s="1"/>
      <c r="P959" s="11"/>
      <c r="Q959" s="11"/>
      <c r="R959" s="11"/>
      <c r="S959" s="11"/>
      <c r="T959" s="1"/>
      <c r="U959" s="1"/>
      <c r="V959" s="1"/>
      <c r="W959" s="1"/>
      <c r="X959" s="1"/>
      <c r="Y959" s="1"/>
      <c r="Z959" s="1"/>
    </row>
    <row r="960" ht="18.0" customHeight="1" outlineLevel="1">
      <c r="A960" s="26">
        <v>8.0</v>
      </c>
      <c r="B960" s="1"/>
      <c r="C960" s="1"/>
      <c r="D960" s="1"/>
      <c r="E960" s="14"/>
      <c r="F960" s="15"/>
      <c r="G960" s="16"/>
      <c r="H960" s="11"/>
      <c r="I960" s="7"/>
      <c r="J960" s="7" t="str">
        <f>IFERROR(LET(_xlpm.v,
VLOOKUP($I960,'用語辞書'!$A:$B,COLUMN('用語辞書'!B$1),FALSE),
IF(_xlpm.v=0,"",_xlpm.v)
),"")</f>
        <v/>
      </c>
      <c r="K960" s="17"/>
      <c r="L960" s="17" t="str">
        <f>IF(OR(COUNTIF('クラス'!$A$1:$A$1267,$B960)&gt;0,$B960="",$M960=""),"",True)</f>
        <v/>
      </c>
      <c r="M960" s="1" t="str">
        <f t="shared" si="21"/>
        <v>存在しない</v>
      </c>
      <c r="N960" s="1" t="s">
        <v>29</v>
      </c>
      <c r="O960" s="1"/>
      <c r="P960" s="11"/>
      <c r="Q960" s="11"/>
      <c r="R960" s="11"/>
      <c r="S960" s="11"/>
      <c r="T960" s="1"/>
      <c r="U960" s="1"/>
      <c r="V960" s="1"/>
      <c r="W960" s="1"/>
      <c r="X960" s="1"/>
      <c r="Y960" s="1"/>
      <c r="Z960" s="1"/>
    </row>
    <row r="961" ht="18.0" customHeight="1" outlineLevel="1">
      <c r="A961" s="26">
        <v>9.0</v>
      </c>
      <c r="B961" s="26" t="s">
        <v>1471</v>
      </c>
      <c r="C961" s="1"/>
      <c r="D961" s="26" t="s">
        <v>284</v>
      </c>
      <c r="E961" s="29" t="s">
        <v>33</v>
      </c>
      <c r="F961" s="15"/>
      <c r="G961" s="30">
        <v>90.0</v>
      </c>
      <c r="H961" s="22" t="s">
        <v>1472</v>
      </c>
      <c r="I961" s="7"/>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26">
        <v>10.0</v>
      </c>
      <c r="B962" s="26" t="s">
        <v>1473</v>
      </c>
      <c r="C962" s="1"/>
      <c r="D962" s="1"/>
      <c r="E962" s="29" t="s">
        <v>55</v>
      </c>
      <c r="F962" s="15"/>
      <c r="G962" s="16"/>
      <c r="H962" s="22" t="s">
        <v>1474</v>
      </c>
      <c r="I962" s="32"/>
      <c r="J962" s="7" t="str">
        <f>IFERROR(LET(_xlpm.v,
VLOOKUP($I962,'用語辞書'!$A:$B,COLUMN('用語辞書'!B$1),FALSE),
IF(_xlpm.v=0,"",_xlpm.v)
),"")</f>
        <v/>
      </c>
      <c r="K962" s="17"/>
      <c r="L962" s="17" t="b">
        <f>IF(OR(COUNTIF('クラス'!$A$1:$A$1267,$B962)&gt;0,$B962="",$M962=""),"",True)</f>
        <v>1</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c r="C964" s="1"/>
      <c r="D964" s="1"/>
      <c r="E964" s="14"/>
      <c r="F964" s="15"/>
      <c r="G964" s="16"/>
      <c r="H964" s="11"/>
      <c r="I964" s="7"/>
      <c r="J964" s="7" t="str">
        <f>IFERROR(LET(_xlpm.v,
VLOOKUP($I964,'用語辞書'!$A:$B,COLUMN('用語辞書'!B$1),FALSE),
IF(_xlpm.v=0,"",_xlpm.v)
),"")</f>
        <v/>
      </c>
      <c r="K964" s="17"/>
      <c r="L964" s="17" t="str">
        <f>IF(OR(COUNTIF('クラス'!$A$1:$A$1267,$B964)&gt;0,$B964="",$M964=""),"",True)</f>
        <v/>
      </c>
      <c r="M964" s="1" t="str">
        <f t="shared" si="21"/>
        <v>存在しない</v>
      </c>
      <c r="N964" s="1" t="s">
        <v>29</v>
      </c>
      <c r="O964" s="1"/>
      <c r="P964" s="11"/>
      <c r="Q964" s="11"/>
      <c r="R964" s="11"/>
      <c r="S964" s="11"/>
      <c r="T964" s="1"/>
      <c r="U964" s="1"/>
      <c r="V964" s="1"/>
      <c r="W964" s="1"/>
      <c r="X964" s="1"/>
      <c r="Y964" s="1"/>
      <c r="Z964" s="1"/>
    </row>
    <row r="965" ht="18.0" customHeight="1" outlineLevel="1">
      <c r="A965" s="1"/>
      <c r="B965" s="1" t="s">
        <v>1475</v>
      </c>
      <c r="C965" s="1"/>
      <c r="D965" s="1"/>
      <c r="E965" s="14"/>
      <c r="F965" s="15"/>
      <c r="G965" s="16"/>
      <c r="H965" s="11"/>
      <c r="I965" s="7"/>
      <c r="J965" s="7" t="str">
        <f>IFERROR(LET(_xlpm.v,
VLOOKUP($I965,'用語辞書'!$A:$B,COLUMN('用語辞書'!B$1),FALSE),
IF(_xlpm.v=0,"",_xlpm.v)
),"")</f>
        <v/>
      </c>
      <c r="K965" s="17"/>
      <c r="L965" s="17" t="b">
        <f>IF(OR(COUNTIF('クラス'!$A$1:$A$1267,$B965)&gt;0,$B965="",$M965=""),"",True)</f>
        <v>1</v>
      </c>
      <c r="M965" s="1" t="str">
        <f>IF(COUNTIF($B$1:$C846, $B965), "", "存在しない")</f>
        <v>存在しない</v>
      </c>
      <c r="N965" s="1" t="s">
        <v>29</v>
      </c>
      <c r="O965" s="1"/>
      <c r="P965" s="11"/>
      <c r="Q965" s="11"/>
      <c r="R965" s="11"/>
      <c r="S965" s="11"/>
      <c r="T965" s="1"/>
      <c r="U965" s="1"/>
      <c r="V965" s="1"/>
      <c r="W965" s="1"/>
      <c r="X965" s="1"/>
      <c r="Y965" s="1"/>
      <c r="Z965" s="1"/>
    </row>
    <row r="966" ht="18.0" customHeight="1" outlineLevel="2">
      <c r="A966" s="1">
        <v>1.0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ref="M966:M1126" si="22">IF(COUNTIF($B$1:$C965, $B966), "", "存在しない")</f>
        <v>存在しない</v>
      </c>
      <c r="N966" s="1" t="s">
        <v>29</v>
      </c>
      <c r="O966" s="1"/>
      <c r="P966" s="11"/>
      <c r="Q966" s="11"/>
      <c r="R966" s="11"/>
      <c r="S966" s="11"/>
      <c r="T966" s="1"/>
      <c r="U966" s="1"/>
      <c r="V966" s="1"/>
      <c r="W966" s="1"/>
      <c r="X966" s="1"/>
      <c r="Y966" s="1"/>
      <c r="Z966" s="1"/>
    </row>
    <row r="967" ht="18.0" customHeight="1" outlineLevel="2">
      <c r="A967" s="1">
        <v>2.0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3.0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4.0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5.0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6.0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7.0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8.0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9.0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2">
      <c r="A975" s="1">
        <v>10.0</v>
      </c>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outlineLevel="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ollapsed="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1"/>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c r="A982" s="1"/>
      <c r="B982" s="1"/>
      <c r="C982" s="26" t="s">
        <v>1476</v>
      </c>
      <c r="D982" s="1"/>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1">
      <c r="A983" s="1"/>
      <c r="B983" s="1" t="s">
        <v>1477</v>
      </c>
      <c r="C983" s="1"/>
      <c r="D983" s="1" t="s">
        <v>284</v>
      </c>
      <c r="E983" s="14"/>
      <c r="F983" s="15"/>
      <c r="G983" s="16"/>
      <c r="H983" s="11"/>
      <c r="I983" s="7"/>
      <c r="J983" s="7" t="str">
        <f>IFERROR(LET(_xlpm.v,
VLOOKUP($I983,'用語辞書'!$A:$B,COLUMN('用語辞書'!B$1),FALSE),
IF(_xlpm.v=0,"",_xlpm.v)
),"")</f>
        <v/>
      </c>
      <c r="K983" s="17"/>
      <c r="L983" s="17" t="str">
        <f>IF(OR(COUNTIF('クラス'!$A$1:$A$1267,$B983)&gt;0,$B983="",$M983=""),"",True)</f>
        <v/>
      </c>
      <c r="M983" s="1" t="str">
        <f t="shared" si="22"/>
        <v>存在しない</v>
      </c>
      <c r="N983" s="1" t="s">
        <v>29</v>
      </c>
      <c r="O983" s="1"/>
      <c r="P983" s="11"/>
      <c r="Q983" s="11"/>
      <c r="R983" s="11"/>
      <c r="S983" s="11"/>
      <c r="T983" s="1"/>
      <c r="U983" s="1"/>
      <c r="V983" s="1"/>
      <c r="W983" s="1"/>
      <c r="X983" s="1"/>
      <c r="Y983" s="1"/>
      <c r="Z983" s="1"/>
    </row>
    <row r="984" ht="18.0" customHeight="1" outlineLevel="2">
      <c r="A984" s="1">
        <v>1.0</v>
      </c>
      <c r="B984" s="1" t="str">
        <f>D983&amp;"の拳"</f>
        <v>炎の拳</v>
      </c>
      <c r="C984" s="1"/>
      <c r="D984" s="1" t="str">
        <f>D983</f>
        <v>炎</v>
      </c>
      <c r="E984" s="14" t="s">
        <v>33</v>
      </c>
      <c r="F984" s="15"/>
      <c r="G984" s="16">
        <v>60.0</v>
      </c>
      <c r="H984" s="11" t="str">
        <f>"攻撃手段:素手 物理+15 "&amp;D983&amp;"+25 判定:攻撃"</f>
        <v>攻撃手段:素手 物理+15 炎+25 判定:攻撃</v>
      </c>
      <c r="I984" s="7"/>
      <c r="J984" s="7" t="str">
        <f>IFERROR(LET(_xlpm.v,
VLOOKUP($I984,'用語辞書'!$A:$B,COLUMN('用語辞書'!B$1),FALSE),
IF(_xlpm.v=0,"",_xlpm.v)
),"")</f>
        <v/>
      </c>
      <c r="K984" s="17"/>
      <c r="L984" s="17" t="b">
        <f>IF(OR(COUNTIF('クラス'!$A$1:$A$1267,$B984)&gt;0,$B984="",$M984=""),"",True)</f>
        <v>1</v>
      </c>
      <c r="M984" s="1" t="str">
        <f t="shared" si="22"/>
        <v>存在しない</v>
      </c>
      <c r="N984" s="1" t="s">
        <v>29</v>
      </c>
      <c r="O984" s="1"/>
      <c r="P984" s="11"/>
      <c r="Q984" s="11"/>
      <c r="R984" s="11"/>
      <c r="S984" s="11"/>
      <c r="T984" s="1"/>
      <c r="U984" s="1"/>
      <c r="V984" s="1"/>
      <c r="W984" s="1"/>
      <c r="X984" s="1"/>
      <c r="Y984" s="1"/>
      <c r="Z984" s="1"/>
    </row>
    <row r="985" ht="18.0" customHeight="1" outlineLevel="2">
      <c r="A985" s="1">
        <v>2.0</v>
      </c>
      <c r="B985" s="1"/>
      <c r="C985" s="1"/>
      <c r="D985" s="1"/>
      <c r="E985" s="14"/>
      <c r="F985" s="15"/>
      <c r="G985" s="16"/>
      <c r="H985" s="11"/>
      <c r="I985" s="7"/>
      <c r="J985" s="7" t="str">
        <f>IFERROR(LET(_xlpm.v,
VLOOKUP($I985,'用語辞書'!$A:$B,COLUMN('用語辞書'!B$1),FALSE),
IF(_xlpm.v=0,"",_xlpm.v)
),"")</f>
        <v/>
      </c>
      <c r="K985" s="17"/>
      <c r="L985" s="17" t="str">
        <f>IF(OR(COUNTIF('クラス'!$A$1:$A$1267,$B985)&gt;0,$B985="",$M985=""),"",True)</f>
        <v/>
      </c>
      <c r="M985" s="1" t="str">
        <f t="shared" si="22"/>
        <v>存在しない</v>
      </c>
      <c r="N985" s="1" t="s">
        <v>29</v>
      </c>
      <c r="O985" s="1"/>
      <c r="P985" s="11"/>
      <c r="Q985" s="11"/>
      <c r="R985" s="11"/>
      <c r="S985" s="11"/>
      <c r="T985" s="1"/>
      <c r="U985" s="1"/>
      <c r="V985" s="1"/>
      <c r="W985" s="1"/>
      <c r="X985" s="1"/>
      <c r="Y985" s="1"/>
      <c r="Z985" s="1"/>
    </row>
    <row r="986" ht="18.0" customHeight="1" outlineLevel="2">
      <c r="A986" s="1">
        <v>3.0</v>
      </c>
      <c r="B986" s="1" t="s">
        <v>1296</v>
      </c>
      <c r="C986" s="1"/>
      <c r="D986" s="1"/>
      <c r="E986" s="14" t="s">
        <v>55</v>
      </c>
      <c r="F986" s="15"/>
      <c r="G986" s="16"/>
      <c r="H986" s="11" t="s">
        <v>1478</v>
      </c>
      <c r="I986" s="7"/>
      <c r="J986" s="7" t="str">
        <f>IFERROR(LET(_xlpm.v,
VLOOKUP($I986,'用語辞書'!$A:$B,COLUMN('用語辞書'!B$1),FALSE),
IF(_xlpm.v=0,"",_xlpm.v)
),"")</f>
        <v/>
      </c>
      <c r="K986" s="17"/>
      <c r="L986" s="17" t="str">
        <f>IF(OR(COUNTIF('クラス'!$A$1:$A$1267,$B986)&gt;0,$B986="",$M986=""),"",True)</f>
        <v/>
      </c>
      <c r="M986" s="1" t="str">
        <f t="shared" si="22"/>
        <v/>
      </c>
      <c r="N986" s="1" t="s">
        <v>29</v>
      </c>
      <c r="O986" s="1"/>
      <c r="P986" s="11"/>
      <c r="Q986" s="11"/>
      <c r="R986" s="11"/>
      <c r="S986" s="11"/>
      <c r="T986" s="1"/>
      <c r="U986" s="1"/>
      <c r="V986" s="1"/>
      <c r="W986" s="1"/>
      <c r="X986" s="1"/>
      <c r="Y986" s="1"/>
      <c r="Z986" s="1"/>
    </row>
    <row r="987" ht="18.0" customHeight="1" outlineLevel="2">
      <c r="A987" s="1">
        <v>4.0</v>
      </c>
      <c r="B987" s="1"/>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存在しない</v>
      </c>
      <c r="N987" s="1" t="s">
        <v>29</v>
      </c>
      <c r="O987" s="1"/>
      <c r="P987" s="11"/>
      <c r="Q987" s="11"/>
      <c r="R987" s="11"/>
      <c r="S987" s="11"/>
      <c r="T987" s="1"/>
      <c r="U987" s="1"/>
      <c r="V987" s="1"/>
      <c r="W987" s="1"/>
      <c r="X987" s="1"/>
      <c r="Y987" s="1"/>
      <c r="Z987" s="1"/>
    </row>
    <row r="988" ht="18.0" customHeight="1" outlineLevel="2">
      <c r="A988" s="1">
        <v>5.0</v>
      </c>
      <c r="B988" s="26" t="s">
        <v>282</v>
      </c>
      <c r="C988" s="1"/>
      <c r="D988" s="1"/>
      <c r="E988" s="14"/>
      <c r="F988" s="15"/>
      <c r="G988" s="16"/>
      <c r="H988" s="11"/>
      <c r="I988" s="7"/>
      <c r="J988" s="7" t="str">
        <f>IFERROR(LET(_xlpm.v,
VLOOKUP($I988,'用語辞書'!$A:$B,COLUMN('用語辞書'!B$1),FALSE),
IF(_xlpm.v=0,"",_xlpm.v)
),"")</f>
        <v/>
      </c>
      <c r="K988" s="17"/>
      <c r="L988" s="17" t="str">
        <f>IF(OR(COUNTIF('クラス'!$A$1:$A$1267,$B988)&gt;0,$B988="",$M988=""),"",True)</f>
        <v/>
      </c>
      <c r="M988" s="1" t="str">
        <f t="shared" si="22"/>
        <v/>
      </c>
      <c r="N988" s="1" t="s">
        <v>29</v>
      </c>
      <c r="O988" s="1"/>
      <c r="P988" s="11"/>
      <c r="Q988" s="11"/>
      <c r="R988" s="11"/>
      <c r="S988" s="11"/>
      <c r="T988" s="1"/>
      <c r="U988" s="1"/>
      <c r="V988" s="1"/>
      <c r="W988" s="1"/>
      <c r="X988" s="1"/>
      <c r="Y988" s="1"/>
      <c r="Z988" s="1"/>
    </row>
    <row r="989" ht="18.0" customHeight="1" outlineLevel="2">
      <c r="A989" s="1">
        <v>6.0</v>
      </c>
      <c r="B989" s="1" t="str">
        <f>D983&amp;"の魔力"</f>
        <v>炎の魔力</v>
      </c>
      <c r="C989" s="1"/>
      <c r="D989" s="1"/>
      <c r="E989" s="14" t="s">
        <v>55</v>
      </c>
      <c r="F989" s="15"/>
      <c r="G989" s="16"/>
      <c r="H989" s="11" t="str">
        <f>"条件系統:"&amp;D983&amp;" 魔力+30"</f>
        <v>条件系統:炎 魔力+30</v>
      </c>
      <c r="I989" s="7"/>
      <c r="J989" s="7" t="str">
        <f>IFERROR(LET(_xlpm.v,
VLOOKUP($I989,'用語辞書'!$A:$B,COLUMN('用語辞書'!B$1),FALSE),
IF(_xlpm.v=0,"",_xlpm.v)
),"")</f>
        <v/>
      </c>
      <c r="K989" s="17"/>
      <c r="L989" s="17" t="b">
        <f>IF(OR(COUNTIF('クラス'!$A$1:$A$1267,$B989)&gt;0,$B989="",$M989=""),"",True)</f>
        <v>1</v>
      </c>
      <c r="M989" s="1" t="str">
        <f t="shared" si="22"/>
        <v>存在しない</v>
      </c>
      <c r="N989" s="1" t="s">
        <v>29</v>
      </c>
      <c r="O989" s="1"/>
      <c r="P989" s="11"/>
      <c r="Q989" s="11"/>
      <c r="R989" s="11"/>
      <c r="S989" s="11"/>
      <c r="T989" s="1"/>
      <c r="U989" s="1"/>
      <c r="V989" s="1"/>
      <c r="W989" s="1"/>
      <c r="X989" s="1"/>
      <c r="Y989" s="1"/>
      <c r="Z989" s="1"/>
    </row>
    <row r="990" ht="18.0" customHeight="1" outlineLevel="2">
      <c r="A990" s="1">
        <v>7.0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8.0</v>
      </c>
      <c r="B991" s="1"/>
      <c r="C991" s="1"/>
      <c r="D991" s="1"/>
      <c r="E991" s="14"/>
      <c r="F991" s="15"/>
      <c r="G991" s="16"/>
      <c r="H991" s="11"/>
      <c r="I991" s="7"/>
      <c r="J991" s="7" t="str">
        <f>IFERROR(LET(_xlpm.v,
VLOOKUP($I991,'用語辞書'!$A:$B,COLUMN('用語辞書'!B$1),FALSE),
IF(_xlpm.v=0,"",_xlpm.v)
),"")</f>
        <v/>
      </c>
      <c r="K991" s="17"/>
      <c r="L991" s="17" t="str">
        <f>IF(OR(COUNTIF('クラス'!$A$1:$A$1267,$B991)&gt;0,$B991="",$M991=""),"",True)</f>
        <v/>
      </c>
      <c r="M991" s="1" t="str">
        <f t="shared" si="22"/>
        <v>存在しない</v>
      </c>
      <c r="N991" s="1" t="s">
        <v>29</v>
      </c>
      <c r="O991" s="1"/>
      <c r="P991" s="11"/>
      <c r="Q991" s="11"/>
      <c r="R991" s="11"/>
      <c r="S991" s="11"/>
      <c r="T991" s="1"/>
      <c r="U991" s="1"/>
      <c r="V991" s="1"/>
      <c r="W991" s="1"/>
      <c r="X991" s="1"/>
      <c r="Y991" s="1"/>
      <c r="Z991" s="1"/>
    </row>
    <row r="992" ht="18.0" customHeight="1" outlineLevel="2">
      <c r="A992" s="1">
        <v>9.0</v>
      </c>
      <c r="B992" s="1" t="str">
        <f>D983&amp;"の力"</f>
        <v>炎の力</v>
      </c>
      <c r="C992" s="1"/>
      <c r="D992" s="1"/>
      <c r="E992" s="14" t="s">
        <v>55</v>
      </c>
      <c r="F992" s="15"/>
      <c r="G992" s="16"/>
      <c r="H992" s="11" t="str">
        <f>"条件系統:"&amp;D983&amp;" 攻撃+30"</f>
        <v>条件系統:炎 攻撃+30</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v>10.0</v>
      </c>
      <c r="B993" s="1" t="str">
        <f>D983&amp;"の吐息"</f>
        <v>炎の吐息</v>
      </c>
      <c r="C993" s="1"/>
      <c r="D993" s="1" t="str">
        <f>D983</f>
        <v>炎</v>
      </c>
      <c r="E993" s="14" t="s">
        <v>33</v>
      </c>
      <c r="F993" s="15"/>
      <c r="G993" s="16">
        <v>80.0</v>
      </c>
      <c r="H993" s="11" t="str">
        <f>"攻撃手段:吐息 "&amp;D983&amp;"+45 射程:20 範囲:放射"</f>
        <v>攻撃手段:吐息 炎+45 射程:20 範囲:放射</v>
      </c>
      <c r="I993" s="7"/>
      <c r="J993" s="7" t="str">
        <f>IFERROR(LET(_xlpm.v,
VLOOKUP($I993,'用語辞書'!$A:$B,COLUMN('用語辞書'!B$1),FALSE),
IF(_xlpm.v=0,"",_xlpm.v)
),"")</f>
        <v/>
      </c>
      <c r="K993" s="17"/>
      <c r="L993" s="17" t="b">
        <f>IF(OR(COUNTIF('クラス'!$A$1:$A$1267,$B993)&gt;0,$B993="",$M993=""),"",True)</f>
        <v>1</v>
      </c>
      <c r="M993" s="1" t="str">
        <f t="shared" si="22"/>
        <v>存在しない</v>
      </c>
      <c r="N993" s="1" t="s">
        <v>29</v>
      </c>
      <c r="O993" s="1"/>
      <c r="P993" s="11"/>
      <c r="Q993" s="11"/>
      <c r="R993" s="11"/>
      <c r="S993" s="11"/>
      <c r="T993" s="1"/>
      <c r="U993" s="1"/>
      <c r="V993" s="1"/>
      <c r="W993" s="1"/>
      <c r="X993" s="1"/>
      <c r="Y993" s="1"/>
      <c r="Z993" s="1"/>
    </row>
    <row r="994" ht="18.0" customHeight="1" outlineLevel="2">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ollapsed="1">
      <c r="A995" s="1"/>
      <c r="B995" s="1"/>
      <c r="C995" s="1"/>
      <c r="D995" s="1"/>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1">
      <c r="A996" s="1"/>
      <c r="B996" s="1" t="s">
        <v>1479</v>
      </c>
      <c r="C996" s="1"/>
      <c r="D996" s="1" t="s">
        <v>370</v>
      </c>
      <c r="E996" s="14"/>
      <c r="F996" s="15"/>
      <c r="G996" s="16"/>
      <c r="H996" s="11"/>
      <c r="I996" s="7"/>
      <c r="J996" s="7" t="str">
        <f>IFERROR(LET(_xlpm.v,
VLOOKUP($I996,'用語辞書'!$A:$B,COLUMN('用語辞書'!B$1),FALSE),
IF(_xlpm.v=0,"",_xlpm.v)
),"")</f>
        <v/>
      </c>
      <c r="K996" s="17"/>
      <c r="L996" s="17" t="str">
        <f>IF(OR(COUNTIF('クラス'!$A$1:$A$1267,$B996)&gt;0,$B996="",$M996=""),"",True)</f>
        <v/>
      </c>
      <c r="M996" s="1" t="str">
        <f t="shared" si="22"/>
        <v>存在しない</v>
      </c>
      <c r="N996" s="1" t="s">
        <v>29</v>
      </c>
      <c r="O996" s="1"/>
      <c r="P996" s="11"/>
      <c r="Q996" s="11"/>
      <c r="R996" s="11"/>
      <c r="S996" s="11"/>
      <c r="T996" s="1"/>
      <c r="U996" s="1"/>
      <c r="V996" s="1"/>
      <c r="W996" s="1"/>
      <c r="X996" s="1"/>
      <c r="Y996" s="1"/>
      <c r="Z996" s="1"/>
    </row>
    <row r="997" ht="18.0" customHeight="1" outlineLevel="2">
      <c r="A997" s="1">
        <v>1.0</v>
      </c>
      <c r="B997" s="1" t="str">
        <f>D996&amp;"の拳"</f>
        <v>氷の拳</v>
      </c>
      <c r="C997" s="1"/>
      <c r="D997" s="1" t="str">
        <f>D996</f>
        <v>氷</v>
      </c>
      <c r="E997" s="14" t="s">
        <v>33</v>
      </c>
      <c r="F997" s="15"/>
      <c r="G997" s="16">
        <v>60.0</v>
      </c>
      <c r="H997" s="11" t="str">
        <f>"攻撃手段:素手 物理+15 "&amp;D996&amp;"+25 判定:攻撃"</f>
        <v>攻撃手段:素手 物理+15 氷+25 判定:攻撃</v>
      </c>
      <c r="I997" s="7"/>
      <c r="J997" s="7" t="str">
        <f>IFERROR(LET(_xlpm.v,
VLOOKUP($I997,'用語辞書'!$A:$B,COLUMN('用語辞書'!B$1),FALSE),
IF(_xlpm.v=0,"",_xlpm.v)
),"")</f>
        <v/>
      </c>
      <c r="K997" s="17"/>
      <c r="L997" s="17" t="b">
        <f>IF(OR(COUNTIF('クラス'!$A$1:$A$1267,$B997)&gt;0,$B997="",$M997=""),"",True)</f>
        <v>1</v>
      </c>
      <c r="M997" s="1" t="str">
        <f t="shared" si="22"/>
        <v>存在しない</v>
      </c>
      <c r="N997" s="1" t="s">
        <v>29</v>
      </c>
      <c r="O997" s="1"/>
      <c r="P997" s="11"/>
      <c r="Q997" s="11"/>
      <c r="R997" s="11"/>
      <c r="S997" s="11"/>
      <c r="T997" s="1"/>
      <c r="U997" s="1"/>
      <c r="V997" s="1"/>
      <c r="W997" s="1"/>
      <c r="X997" s="1"/>
      <c r="Y997" s="1"/>
      <c r="Z997" s="1"/>
    </row>
    <row r="998" ht="18.0" customHeight="1" outlineLevel="2">
      <c r="A998" s="1">
        <v>2.0</v>
      </c>
      <c r="B998" s="1"/>
      <c r="C998" s="1"/>
      <c r="D998" s="1"/>
      <c r="E998" s="14"/>
      <c r="F998" s="15"/>
      <c r="G998" s="16"/>
      <c r="H998" s="11"/>
      <c r="I998" s="7"/>
      <c r="J998" s="7" t="str">
        <f>IFERROR(LET(_xlpm.v,
VLOOKUP($I998,'用語辞書'!$A:$B,COLUMN('用語辞書'!B$1),FALSE),
IF(_xlpm.v=0,"",_xlpm.v)
),"")</f>
        <v/>
      </c>
      <c r="K998" s="17"/>
      <c r="L998" s="17" t="str">
        <f>IF(OR(COUNTIF('クラス'!$A$1:$A$1267,$B998)&gt;0,$B998="",$M998=""),"",True)</f>
        <v/>
      </c>
      <c r="M998" s="1" t="str">
        <f t="shared" si="22"/>
        <v>存在しない</v>
      </c>
      <c r="N998" s="1" t="s">
        <v>29</v>
      </c>
      <c r="O998" s="1"/>
      <c r="P998" s="11"/>
      <c r="Q998" s="11"/>
      <c r="R998" s="11"/>
      <c r="S998" s="11"/>
      <c r="T998" s="1"/>
      <c r="U998" s="1"/>
      <c r="V998" s="1"/>
      <c r="W998" s="1"/>
      <c r="X998" s="1"/>
      <c r="Y998" s="1"/>
      <c r="Z998" s="1"/>
    </row>
    <row r="999" ht="18.0" customHeight="1" outlineLevel="2">
      <c r="A999" s="1">
        <v>3.0</v>
      </c>
      <c r="B999" s="1" t="s">
        <v>1296</v>
      </c>
      <c r="C999" s="1"/>
      <c r="D999" s="1"/>
      <c r="E999" s="14" t="s">
        <v>55</v>
      </c>
      <c r="F999" s="15"/>
      <c r="G999" s="16"/>
      <c r="H999" s="11" t="s">
        <v>1478</v>
      </c>
      <c r="I999" s="7"/>
      <c r="J999" s="7" t="str">
        <f>IFERROR(LET(_xlpm.v,
VLOOKUP($I999,'用語辞書'!$A:$B,COLUMN('用語辞書'!B$1),FALSE),
IF(_xlpm.v=0,"",_xlpm.v)
),"")</f>
        <v/>
      </c>
      <c r="K999" s="17"/>
      <c r="L999" s="17" t="str">
        <f>IF(OR(COUNTIF('クラス'!$A$1:$A$1267,$B999)&gt;0,$B999="",$M999=""),"",True)</f>
        <v/>
      </c>
      <c r="M999" s="1" t="str">
        <f t="shared" si="22"/>
        <v/>
      </c>
      <c r="N999" s="1" t="s">
        <v>29</v>
      </c>
      <c r="O999" s="1"/>
      <c r="P999" s="11"/>
      <c r="Q999" s="11"/>
      <c r="R999" s="11"/>
      <c r="S999" s="11"/>
      <c r="T999" s="1"/>
      <c r="U999" s="1"/>
      <c r="V999" s="1"/>
      <c r="W999" s="1"/>
      <c r="X999" s="1"/>
      <c r="Y999" s="1"/>
      <c r="Z999" s="1"/>
    </row>
    <row r="1000" ht="18.0" customHeight="1" outlineLevel="2">
      <c r="A1000" s="1">
        <v>4.0</v>
      </c>
      <c r="B1000" s="1"/>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存在しない</v>
      </c>
      <c r="N1000" s="1" t="s">
        <v>29</v>
      </c>
      <c r="O1000" s="1"/>
      <c r="P1000" s="11"/>
      <c r="Q1000" s="11"/>
      <c r="R1000" s="11"/>
      <c r="S1000" s="11"/>
      <c r="T1000" s="1"/>
      <c r="U1000" s="1"/>
      <c r="V1000" s="1"/>
      <c r="W1000" s="1"/>
      <c r="X1000" s="1"/>
      <c r="Y1000" s="1"/>
      <c r="Z1000" s="1"/>
    </row>
    <row r="1001" ht="18.0" customHeight="1" outlineLevel="2">
      <c r="A1001" s="1">
        <v>5.0</v>
      </c>
      <c r="B1001" s="26" t="s">
        <v>372</v>
      </c>
      <c r="C1001" s="1"/>
      <c r="D1001" s="1"/>
      <c r="E1001" s="14"/>
      <c r="F1001" s="15"/>
      <c r="G1001" s="16"/>
      <c r="H1001" s="11"/>
      <c r="I1001" s="7"/>
      <c r="J1001" s="7" t="str">
        <f>IFERROR(LET(_xlpm.v,
VLOOKUP($I1001,'用語辞書'!$A:$B,COLUMN('用語辞書'!B$1),FALSE),
IF(_xlpm.v=0,"",_xlpm.v)
),"")</f>
        <v/>
      </c>
      <c r="K1001" s="17"/>
      <c r="L1001" s="17" t="str">
        <f>IF(OR(COUNTIF('クラス'!$A$1:$A$1267,$B1001)&gt;0,$B1001="",$M1001=""),"",True)</f>
        <v/>
      </c>
      <c r="M1001" s="1" t="str">
        <f t="shared" si="22"/>
        <v/>
      </c>
      <c r="N1001" s="1" t="s">
        <v>29</v>
      </c>
      <c r="O1001" s="1"/>
      <c r="P1001" s="11"/>
      <c r="Q1001" s="11"/>
      <c r="R1001" s="11"/>
      <c r="S1001" s="11"/>
      <c r="T1001" s="1"/>
      <c r="U1001" s="1"/>
      <c r="V1001" s="1"/>
      <c r="W1001" s="1"/>
      <c r="X1001" s="1"/>
      <c r="Y1001" s="1"/>
      <c r="Z1001" s="1"/>
    </row>
    <row r="1002" ht="18.0" customHeight="1" outlineLevel="2">
      <c r="A1002" s="1">
        <v>6.0</v>
      </c>
      <c r="B1002" s="1" t="str">
        <f>D996&amp;"の魔力"</f>
        <v>氷の魔力</v>
      </c>
      <c r="C1002" s="1"/>
      <c r="D1002" s="1"/>
      <c r="E1002" s="14" t="s">
        <v>55</v>
      </c>
      <c r="F1002" s="15"/>
      <c r="G1002" s="16"/>
      <c r="H1002" s="11" t="str">
        <f>"条件系統:"&amp;D996&amp;" 魔力+30"</f>
        <v>条件系統:氷 魔力+30</v>
      </c>
      <c r="I1002" s="7"/>
      <c r="J1002" s="7" t="str">
        <f>IFERROR(LET(_xlpm.v,
VLOOKUP($I1002,'用語辞書'!$A:$B,COLUMN('用語辞書'!B$1),FALSE),
IF(_xlpm.v=0,"",_xlpm.v)
),"")</f>
        <v/>
      </c>
      <c r="K1002" s="17"/>
      <c r="L1002" s="17" t="b">
        <f>IF(OR(COUNTIF('クラス'!$A$1:$A$1267,$B1002)&gt;0,$B1002="",$M1002=""),"",True)</f>
        <v>1</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7.0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8.0</v>
      </c>
      <c r="B1004" s="1"/>
      <c r="C1004" s="1"/>
      <c r="D1004" s="1"/>
      <c r="E1004" s="14"/>
      <c r="F1004" s="15"/>
      <c r="G1004" s="16"/>
      <c r="H1004" s="11"/>
      <c r="I1004" s="7"/>
      <c r="J1004" s="7" t="str">
        <f>IFERROR(LET(_xlpm.v,
VLOOKUP($I1004,'用語辞書'!$A:$B,COLUMN('用語辞書'!B$1),FALSE),
IF(_xlpm.v=0,"",_xlpm.v)
),"")</f>
        <v/>
      </c>
      <c r="K1004" s="17"/>
      <c r="L1004" s="17" t="str">
        <f>IF(OR(COUNTIF('クラス'!$A$1:$A$1267,$B1004)&gt;0,$B1004="",$M1004=""),"",True)</f>
        <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9.0</v>
      </c>
      <c r="B1005" s="1" t="str">
        <f>D996&amp;"の力"</f>
        <v>氷の力</v>
      </c>
      <c r="C1005" s="1"/>
      <c r="D1005" s="1"/>
      <c r="E1005" s="14" t="s">
        <v>55</v>
      </c>
      <c r="F1005" s="15"/>
      <c r="G1005" s="16"/>
      <c r="H1005" s="11" t="str">
        <f>"条件系統:"&amp;D996&amp;" 攻撃+30"</f>
        <v>条件系統:氷 攻撃+30</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v>10.0</v>
      </c>
      <c r="B1006" s="1" t="str">
        <f>D996&amp;"の吐息"</f>
        <v>氷の吐息</v>
      </c>
      <c r="C1006" s="1"/>
      <c r="D1006" s="1" t="str">
        <f>D996</f>
        <v>氷</v>
      </c>
      <c r="E1006" s="14" t="s">
        <v>33</v>
      </c>
      <c r="F1006" s="15"/>
      <c r="G1006" s="16">
        <v>80.0</v>
      </c>
      <c r="H1006" s="11" t="str">
        <f>"攻撃手段:吐息 "&amp;D996&amp;"+45 射程:20 範囲:放射"</f>
        <v>攻撃手段:吐息 氷+45 射程:20 範囲:放射</v>
      </c>
      <c r="I1006" s="7"/>
      <c r="J1006" s="7" t="str">
        <f>IFERROR(LET(_xlpm.v,
VLOOKUP($I1006,'用語辞書'!$A:$B,COLUMN('用語辞書'!B$1),FALSE),
IF(_xlpm.v=0,"",_xlpm.v)
),"")</f>
        <v/>
      </c>
      <c r="K1006" s="17"/>
      <c r="L1006" s="17" t="b">
        <f>IF(OR(COUNTIF('クラス'!$A$1:$A$1267,$B1006)&gt;0,$B1006="",$M1006=""),"",True)</f>
        <v>1</v>
      </c>
      <c r="M1006" s="1" t="str">
        <f t="shared" si="22"/>
        <v>存在しない</v>
      </c>
      <c r="N1006" s="1" t="s">
        <v>29</v>
      </c>
      <c r="O1006" s="1"/>
      <c r="P1006" s="11"/>
      <c r="Q1006" s="11"/>
      <c r="R1006" s="11"/>
      <c r="S1006" s="11"/>
      <c r="T1006" s="1"/>
      <c r="U1006" s="1"/>
      <c r="V1006" s="1"/>
      <c r="W1006" s="1"/>
      <c r="X1006" s="1"/>
      <c r="Y1006" s="1"/>
      <c r="Z1006" s="1"/>
    </row>
    <row r="1007" ht="18.0" customHeight="1" outlineLevel="2">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ollapsed="1">
      <c r="A1008" s="1"/>
      <c r="B1008" s="1"/>
      <c r="C1008" s="1"/>
      <c r="D1008" s="1"/>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1">
      <c r="A1009" s="1"/>
      <c r="B1009" s="1" t="s">
        <v>1480</v>
      </c>
      <c r="C1009" s="1"/>
      <c r="D1009" s="1" t="s">
        <v>453</v>
      </c>
      <c r="E1009" s="14"/>
      <c r="F1009" s="15"/>
      <c r="G1009" s="16"/>
      <c r="H1009" s="11"/>
      <c r="I1009" s="7"/>
      <c r="J1009" s="7" t="str">
        <f>IFERROR(LET(_xlpm.v,
VLOOKUP($I1009,'用語辞書'!$A:$B,COLUMN('用語辞書'!B$1),FALSE),
IF(_xlpm.v=0,"",_xlpm.v)
),"")</f>
        <v/>
      </c>
      <c r="K1009" s="17"/>
      <c r="L1009" s="17" t="str">
        <f>IF(OR(COUNTIF('クラス'!$A$1:$A$1267,$B1009)&gt;0,$B1009="",$M1009=""),"",True)</f>
        <v/>
      </c>
      <c r="M1009" s="1" t="str">
        <f t="shared" si="22"/>
        <v>存在しない</v>
      </c>
      <c r="N1009" s="1" t="s">
        <v>29</v>
      </c>
      <c r="O1009" s="1"/>
      <c r="P1009" s="11"/>
      <c r="Q1009" s="11"/>
      <c r="R1009" s="11"/>
      <c r="S1009" s="11"/>
      <c r="T1009" s="1"/>
      <c r="U1009" s="1"/>
      <c r="V1009" s="1"/>
      <c r="W1009" s="1"/>
      <c r="X1009" s="1"/>
      <c r="Y1009" s="1"/>
      <c r="Z1009" s="1"/>
    </row>
    <row r="1010" ht="18.0" customHeight="1" outlineLevel="2">
      <c r="A1010" s="1">
        <v>1.0</v>
      </c>
      <c r="B1010" s="1" t="s">
        <v>1481</v>
      </c>
      <c r="C1010" s="1"/>
      <c r="D1010" s="1" t="s">
        <v>453</v>
      </c>
      <c r="E1010" s="14" t="s">
        <v>33</v>
      </c>
      <c r="F1010" s="15"/>
      <c r="G1010" s="16">
        <v>60.0</v>
      </c>
      <c r="H1010" s="11" t="s">
        <v>1482</v>
      </c>
      <c r="I1010" s="7"/>
      <c r="J1010" s="7" t="str">
        <f>IFERROR(LET(_xlpm.v,
VLOOKUP($I1010,'用語辞書'!$A:$B,COLUMN('用語辞書'!B$1),FALSE),
IF(_xlpm.v=0,"",_xlpm.v)
),"")</f>
        <v/>
      </c>
      <c r="K1010" s="17"/>
      <c r="L1010" s="17" t="b">
        <f>IF(OR(COUNTIF('クラス'!$A$1:$A$1267,$B1010)&gt;0,$B1010="",$M1010=""),"",True)</f>
        <v>1</v>
      </c>
      <c r="M1010" s="1" t="str">
        <f t="shared" si="22"/>
        <v>存在しない</v>
      </c>
      <c r="N1010" s="1" t="e">
        <v>#VALUE!</v>
      </c>
      <c r="O1010" s="1"/>
      <c r="P1010" s="11"/>
      <c r="Q1010" s="11"/>
      <c r="R1010" s="11"/>
      <c r="S1010" s="11"/>
      <c r="T1010" s="1"/>
      <c r="U1010" s="1"/>
      <c r="V1010" s="1"/>
      <c r="W1010" s="1"/>
      <c r="X1010" s="1"/>
      <c r="Y1010" s="1"/>
      <c r="Z1010" s="1"/>
    </row>
    <row r="1011" ht="18.0" customHeight="1" outlineLevel="2">
      <c r="A1011" s="1">
        <v>2.0</v>
      </c>
      <c r="B1011" s="1"/>
      <c r="C1011" s="1"/>
      <c r="D1011" s="1"/>
      <c r="E1011" s="14"/>
      <c r="F1011" s="15"/>
      <c r="G1011" s="16"/>
      <c r="H1011" s="11"/>
      <c r="I1011" s="7"/>
      <c r="J1011" s="7" t="str">
        <f>IFERROR(LET(_xlpm.v,
VLOOKUP($I1011,'用語辞書'!$A:$B,COLUMN('用語辞書'!B$1),FALSE),
IF(_xlpm.v=0,"",_xlpm.v)
),"")</f>
        <v/>
      </c>
      <c r="K1011" s="17"/>
      <c r="L1011" s="17" t="str">
        <f>IF(OR(COUNTIF('クラス'!$A$1:$A$1267,$B1011)&gt;0,$B1011="",$M1011=""),"",True)</f>
        <v/>
      </c>
      <c r="M1011" s="1" t="str">
        <f t="shared" si="22"/>
        <v>存在しない</v>
      </c>
      <c r="N1011" s="1" t="s">
        <v>29</v>
      </c>
      <c r="O1011" s="1"/>
      <c r="P1011" s="11"/>
      <c r="Q1011" s="11"/>
      <c r="R1011" s="11"/>
      <c r="S1011" s="11"/>
      <c r="T1011" s="1"/>
      <c r="U1011" s="1"/>
      <c r="V1011" s="1"/>
      <c r="W1011" s="1"/>
      <c r="X1011" s="1"/>
      <c r="Y1011" s="1"/>
      <c r="Z1011" s="1"/>
    </row>
    <row r="1012" ht="18.0" customHeight="1" outlineLevel="2">
      <c r="A1012" s="1">
        <v>3.0</v>
      </c>
      <c r="B1012" s="1" t="s">
        <v>1483</v>
      </c>
      <c r="C1012" s="1"/>
      <c r="D1012" s="1"/>
      <c r="E1012" s="14" t="s">
        <v>55</v>
      </c>
      <c r="F1012" s="15"/>
      <c r="G1012" s="16"/>
      <c r="H1012" s="11" t="s">
        <v>1484</v>
      </c>
      <c r="I1012" s="7"/>
      <c r="J1012" s="7" t="str">
        <f>IFERROR(LET(_xlpm.v,
VLOOKUP($I1012,'用語辞書'!$A:$B,COLUMN('用語辞書'!B$1),FALSE),
IF(_xlpm.v=0,"",_xlpm.v)
),"")</f>
        <v/>
      </c>
      <c r="K1012" s="17"/>
      <c r="L1012" s="17" t="b">
        <f>IF(OR(COUNTIF('クラス'!$A$1:$A$1267,$B1012)&gt;0,$B1012="",$M1012=""),"",True)</f>
        <v>1</v>
      </c>
      <c r="M1012" s="1" t="str">
        <f t="shared" si="22"/>
        <v>存在しない</v>
      </c>
      <c r="N1012" s="1" t="e">
        <v>#VALUE!</v>
      </c>
      <c r="O1012" s="1"/>
      <c r="P1012" s="11"/>
      <c r="Q1012" s="11"/>
      <c r="R1012" s="11"/>
      <c r="S1012" s="11"/>
      <c r="T1012" s="1"/>
      <c r="U1012" s="1"/>
      <c r="V1012" s="1"/>
      <c r="W1012" s="1"/>
      <c r="X1012" s="1"/>
      <c r="Y1012" s="1"/>
      <c r="Z1012" s="1"/>
    </row>
    <row r="1013" ht="18.0" customHeight="1" outlineLevel="2">
      <c r="A1013" s="1">
        <v>4.0</v>
      </c>
      <c r="B1013" s="1"/>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存在しない</v>
      </c>
      <c r="N1013" s="1" t="s">
        <v>29</v>
      </c>
      <c r="O1013" s="1"/>
      <c r="P1013" s="11"/>
      <c r="Q1013" s="11"/>
      <c r="R1013" s="11"/>
      <c r="S1013" s="11"/>
      <c r="T1013" s="1"/>
      <c r="U1013" s="1"/>
      <c r="V1013" s="1"/>
      <c r="W1013" s="1"/>
      <c r="X1013" s="1"/>
      <c r="Y1013" s="1"/>
      <c r="Z1013" s="1"/>
    </row>
    <row r="1014" ht="18.0" customHeight="1" outlineLevel="2">
      <c r="A1014" s="1">
        <v>5.0</v>
      </c>
      <c r="B1014" s="26" t="s">
        <v>458</v>
      </c>
      <c r="C1014" s="1"/>
      <c r="D1014" s="1"/>
      <c r="E1014" s="14"/>
      <c r="F1014" s="15"/>
      <c r="G1014" s="16"/>
      <c r="H1014" s="11"/>
      <c r="I1014" s="7"/>
      <c r="J1014" s="7" t="str">
        <f>IFERROR(LET(_xlpm.v,
VLOOKUP($I1014,'用語辞書'!$A:$B,COLUMN('用語辞書'!B$1),FALSE),
IF(_xlpm.v=0,"",_xlpm.v)
),"")</f>
        <v/>
      </c>
      <c r="K1014" s="17"/>
      <c r="L1014" s="17" t="str">
        <f>IF(OR(COUNTIF('クラス'!$A$1:$A$1267,$B1014)&gt;0,$B1014="",$M1014=""),"",True)</f>
        <v/>
      </c>
      <c r="M1014" s="1" t="str">
        <f t="shared" si="22"/>
        <v/>
      </c>
      <c r="N1014" s="1" t="s">
        <v>29</v>
      </c>
      <c r="O1014" s="1"/>
      <c r="P1014" s="11"/>
      <c r="Q1014" s="11"/>
      <c r="R1014" s="11"/>
      <c r="S1014" s="11"/>
      <c r="T1014" s="1"/>
      <c r="U1014" s="1"/>
      <c r="V1014" s="1"/>
      <c r="W1014" s="1"/>
      <c r="X1014" s="1"/>
      <c r="Y1014" s="1"/>
      <c r="Z1014" s="1"/>
    </row>
    <row r="1015" ht="18.0" customHeight="1" outlineLevel="2">
      <c r="A1015" s="1">
        <v>6.0</v>
      </c>
      <c r="B1015" s="1" t="s">
        <v>1485</v>
      </c>
      <c r="C1015" s="1"/>
      <c r="D1015" s="1"/>
      <c r="E1015" s="14" t="s">
        <v>55</v>
      </c>
      <c r="F1015" s="15"/>
      <c r="G1015" s="16"/>
      <c r="H1015" s="11" t="str">
        <f>"条件系統:"&amp;D1009&amp;" 魔力+30"</f>
        <v>条件系統:水 魔力+30</v>
      </c>
      <c r="I1015" s="7"/>
      <c r="J1015" s="7" t="str">
        <f>IFERROR(LET(_xlpm.v,
VLOOKUP($I1015,'用語辞書'!$A:$B,COLUMN('用語辞書'!B$1),FALSE),
IF(_xlpm.v=0,"",_xlpm.v)
),"")</f>
        <v/>
      </c>
      <c r="K1015" s="17"/>
      <c r="L1015" s="17" t="b">
        <f>IF(OR(COUNTIF('クラス'!$A$1:$A$1267,$B1015)&gt;0,$B1015="",$M1015=""),"",True)</f>
        <v>1</v>
      </c>
      <c r="M1015" s="1" t="str">
        <f t="shared" si="22"/>
        <v>存在しない</v>
      </c>
      <c r="N1015" s="1" t="e">
        <v>#VALUE!</v>
      </c>
      <c r="O1015" s="1"/>
      <c r="P1015" s="11"/>
      <c r="Q1015" s="11"/>
      <c r="R1015" s="11"/>
      <c r="S1015" s="11"/>
      <c r="T1015" s="1"/>
      <c r="U1015" s="1"/>
      <c r="V1015" s="1"/>
      <c r="W1015" s="1"/>
      <c r="X1015" s="1"/>
      <c r="Y1015" s="1"/>
      <c r="Z1015" s="1"/>
    </row>
    <row r="1016" ht="18.0" customHeight="1" outlineLevel="2">
      <c r="A1016" s="1">
        <v>7.0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8.0</v>
      </c>
      <c r="B1017" s="1"/>
      <c r="C1017" s="1"/>
      <c r="D1017" s="1"/>
      <c r="E1017" s="14"/>
      <c r="F1017" s="15"/>
      <c r="G1017" s="16"/>
      <c r="H1017" s="11"/>
      <c r="I1017" s="7"/>
      <c r="J1017" s="7" t="str">
        <f>IFERROR(LET(_xlpm.v,
VLOOKUP($I1017,'用語辞書'!$A:$B,COLUMN('用語辞書'!B$1),FALSE),
IF(_xlpm.v=0,"",_xlpm.v)
),"")</f>
        <v/>
      </c>
      <c r="K1017" s="17"/>
      <c r="L1017" s="17" t="str">
        <f>IF(OR(COUNTIF('クラス'!$A$1:$A$1267,$B1017)&gt;0,$B1017="",$M1017=""),"",True)</f>
        <v/>
      </c>
      <c r="M1017" s="1" t="str">
        <f t="shared" si="22"/>
        <v>存在しない</v>
      </c>
      <c r="N1017" s="1" t="s">
        <v>29</v>
      </c>
      <c r="O1017" s="1"/>
      <c r="P1017" s="11"/>
      <c r="Q1017" s="11"/>
      <c r="R1017" s="11"/>
      <c r="S1017" s="11"/>
      <c r="T1017" s="1"/>
      <c r="U1017" s="1"/>
      <c r="V1017" s="1"/>
      <c r="W1017" s="1"/>
      <c r="X1017" s="1"/>
      <c r="Y1017" s="1"/>
      <c r="Z1017" s="1"/>
    </row>
    <row r="1018" ht="18.0" customHeight="1" outlineLevel="2">
      <c r="A1018" s="1">
        <v>9.0</v>
      </c>
      <c r="B1018" s="1" t="s">
        <v>1486</v>
      </c>
      <c r="C1018" s="1"/>
      <c r="D1018" s="1"/>
      <c r="E1018" s="14" t="s">
        <v>55</v>
      </c>
      <c r="F1018" s="15"/>
      <c r="G1018" s="16"/>
      <c r="H1018" s="11" t="str">
        <f>"条件系統:"&amp;D1009&amp;" 攻撃+30"</f>
        <v>条件系統:水 攻撃+30</v>
      </c>
      <c r="I1018" s="7"/>
      <c r="J1018" s="7" t="str">
        <f>IFERROR(LET(_xlpm.v,
VLOOKUP($I1018,'用語辞書'!$A:$B,COLUMN('用語辞書'!B$1),FALSE),
IF(_xlpm.v=0,"",_xlpm.v)
),"")</f>
        <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v>10.0</v>
      </c>
      <c r="B1019" s="1" t="s">
        <v>1487</v>
      </c>
      <c r="C1019" s="1"/>
      <c r="D1019" s="1" t="s">
        <v>453</v>
      </c>
      <c r="E1019" s="14" t="s">
        <v>33</v>
      </c>
      <c r="F1019" s="15"/>
      <c r="G1019" s="16">
        <v>80.0</v>
      </c>
      <c r="H1019" s="11" t="s">
        <v>1488</v>
      </c>
      <c r="I1019" s="7" t="s">
        <v>1249</v>
      </c>
      <c r="J1019" s="7" t="str">
        <f>IFERROR(LET(_xlpm.v,
VLOOKUP($I1019,'用語辞書'!$A:$B,COLUMN('用語辞書'!B$1),FALSE),
IF(_xlpm.v=0,"",_xlpm.v)
),"")</f>
        <v>対象を後方へ移動させる</v>
      </c>
      <c r="K1019" s="17"/>
      <c r="L1019" s="17" t="b">
        <f>IF(OR(COUNTIF('クラス'!$A$1:$A$1267,$B1019)&gt;0,$B1019="",$M1019=""),"",True)</f>
        <v>1</v>
      </c>
      <c r="M1019" s="1" t="str">
        <f t="shared" si="22"/>
        <v>存在しない</v>
      </c>
      <c r="N1019" s="1" t="e">
        <v>#VALUE!</v>
      </c>
      <c r="O1019" s="1"/>
      <c r="P1019" s="11"/>
      <c r="Q1019" s="11"/>
      <c r="R1019" s="11"/>
      <c r="S1019" s="11"/>
      <c r="T1019" s="1"/>
      <c r="U1019" s="1"/>
      <c r="V1019" s="1"/>
      <c r="W1019" s="1"/>
      <c r="X1019" s="1"/>
      <c r="Y1019" s="1"/>
      <c r="Z1019" s="1"/>
    </row>
    <row r="1020" ht="18.0" customHeight="1" outlineLevel="2">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ollapsed="1">
      <c r="A1021" s="1"/>
      <c r="B1021" s="1"/>
      <c r="C1021" s="1"/>
      <c r="D1021" s="1"/>
      <c r="E1021" s="14"/>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1">
      <c r="A1022" s="1"/>
      <c r="B1022" s="1" t="s">
        <v>1489</v>
      </c>
      <c r="C1022" s="1"/>
      <c r="D1022" s="1" t="s">
        <v>908</v>
      </c>
      <c r="E1022" s="14" t="s">
        <v>1490</v>
      </c>
      <c r="F1022" s="15"/>
      <c r="G1022" s="16"/>
      <c r="H1022" s="11"/>
      <c r="I1022" s="7"/>
      <c r="J1022" s="7" t="str">
        <f>IFERROR(LET(_xlpm.v,
VLOOKUP($I1022,'用語辞書'!$A:$B,COLUMN('用語辞書'!B$1),FALSE),
IF(_xlpm.v=0,"",_xlpm.v)
),"")</f>
        <v/>
      </c>
      <c r="K1022" s="17"/>
      <c r="L1022" s="17" t="str">
        <f>IF(OR(COUNTIF('クラス'!$A$1:$A$1267,$B1022)&gt;0,$B1022="",$M1022=""),"",True)</f>
        <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1.0</v>
      </c>
      <c r="B1023" s="1" t="str">
        <f>D1022&amp;"の拳"</f>
        <v>風の拳</v>
      </c>
      <c r="C1023" s="1"/>
      <c r="D1023" s="1" t="str">
        <f>D1022</f>
        <v>風</v>
      </c>
      <c r="E1023" s="14" t="s">
        <v>33</v>
      </c>
      <c r="F1023" s="15"/>
      <c r="G1023" s="16">
        <v>60.0</v>
      </c>
      <c r="H1023" s="11" t="str">
        <f>"攻撃手段:素手 物理+15 "&amp;E1022&amp;"+25 判定:攻撃"</f>
        <v>攻撃手段:素手 物理+15 怯み+25 判定:攻撃</v>
      </c>
      <c r="I1023" s="7"/>
      <c r="J1023" s="7" t="str">
        <f>IFERROR(LET(_xlpm.v,
VLOOKUP($I1023,'用語辞書'!$A:$B,COLUMN('用語辞書'!B$1),FALSE),
IF(_xlpm.v=0,"",_xlpm.v)
),"")</f>
        <v/>
      </c>
      <c r="K1023" s="17"/>
      <c r="L1023" s="17" t="b">
        <f>IF(OR(COUNTIF('クラス'!$A$1:$A$1267,$B1023)&gt;0,$B1023="",$M1023=""),"",True)</f>
        <v>1</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2.0</v>
      </c>
      <c r="B1024" s="1"/>
      <c r="C1024" s="1"/>
      <c r="D1024" s="1"/>
      <c r="E1024" s="14"/>
      <c r="F1024" s="15"/>
      <c r="G1024" s="16"/>
      <c r="H1024" s="11"/>
      <c r="I1024" s="7"/>
      <c r="J1024" s="7" t="str">
        <f>IFERROR(LET(_xlpm.v,
VLOOKUP($I1024,'用語辞書'!$A:$B,COLUMN('用語辞書'!B$1),FALSE),
IF(_xlpm.v=0,"",_xlpm.v)
),"")</f>
        <v/>
      </c>
      <c r="K1024" s="17"/>
      <c r="L1024" s="17" t="str">
        <f>IF(OR(COUNTIF('クラス'!$A$1:$A$1267,$B1024)&gt;0,$B1024="",$M1024=""),"",True)</f>
        <v/>
      </c>
      <c r="M1024" s="1" t="str">
        <f t="shared" si="22"/>
        <v>存在しない</v>
      </c>
      <c r="N1024" s="1" t="s">
        <v>29</v>
      </c>
      <c r="O1024" s="1"/>
      <c r="P1024" s="11"/>
      <c r="Q1024" s="11"/>
      <c r="R1024" s="11"/>
      <c r="S1024" s="11"/>
      <c r="T1024" s="1"/>
      <c r="U1024" s="1"/>
      <c r="V1024" s="1"/>
      <c r="W1024" s="1"/>
      <c r="X1024" s="1"/>
      <c r="Y1024" s="1"/>
      <c r="Z1024" s="1"/>
    </row>
    <row r="1025" ht="18.0" customHeight="1" outlineLevel="2">
      <c r="A1025" s="1">
        <v>3.0</v>
      </c>
      <c r="B1025" s="1" t="s">
        <v>1296</v>
      </c>
      <c r="C1025" s="1"/>
      <c r="D1025" s="1"/>
      <c r="E1025" s="14" t="s">
        <v>55</v>
      </c>
      <c r="F1025" s="15"/>
      <c r="G1025" s="16"/>
      <c r="H1025" s="11" t="s">
        <v>1478</v>
      </c>
      <c r="I1025" s="7"/>
      <c r="J1025" s="7" t="str">
        <f>IFERROR(LET(_xlpm.v,
VLOOKUP($I1025,'用語辞書'!$A:$B,COLUMN('用語辞書'!B$1),FALSE),
IF(_xlpm.v=0,"",_xlpm.v)
),"")</f>
        <v/>
      </c>
      <c r="K1025" s="17"/>
      <c r="L1025" s="17" t="str">
        <f>IF(OR(COUNTIF('クラス'!$A$1:$A$1267,$B1025)&gt;0,$B1025="",$M1025=""),"",True)</f>
        <v/>
      </c>
      <c r="M1025" s="1" t="str">
        <f t="shared" si="22"/>
        <v/>
      </c>
      <c r="N1025" s="1" t="s">
        <v>29</v>
      </c>
      <c r="O1025" s="1"/>
      <c r="P1025" s="11"/>
      <c r="Q1025" s="11"/>
      <c r="R1025" s="11"/>
      <c r="S1025" s="11"/>
      <c r="T1025" s="1"/>
      <c r="U1025" s="1"/>
      <c r="V1025" s="1"/>
      <c r="W1025" s="1"/>
      <c r="X1025" s="1"/>
      <c r="Y1025" s="1"/>
      <c r="Z1025" s="1"/>
    </row>
    <row r="1026" ht="18.0" customHeight="1" outlineLevel="2">
      <c r="A1026" s="1">
        <v>4.0</v>
      </c>
      <c r="B1026" s="1"/>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存在しない</v>
      </c>
      <c r="N1026" s="1" t="s">
        <v>29</v>
      </c>
      <c r="O1026" s="1"/>
      <c r="P1026" s="11"/>
      <c r="Q1026" s="11"/>
      <c r="R1026" s="11"/>
      <c r="S1026" s="11"/>
      <c r="T1026" s="1"/>
      <c r="U1026" s="1"/>
      <c r="V1026" s="1"/>
      <c r="W1026" s="1"/>
      <c r="X1026" s="1"/>
      <c r="Y1026" s="1"/>
      <c r="Z1026" s="1"/>
    </row>
    <row r="1027" ht="18.0" customHeight="1" outlineLevel="2">
      <c r="A1027" s="1">
        <v>5.0</v>
      </c>
      <c r="B1027" s="26" t="s">
        <v>898</v>
      </c>
      <c r="C1027" s="1"/>
      <c r="D1027" s="1"/>
      <c r="E1027" s="14"/>
      <c r="F1027" s="15"/>
      <c r="G1027" s="16"/>
      <c r="H1027" s="11"/>
      <c r="I1027" s="7"/>
      <c r="J1027" s="7" t="str">
        <f>IFERROR(LET(_xlpm.v,
VLOOKUP($I1027,'用語辞書'!$A:$B,COLUMN('用語辞書'!B$1),FALSE),
IF(_xlpm.v=0,"",_xlpm.v)
),"")</f>
        <v/>
      </c>
      <c r="K1027" s="17"/>
      <c r="L1027" s="17" t="str">
        <f>IF(OR(COUNTIF('クラス'!$A$1:$A$1267,$B1027)&gt;0,$B1027="",$M1027=""),"",True)</f>
        <v/>
      </c>
      <c r="M1027" s="1" t="str">
        <f t="shared" si="22"/>
        <v/>
      </c>
      <c r="N1027" s="1" t="s">
        <v>29</v>
      </c>
      <c r="O1027" s="1"/>
      <c r="P1027" s="11"/>
      <c r="Q1027" s="11"/>
      <c r="R1027" s="11"/>
      <c r="S1027" s="11"/>
      <c r="T1027" s="1"/>
      <c r="U1027" s="1"/>
      <c r="V1027" s="1"/>
      <c r="W1027" s="1"/>
      <c r="X1027" s="1"/>
      <c r="Y1027" s="1"/>
      <c r="Z1027" s="1"/>
    </row>
    <row r="1028" ht="18.0" customHeight="1" outlineLevel="2">
      <c r="A1028" s="1">
        <v>6.0</v>
      </c>
      <c r="B1028" s="1" t="str">
        <f>D1022&amp;"の魔力"</f>
        <v>風の魔力</v>
      </c>
      <c r="C1028" s="1"/>
      <c r="D1028" s="1"/>
      <c r="E1028" s="14" t="s">
        <v>55</v>
      </c>
      <c r="F1028" s="15"/>
      <c r="G1028" s="16"/>
      <c r="H1028" s="11" t="str">
        <f>"条件系統:"&amp;D1022&amp;" 魔力+30"</f>
        <v>条件系統:風 魔力+30</v>
      </c>
      <c r="I1028" s="7"/>
      <c r="J1028" s="7" t="str">
        <f>IFERROR(LET(_xlpm.v,
VLOOKUP($I1028,'用語辞書'!$A:$B,COLUMN('用語辞書'!B$1),FALSE),
IF(_xlpm.v=0,"",_xlpm.v)
),"")</f>
        <v/>
      </c>
      <c r="K1028" s="17"/>
      <c r="L1028" s="17" t="b">
        <f>IF(OR(COUNTIF('クラス'!$A$1:$A$1267,$B1028)&gt;0,$B1028="",$M1028=""),"",True)</f>
        <v>1</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7.0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8.0</v>
      </c>
      <c r="B1030" s="1"/>
      <c r="C1030" s="1"/>
      <c r="D1030" s="1"/>
      <c r="E1030" s="14"/>
      <c r="F1030" s="15"/>
      <c r="G1030" s="16"/>
      <c r="H1030" s="11"/>
      <c r="I1030" s="7"/>
      <c r="J1030" s="7" t="str">
        <f>IFERROR(LET(_xlpm.v,
VLOOKUP($I1030,'用語辞書'!$A:$B,COLUMN('用語辞書'!B$1),FALSE),
IF(_xlpm.v=0,"",_xlpm.v)
),"")</f>
        <v/>
      </c>
      <c r="K1030" s="17"/>
      <c r="L1030" s="17" t="str">
        <f>IF(OR(COUNTIF('クラス'!$A$1:$A$1267,$B1030)&gt;0,$B1030="",$M1030=""),"",True)</f>
        <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9.0</v>
      </c>
      <c r="B1031" s="1" t="str">
        <f>D1022&amp;"の力"</f>
        <v>風の力</v>
      </c>
      <c r="C1031" s="1"/>
      <c r="D1031" s="1"/>
      <c r="E1031" s="14" t="s">
        <v>55</v>
      </c>
      <c r="F1031" s="15"/>
      <c r="G1031" s="16"/>
      <c r="H1031" s="11" t="str">
        <f>"条件系統:"&amp;D1022&amp;" 攻撃+30"</f>
        <v>条件系統:風 攻撃+30</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v>10.0</v>
      </c>
      <c r="B1032" s="1" t="str">
        <f>D1022&amp;"の吐息"</f>
        <v>風の吐息</v>
      </c>
      <c r="C1032" s="1"/>
      <c r="D1032" s="1" t="str">
        <f>D1022</f>
        <v>風</v>
      </c>
      <c r="E1032" s="14" t="s">
        <v>33</v>
      </c>
      <c r="F1032" s="15"/>
      <c r="G1032" s="16">
        <v>80.0</v>
      </c>
      <c r="H1032" s="11" t="str">
        <f>"攻撃手段:吐息 "&amp;E1022&amp;"+45 射程:20 範囲:放射"</f>
        <v>攻撃手段:吐息 怯み+45 射程:20 範囲:放射</v>
      </c>
      <c r="I1032" s="7"/>
      <c r="J1032" s="7" t="str">
        <f>IFERROR(LET(_xlpm.v,
VLOOKUP($I1032,'用語辞書'!$A:$B,COLUMN('用語辞書'!B$1),FALSE),
IF(_xlpm.v=0,"",_xlpm.v)
),"")</f>
        <v/>
      </c>
      <c r="K1032" s="17"/>
      <c r="L1032" s="17" t="b">
        <f>IF(OR(COUNTIF('クラス'!$A$1:$A$1267,$B1032)&gt;0,$B1032="",$M1032=""),"",True)</f>
        <v>1</v>
      </c>
      <c r="M1032" s="1" t="str">
        <f t="shared" si="22"/>
        <v>存在しない</v>
      </c>
      <c r="N1032" s="1" t="s">
        <v>29</v>
      </c>
      <c r="O1032" s="1"/>
      <c r="P1032" s="11"/>
      <c r="Q1032" s="11"/>
      <c r="R1032" s="11"/>
      <c r="S1032" s="11"/>
      <c r="T1032" s="1"/>
      <c r="U1032" s="1"/>
      <c r="V1032" s="1"/>
      <c r="W1032" s="1"/>
      <c r="X1032" s="1"/>
      <c r="Y1032" s="1"/>
      <c r="Z1032" s="1"/>
    </row>
    <row r="1033" ht="18.0" customHeight="1" outlineLevel="2">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ollapsed="1">
      <c r="A1034" s="1"/>
      <c r="B1034" s="1"/>
      <c r="C1034" s="1"/>
      <c r="D1034" s="1"/>
      <c r="E1034" s="14"/>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1">
      <c r="A1035" s="1"/>
      <c r="B1035" s="1" t="s">
        <v>1491</v>
      </c>
      <c r="C1035" s="1"/>
      <c r="D1035" s="1" t="s">
        <v>965</v>
      </c>
      <c r="E1035" s="14" t="s">
        <v>1492</v>
      </c>
      <c r="F1035" s="15"/>
      <c r="G1035" s="16"/>
      <c r="H1035" s="11"/>
      <c r="I1035" s="7"/>
      <c r="J1035" s="7" t="str">
        <f>IFERROR(LET(_xlpm.v,
VLOOKUP($I1035,'用語辞書'!$A:$B,COLUMN('用語辞書'!B$1),FALSE),
IF(_xlpm.v=0,"",_xlpm.v)
),"")</f>
        <v/>
      </c>
      <c r="K1035" s="17"/>
      <c r="L1035" s="17" t="str">
        <f>IF(OR(COUNTIF('クラス'!$A$1:$A$1267,$B1035)&gt;0,$B1035="",$M1035=""),"",True)</f>
        <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1.0</v>
      </c>
      <c r="B1036" s="1" t="str">
        <f>D1035&amp;"の拳"</f>
        <v>地の拳</v>
      </c>
      <c r="C1036" s="1"/>
      <c r="D1036" s="1" t="str">
        <f>D1035</f>
        <v>地</v>
      </c>
      <c r="E1036" s="14" t="s">
        <v>33</v>
      </c>
      <c r="F1036" s="15"/>
      <c r="G1036" s="16">
        <v>60.0</v>
      </c>
      <c r="H1036" s="11" t="str">
        <f>"攻撃手段:素手 物理+15 "&amp;E1035&amp;"+25 判定:攻撃"</f>
        <v>攻撃手段:素手 物理+15 ガード+25 判定:攻撃</v>
      </c>
      <c r="I1036" s="7"/>
      <c r="J1036" s="7" t="str">
        <f>IFERROR(LET(_xlpm.v,
VLOOKUP($I1036,'用語辞書'!$A:$B,COLUMN('用語辞書'!B$1),FALSE),
IF(_xlpm.v=0,"",_xlpm.v)
),"")</f>
        <v/>
      </c>
      <c r="K1036" s="17"/>
      <c r="L1036" s="17" t="b">
        <f>IF(OR(COUNTIF('クラス'!$A$1:$A$1267,$B1036)&gt;0,$B1036="",$M1036=""),"",True)</f>
        <v>1</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2.0</v>
      </c>
      <c r="B1037" s="1"/>
      <c r="C1037" s="1"/>
      <c r="D1037" s="1"/>
      <c r="E1037" s="14"/>
      <c r="F1037" s="15"/>
      <c r="G1037" s="16"/>
      <c r="H1037" s="11"/>
      <c r="I1037" s="7"/>
      <c r="J1037" s="7" t="str">
        <f>IFERROR(LET(_xlpm.v,
VLOOKUP($I1037,'用語辞書'!$A:$B,COLUMN('用語辞書'!B$1),FALSE),
IF(_xlpm.v=0,"",_xlpm.v)
),"")</f>
        <v/>
      </c>
      <c r="K1037" s="17"/>
      <c r="L1037" s="17" t="str">
        <f>IF(OR(COUNTIF('クラス'!$A$1:$A$1267,$B1037)&gt;0,$B1037="",$M1037=""),"",True)</f>
        <v/>
      </c>
      <c r="M1037" s="1" t="str">
        <f t="shared" si="22"/>
        <v>存在しない</v>
      </c>
      <c r="N1037" s="1" t="s">
        <v>29</v>
      </c>
      <c r="O1037" s="1"/>
      <c r="P1037" s="11"/>
      <c r="Q1037" s="11"/>
      <c r="R1037" s="11"/>
      <c r="S1037" s="11"/>
      <c r="T1037" s="1"/>
      <c r="U1037" s="1"/>
      <c r="V1037" s="1"/>
      <c r="W1037" s="1"/>
      <c r="X1037" s="1"/>
      <c r="Y1037" s="1"/>
      <c r="Z1037" s="1"/>
    </row>
    <row r="1038" ht="18.0" customHeight="1" outlineLevel="2">
      <c r="A1038" s="1">
        <v>3.0</v>
      </c>
      <c r="B1038" s="1" t="s">
        <v>1296</v>
      </c>
      <c r="C1038" s="1"/>
      <c r="D1038" s="1"/>
      <c r="E1038" s="14" t="s">
        <v>55</v>
      </c>
      <c r="F1038" s="15"/>
      <c r="G1038" s="16"/>
      <c r="H1038" s="11" t="s">
        <v>1478</v>
      </c>
      <c r="I1038" s="7"/>
      <c r="J1038" s="7" t="str">
        <f>IFERROR(LET(_xlpm.v,
VLOOKUP($I1038,'用語辞書'!$A:$B,COLUMN('用語辞書'!B$1),FALSE),
IF(_xlpm.v=0,"",_xlpm.v)
),"")</f>
        <v/>
      </c>
      <c r="K1038" s="17"/>
      <c r="L1038" s="17" t="str">
        <f>IF(OR(COUNTIF('クラス'!$A$1:$A$1267,$B1038)&gt;0,$B1038="",$M1038=""),"",True)</f>
        <v/>
      </c>
      <c r="M1038" s="1" t="str">
        <f t="shared" si="22"/>
        <v/>
      </c>
      <c r="N1038" s="1" t="s">
        <v>29</v>
      </c>
      <c r="O1038" s="1"/>
      <c r="P1038" s="11"/>
      <c r="Q1038" s="11"/>
      <c r="R1038" s="11"/>
      <c r="S1038" s="11"/>
      <c r="T1038" s="1"/>
      <c r="U1038" s="1"/>
      <c r="V1038" s="1"/>
      <c r="W1038" s="1"/>
      <c r="X1038" s="1"/>
      <c r="Y1038" s="1"/>
      <c r="Z1038" s="1"/>
    </row>
    <row r="1039" ht="18.0" customHeight="1" outlineLevel="2">
      <c r="A1039" s="1">
        <v>4.0</v>
      </c>
      <c r="B1039" s="1"/>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存在しない</v>
      </c>
      <c r="N1039" s="1" t="s">
        <v>29</v>
      </c>
      <c r="O1039" s="1"/>
      <c r="P1039" s="11"/>
      <c r="Q1039" s="11"/>
      <c r="R1039" s="11"/>
      <c r="S1039" s="11"/>
      <c r="T1039" s="1"/>
      <c r="U1039" s="1"/>
      <c r="V1039" s="1"/>
      <c r="W1039" s="1"/>
      <c r="X1039" s="1"/>
      <c r="Y1039" s="1"/>
      <c r="Z1039" s="1"/>
    </row>
    <row r="1040" ht="18.0" customHeight="1" outlineLevel="2">
      <c r="A1040" s="1">
        <v>5.0</v>
      </c>
      <c r="B1040" s="26" t="s">
        <v>966</v>
      </c>
      <c r="C1040" s="1"/>
      <c r="D1040" s="1"/>
      <c r="E1040" s="14"/>
      <c r="F1040" s="15"/>
      <c r="G1040" s="16"/>
      <c r="H1040" s="11"/>
      <c r="I1040" s="7"/>
      <c r="J1040" s="7" t="str">
        <f>IFERROR(LET(_xlpm.v,
VLOOKUP($I1040,'用語辞書'!$A:$B,COLUMN('用語辞書'!B$1),FALSE),
IF(_xlpm.v=0,"",_xlpm.v)
),"")</f>
        <v/>
      </c>
      <c r="K1040" s="17"/>
      <c r="L1040" s="17" t="str">
        <f>IF(OR(COUNTIF('クラス'!$A$1:$A$1267,$B1040)&gt;0,$B1040="",$M1040=""),"",True)</f>
        <v/>
      </c>
      <c r="M1040" s="1" t="str">
        <f t="shared" si="22"/>
        <v/>
      </c>
      <c r="N1040" s="1" t="s">
        <v>29</v>
      </c>
      <c r="O1040" s="1"/>
      <c r="P1040" s="11"/>
      <c r="Q1040" s="11"/>
      <c r="R1040" s="11"/>
      <c r="S1040" s="11"/>
      <c r="T1040" s="1"/>
      <c r="U1040" s="1"/>
      <c r="V1040" s="1"/>
      <c r="W1040" s="1"/>
      <c r="X1040" s="1"/>
      <c r="Y1040" s="1"/>
      <c r="Z1040" s="1"/>
    </row>
    <row r="1041" ht="18.0" customHeight="1" outlineLevel="2">
      <c r="A1041" s="1">
        <v>6.0</v>
      </c>
      <c r="B1041" s="1" t="str">
        <f>D1035&amp;"の魔力"</f>
        <v>地の魔力</v>
      </c>
      <c r="C1041" s="1"/>
      <c r="D1041" s="1"/>
      <c r="E1041" s="14" t="s">
        <v>55</v>
      </c>
      <c r="F1041" s="15"/>
      <c r="G1041" s="16"/>
      <c r="H1041" s="11" t="str">
        <f>"条件系統:"&amp;D1035&amp;" 魔力+30"</f>
        <v>条件系統:地 魔力+30</v>
      </c>
      <c r="I1041" s="7"/>
      <c r="J1041" s="7" t="str">
        <f>IFERROR(LET(_xlpm.v,
VLOOKUP($I1041,'用語辞書'!$A:$B,COLUMN('用語辞書'!B$1),FALSE),
IF(_xlpm.v=0,"",_xlpm.v)
),"")</f>
        <v/>
      </c>
      <c r="K1041" s="17"/>
      <c r="L1041" s="17" t="b">
        <f>IF(OR(COUNTIF('クラス'!$A$1:$A$1267,$B1041)&gt;0,$B1041="",$M1041=""),"",True)</f>
        <v>1</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7.0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8.0</v>
      </c>
      <c r="B1043" s="1"/>
      <c r="C1043" s="1"/>
      <c r="D1043" s="1"/>
      <c r="E1043" s="14"/>
      <c r="F1043" s="15"/>
      <c r="G1043" s="16"/>
      <c r="H1043" s="11"/>
      <c r="I1043" s="7"/>
      <c r="J1043" s="7" t="str">
        <f>IFERROR(LET(_xlpm.v,
VLOOKUP($I1043,'用語辞書'!$A:$B,COLUMN('用語辞書'!B$1),FALSE),
IF(_xlpm.v=0,"",_xlpm.v)
),"")</f>
        <v/>
      </c>
      <c r="K1043" s="17"/>
      <c r="L1043" s="17" t="str">
        <f>IF(OR(COUNTIF('クラス'!$A$1:$A$1267,$B1043)&gt;0,$B1043="",$M1043=""),"",True)</f>
        <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9.0</v>
      </c>
      <c r="B1044" s="1" t="str">
        <f>D1035&amp;"の力"</f>
        <v>地の力</v>
      </c>
      <c r="C1044" s="1"/>
      <c r="D1044" s="1"/>
      <c r="E1044" s="14" t="s">
        <v>55</v>
      </c>
      <c r="F1044" s="15"/>
      <c r="G1044" s="16"/>
      <c r="H1044" s="11" t="str">
        <f>"条件系統:"&amp;D1035&amp;" 攻撃+30"</f>
        <v>条件系統:地 攻撃+30</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outlineLevel="2">
      <c r="A1045" s="1">
        <v>10.0</v>
      </c>
      <c r="B1045" s="1" t="str">
        <f>"石礫の吐息"</f>
        <v>石礫の吐息</v>
      </c>
      <c r="C1045" s="1"/>
      <c r="D1045" s="1" t="str">
        <f>D1035</f>
        <v>地</v>
      </c>
      <c r="E1045" s="14" t="s">
        <v>33</v>
      </c>
      <c r="F1045" s="15"/>
      <c r="G1045" s="16">
        <v>80.0</v>
      </c>
      <c r="H1045" s="11" t="str">
        <f>"攻撃手段:吐息 物理+35 怯み+20 射程:20 範囲:放射"</f>
        <v>攻撃手段:吐息 物理+35 怯み+20 射程:20 範囲:放射</v>
      </c>
      <c r="I1045" s="7"/>
      <c r="J1045" s="7" t="str">
        <f>IFERROR(LET(_xlpm.v,
VLOOKUP($I1045,'用語辞書'!$A:$B,COLUMN('用語辞書'!B$1),FALSE),
IF(_xlpm.v=0,"",_xlpm.v)
),"")</f>
        <v/>
      </c>
      <c r="K1045" s="17"/>
      <c r="L1045" s="17" t="b">
        <f>IF(OR(COUNTIF('クラス'!$A$1:$A$1267,$B1045)&gt;0,$B1045="",$M1045=""),"",True)</f>
        <v>1</v>
      </c>
      <c r="M1045" s="1" t="str">
        <f t="shared" si="22"/>
        <v>存在しない</v>
      </c>
      <c r="N1045" s="1" t="s">
        <v>29</v>
      </c>
      <c r="O1045" s="1"/>
      <c r="P1045" s="11"/>
      <c r="Q1045" s="11"/>
      <c r="R1045" s="11"/>
      <c r="S1045" s="11"/>
      <c r="T1045" s="1"/>
      <c r="U1045" s="1"/>
      <c r="V1045" s="1"/>
      <c r="W1045" s="1"/>
      <c r="X1045" s="1"/>
      <c r="Y1045" s="1"/>
      <c r="Z1045" s="1"/>
    </row>
    <row r="1046" ht="18.0" customHeight="1" collapsed="1">
      <c r="A1046" s="1"/>
      <c r="B1046" s="1"/>
      <c r="C1046" s="1"/>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c r="A1047" s="1"/>
      <c r="B1047" s="1"/>
      <c r="C1047" s="26" t="s">
        <v>1493</v>
      </c>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1">
      <c r="A1048" s="1"/>
      <c r="B1048" s="1" t="s">
        <v>1494</v>
      </c>
      <c r="C1048" s="1"/>
      <c r="D1048" s="1"/>
      <c r="E1048" s="14"/>
      <c r="F1048" s="15"/>
      <c r="G1048" s="16"/>
      <c r="H1048" s="11"/>
      <c r="I1048" s="7"/>
      <c r="J1048" s="7" t="str">
        <f>IFERROR(LET(_xlpm.v,
VLOOKUP($I1048,'用語辞書'!$A:$B,COLUMN('用語辞書'!B$1),FALSE),
IF(_xlpm.v=0,"",_xlpm.v)
),"")</f>
        <v/>
      </c>
      <c r="K1048" s="17"/>
      <c r="L1048" s="17" t="str">
        <f>IF(OR(COUNTIF('クラス'!$A$1:$A$1267,$B1048)&gt;0,$B1048="",$M1048=""),"",True)</f>
        <v/>
      </c>
      <c r="M1048" s="1" t="str">
        <f t="shared" si="22"/>
        <v>存在しない</v>
      </c>
      <c r="N1048" s="1" t="s">
        <v>29</v>
      </c>
      <c r="O1048" s="1"/>
      <c r="P1048" s="11"/>
      <c r="Q1048" s="11"/>
      <c r="R1048" s="11"/>
      <c r="S1048" s="11"/>
      <c r="T1048" s="1"/>
      <c r="U1048" s="1"/>
      <c r="V1048" s="1"/>
      <c r="W1048" s="1"/>
      <c r="X1048" s="1"/>
      <c r="Y1048" s="1"/>
      <c r="Z1048" s="1"/>
    </row>
    <row r="1049" ht="18.0" customHeight="1" outlineLevel="2">
      <c r="A1049" s="1">
        <v>1.0</v>
      </c>
      <c r="B1049" s="1" t="s">
        <v>37</v>
      </c>
      <c r="C1049" s="1"/>
      <c r="D1049" s="1"/>
      <c r="E1049" s="14" t="s">
        <v>33</v>
      </c>
      <c r="F1049" s="15"/>
      <c r="G1049" s="16">
        <v>40.0</v>
      </c>
      <c r="H1049" s="11" t="s">
        <v>1495</v>
      </c>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2.0</v>
      </c>
      <c r="B1050" s="1" t="s">
        <v>35</v>
      </c>
      <c r="C1050" s="1"/>
      <c r="D1050" s="1"/>
      <c r="E1050" s="14" t="s">
        <v>33</v>
      </c>
      <c r="F1050" s="15"/>
      <c r="G1050" s="16">
        <v>40.0</v>
      </c>
      <c r="H1050" s="11"/>
      <c r="I1050" s="7"/>
      <c r="J1050" s="7" t="str">
        <f>IFERROR(LET(_xlpm.v,
VLOOKUP($I1050,'用語辞書'!$A:$B,COLUMN('用語辞書'!B$1),FALSE),
IF(_xlpm.v=0,"",_xlpm.v)
),"")</f>
        <v/>
      </c>
      <c r="K1050" s="17"/>
      <c r="L1050" s="17" t="str">
        <f>IF(OR(COUNTIF('クラス'!$A$1:$A$1267,$B1050)&gt;0,$B1050="",$M1050=""),"",True)</f>
        <v/>
      </c>
      <c r="M1050" s="1" t="str">
        <f t="shared" si="22"/>
        <v/>
      </c>
      <c r="N1050" s="1" t="s">
        <v>29</v>
      </c>
      <c r="O1050" s="1"/>
      <c r="P1050" s="11"/>
      <c r="Q1050" s="11"/>
      <c r="R1050" s="11"/>
      <c r="S1050" s="11"/>
      <c r="T1050" s="1"/>
      <c r="U1050" s="1"/>
      <c r="V1050" s="1"/>
      <c r="W1050" s="1"/>
      <c r="X1050" s="1"/>
      <c r="Y1050" s="1"/>
      <c r="Z1050" s="1"/>
    </row>
    <row r="1051" ht="18.0" customHeight="1" outlineLevel="2">
      <c r="A1051" s="1">
        <v>3.0</v>
      </c>
      <c r="B1051" s="26" t="s">
        <v>1496</v>
      </c>
      <c r="C1051" s="1"/>
      <c r="D1051" s="1"/>
      <c r="E1051" s="29" t="s">
        <v>55</v>
      </c>
      <c r="F1051" s="15"/>
      <c r="G1051" s="16"/>
      <c r="H1051" s="22" t="s">
        <v>1497</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4.0</v>
      </c>
      <c r="B1052" s="26" t="s">
        <v>1498</v>
      </c>
      <c r="C1052" s="1"/>
      <c r="D1052" s="1"/>
      <c r="E1052" s="29" t="s">
        <v>33</v>
      </c>
      <c r="F1052" s="15"/>
      <c r="G1052" s="30">
        <v>60.0</v>
      </c>
      <c r="H1052" s="22" t="s">
        <v>1499</v>
      </c>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5.0</v>
      </c>
      <c r="B1053" s="26" t="s">
        <v>1500</v>
      </c>
      <c r="C1053" s="1"/>
      <c r="D1053" s="1"/>
      <c r="E1053" s="14"/>
      <c r="F1053" s="15"/>
      <c r="G1053" s="16"/>
      <c r="H1053" s="11"/>
      <c r="I1053" s="7"/>
      <c r="J1053" s="7" t="str">
        <f>IFERROR(LET(_xlpm.v,
VLOOKUP($I1053,'用語辞書'!$A:$B,COLUMN('用語辞書'!B$1),FALSE),
IF(_xlpm.v=0,"",_xlpm.v)
),"")</f>
        <v/>
      </c>
      <c r="K1053" s="17"/>
      <c r="L1053" s="17" t="b">
        <f>IF(OR(COUNTIF('クラス'!$A$1:$A$1267,$B1053)&gt;0,$B1053="",$M1053=""),"",True)</f>
        <v>1</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6.0</v>
      </c>
      <c r="B1054" s="1"/>
      <c r="C1054" s="1"/>
      <c r="D1054" s="1"/>
      <c r="E1054" s="14" t="s">
        <v>55</v>
      </c>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存在しない</v>
      </c>
      <c r="N1054" s="1" t="s">
        <v>29</v>
      </c>
      <c r="O1054" s="1"/>
      <c r="P1054" s="11"/>
      <c r="Q1054" s="11"/>
      <c r="R1054" s="11"/>
      <c r="S1054" s="11"/>
      <c r="T1054" s="1"/>
      <c r="U1054" s="1"/>
      <c r="V1054" s="1"/>
      <c r="W1054" s="1"/>
      <c r="X1054" s="1"/>
      <c r="Y1054" s="1"/>
      <c r="Z1054" s="1"/>
    </row>
    <row r="1055" ht="18.0" customHeight="1" outlineLevel="2">
      <c r="A1055" s="1">
        <v>7.0</v>
      </c>
      <c r="B1055" s="26" t="s">
        <v>1209</v>
      </c>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
      </c>
      <c r="N1055" s="1" t="s">
        <v>29</v>
      </c>
      <c r="O1055" s="1"/>
      <c r="P1055" s="11"/>
      <c r="Q1055" s="11"/>
      <c r="R1055" s="11"/>
      <c r="S1055" s="11"/>
      <c r="T1055" s="1"/>
      <c r="U1055" s="1"/>
      <c r="V1055" s="1"/>
      <c r="W1055" s="1"/>
      <c r="X1055" s="1"/>
      <c r="Y1055" s="1"/>
      <c r="Z1055" s="1"/>
    </row>
    <row r="1056" ht="18.0" customHeight="1" outlineLevel="2">
      <c r="A1056" s="1">
        <v>8.0</v>
      </c>
      <c r="B1056" s="1"/>
      <c r="C1056" s="1"/>
      <c r="D1056" s="1"/>
      <c r="E1056" s="14"/>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9.0</v>
      </c>
      <c r="B1057" s="1"/>
      <c r="C1057" s="1"/>
      <c r="D1057" s="1"/>
      <c r="E1057" s="14" t="s">
        <v>55</v>
      </c>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v>10.0</v>
      </c>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2">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ollapsed="1">
      <c r="A1060" s="1"/>
      <c r="B1060" s="1"/>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1">
      <c r="A1061" s="1"/>
      <c r="B1061" s="1" t="s">
        <v>1501</v>
      </c>
      <c r="C1061" s="1"/>
      <c r="D1061" s="1"/>
      <c r="E1061" s="14"/>
      <c r="F1061" s="15"/>
      <c r="G1061" s="16"/>
      <c r="H1061" s="11"/>
      <c r="I1061" s="7"/>
      <c r="J1061" s="7" t="str">
        <f>IFERROR(LET(_xlpm.v,
VLOOKUP($I1061,'用語辞書'!$A:$B,COLUMN('用語辞書'!B$1),FALSE),
IF(_xlpm.v=0,"",_xlpm.v)
),"")</f>
        <v/>
      </c>
      <c r="K1061" s="17"/>
      <c r="L1061" s="17" t="str">
        <f>IF(OR(COUNTIF('クラス'!$A$1:$A$1267,$B1061)&gt;0,$B1061="",$M1061=""),"",True)</f>
        <v/>
      </c>
      <c r="M1061" s="1" t="str">
        <f t="shared" si="22"/>
        <v>存在しない</v>
      </c>
      <c r="N1061" s="1" t="s">
        <v>29</v>
      </c>
      <c r="O1061" s="1"/>
      <c r="P1061" s="11"/>
      <c r="Q1061" s="11"/>
      <c r="R1061" s="11"/>
      <c r="S1061" s="11"/>
      <c r="T1061" s="1"/>
      <c r="U1061" s="1"/>
      <c r="V1061" s="1"/>
      <c r="W1061" s="1"/>
      <c r="X1061" s="1"/>
      <c r="Y1061" s="1"/>
      <c r="Z1061" s="1"/>
    </row>
    <row r="1062" ht="18.0" customHeight="1" outlineLevel="2">
      <c r="A1062" s="1">
        <v>1.0</v>
      </c>
      <c r="B1062" s="1" t="s">
        <v>37</v>
      </c>
      <c r="C1062" s="1"/>
      <c r="D1062" s="1"/>
      <c r="E1062" s="14" t="s">
        <v>33</v>
      </c>
      <c r="F1062" s="15"/>
      <c r="G1062" s="16">
        <v>40.0</v>
      </c>
      <c r="H1062" s="11" t="s">
        <v>1495</v>
      </c>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2.0</v>
      </c>
      <c r="B1063" s="1" t="s">
        <v>35</v>
      </c>
      <c r="C1063" s="1"/>
      <c r="D1063" s="1"/>
      <c r="E1063" s="14" t="s">
        <v>33</v>
      </c>
      <c r="F1063" s="15"/>
      <c r="G1063" s="16">
        <v>40.0</v>
      </c>
      <c r="H1063" s="11"/>
      <c r="I1063" s="7"/>
      <c r="J1063" s="7" t="str">
        <f>IFERROR(LET(_xlpm.v,
VLOOKUP($I1063,'用語辞書'!$A:$B,COLUMN('用語辞書'!B$1),FALSE),
IF(_xlpm.v=0,"",_xlpm.v)
),"")</f>
        <v/>
      </c>
      <c r="K1063" s="17"/>
      <c r="L1063" s="17" t="str">
        <f>IF(OR(COUNTIF('クラス'!$A$1:$A$1267,$B1063)&gt;0,$B1063="",$M1063=""),"",True)</f>
        <v/>
      </c>
      <c r="M1063" s="1" t="str">
        <f t="shared" si="22"/>
        <v/>
      </c>
      <c r="N1063" s="1" t="s">
        <v>29</v>
      </c>
      <c r="O1063" s="1"/>
      <c r="P1063" s="11"/>
      <c r="Q1063" s="11"/>
      <c r="R1063" s="11"/>
      <c r="S1063" s="11"/>
      <c r="T1063" s="1"/>
      <c r="U1063" s="1"/>
      <c r="V1063" s="1"/>
      <c r="W1063" s="1"/>
      <c r="X1063" s="1"/>
      <c r="Y1063" s="1"/>
      <c r="Z1063" s="1"/>
    </row>
    <row r="1064" ht="18.0" customHeight="1" outlineLevel="2">
      <c r="A1064" s="1">
        <v>3.0</v>
      </c>
      <c r="B1064" s="26" t="s">
        <v>1502</v>
      </c>
      <c r="C1064" s="1"/>
      <c r="D1064" s="1"/>
      <c r="E1064" s="29" t="s">
        <v>55</v>
      </c>
      <c r="F1064" s="15"/>
      <c r="G1064" s="16"/>
      <c r="H1064" s="22" t="s">
        <v>1503</v>
      </c>
      <c r="I1064" s="7"/>
      <c r="J1064" s="7" t="str">
        <f>IFERROR(LET(_xlpm.v,
VLOOKUP($I1064,'用語辞書'!$A:$B,COLUMN('用語辞書'!B$1),FALSE),
IF(_xlpm.v=0,"",_xlpm.v)
),"")</f>
        <v/>
      </c>
      <c r="K1064" s="17"/>
      <c r="L1064" s="17" t="b">
        <f>IF(OR(COUNTIF('クラス'!$A$1:$A$1267,$B1064)&gt;0,$B1064="",$M1064=""),"",True)</f>
        <v>1</v>
      </c>
      <c r="M1064" s="1" t="str">
        <f t="shared" si="22"/>
        <v>存在しない</v>
      </c>
      <c r="N1064" s="1" t="s">
        <v>29</v>
      </c>
      <c r="O1064" s="1"/>
      <c r="P1064" s="11"/>
      <c r="Q1064" s="11"/>
      <c r="R1064" s="11"/>
      <c r="S1064" s="11"/>
      <c r="T1064" s="1"/>
      <c r="U1064" s="1"/>
      <c r="V1064" s="1"/>
      <c r="W1064" s="1"/>
      <c r="X1064" s="1"/>
      <c r="Y1064" s="1"/>
      <c r="Z1064" s="1"/>
    </row>
    <row r="1065" ht="18.0" customHeight="1" outlineLevel="2">
      <c r="A1065" s="1">
        <v>4.0</v>
      </c>
      <c r="B1065" s="26" t="s">
        <v>1498</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5.0</v>
      </c>
      <c r="B1066" s="26" t="s">
        <v>1500</v>
      </c>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
      </c>
      <c r="N1066" s="1" t="s">
        <v>29</v>
      </c>
      <c r="O1066" s="1"/>
      <c r="P1066" s="11"/>
      <c r="Q1066" s="11"/>
      <c r="R1066" s="11"/>
      <c r="S1066" s="11"/>
      <c r="T1066" s="1"/>
      <c r="U1066" s="1"/>
      <c r="V1066" s="1"/>
      <c r="W1066" s="1"/>
      <c r="X1066" s="1"/>
      <c r="Y1066" s="1"/>
      <c r="Z1066" s="1"/>
    </row>
    <row r="1067" ht="18.0" customHeight="1" outlineLevel="2">
      <c r="A1067" s="1">
        <v>6.0</v>
      </c>
      <c r="B1067" s="1"/>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存在しない</v>
      </c>
      <c r="N1067" s="1" t="s">
        <v>29</v>
      </c>
      <c r="O1067" s="1"/>
      <c r="P1067" s="11"/>
      <c r="Q1067" s="11"/>
      <c r="R1067" s="11"/>
      <c r="S1067" s="11"/>
      <c r="T1067" s="1"/>
      <c r="U1067" s="1"/>
      <c r="V1067" s="1"/>
      <c r="W1067" s="1"/>
      <c r="X1067" s="1"/>
      <c r="Y1067" s="1"/>
      <c r="Z1067" s="1"/>
    </row>
    <row r="1068" ht="18.0" customHeight="1" outlineLevel="2">
      <c r="A1068" s="1">
        <v>7.0</v>
      </c>
      <c r="B1068" s="26" t="s">
        <v>1209</v>
      </c>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
      </c>
      <c r="N1068" s="1" t="s">
        <v>29</v>
      </c>
      <c r="O1068" s="1"/>
      <c r="P1068" s="11"/>
      <c r="Q1068" s="11"/>
      <c r="R1068" s="11"/>
      <c r="S1068" s="11"/>
      <c r="T1068" s="1"/>
      <c r="U1068" s="1"/>
      <c r="V1068" s="1"/>
      <c r="W1068" s="1"/>
      <c r="X1068" s="1"/>
      <c r="Y1068" s="1"/>
      <c r="Z1068" s="1"/>
    </row>
    <row r="1069" ht="18.0" customHeight="1" outlineLevel="2">
      <c r="A1069" s="1">
        <v>8.0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9.0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v>10.0</v>
      </c>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2">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ollapsed="1">
      <c r="A1073" s="1"/>
      <c r="B1073" s="1"/>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1">
      <c r="A1074" s="1"/>
      <c r="B1074" s="1" t="s">
        <v>1504</v>
      </c>
      <c r="C1074" s="1"/>
      <c r="D1074" s="1"/>
      <c r="E1074" s="14"/>
      <c r="F1074" s="15"/>
      <c r="G1074" s="16"/>
      <c r="H1074" s="11"/>
      <c r="I1074" s="7"/>
      <c r="J1074" s="7" t="str">
        <f>IFERROR(LET(_xlpm.v,
VLOOKUP($I1074,'用語辞書'!$A:$B,COLUMN('用語辞書'!B$1),FALSE),
IF(_xlpm.v=0,"",_xlpm.v)
),"")</f>
        <v/>
      </c>
      <c r="K1074" s="17"/>
      <c r="L1074" s="17" t="str">
        <f>IF(OR(COUNTIF('クラス'!$A$1:$A$1267,$B1074)&gt;0,$B1074="",$M1074=""),"",True)</f>
        <v/>
      </c>
      <c r="M1074" s="1" t="str">
        <f t="shared" si="22"/>
        <v>存在しない</v>
      </c>
      <c r="N1074" s="1" t="s">
        <v>29</v>
      </c>
      <c r="O1074" s="1"/>
      <c r="P1074" s="11"/>
      <c r="Q1074" s="11"/>
      <c r="R1074" s="11"/>
      <c r="S1074" s="11"/>
      <c r="T1074" s="1"/>
      <c r="U1074" s="1"/>
      <c r="V1074" s="1"/>
      <c r="W1074" s="1"/>
      <c r="X1074" s="1"/>
      <c r="Y1074" s="1"/>
      <c r="Z1074" s="1"/>
    </row>
    <row r="1075" ht="18.0" customHeight="1" outlineLevel="2">
      <c r="A1075" s="1">
        <v>1.0</v>
      </c>
      <c r="B1075" s="1" t="s">
        <v>35</v>
      </c>
      <c r="C1075" s="1"/>
      <c r="D1075" s="1"/>
      <c r="E1075" s="14" t="s">
        <v>33</v>
      </c>
      <c r="F1075" s="15"/>
      <c r="G1075" s="16">
        <v>40.0</v>
      </c>
      <c r="H1075" s="11" t="s">
        <v>1495</v>
      </c>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2.0</v>
      </c>
      <c r="B1076" s="1" t="s">
        <v>39</v>
      </c>
      <c r="C1076" s="1"/>
      <c r="D1076" s="1"/>
      <c r="E1076" s="14" t="s">
        <v>33</v>
      </c>
      <c r="F1076" s="15"/>
      <c r="G1076" s="16">
        <v>40.0</v>
      </c>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3.0</v>
      </c>
      <c r="B1077" s="1" t="s">
        <v>43</v>
      </c>
      <c r="C1077" s="1"/>
      <c r="D1077" s="1"/>
      <c r="E1077" s="14"/>
      <c r="F1077" s="15"/>
      <c r="G1077" s="16"/>
      <c r="H1077" s="11"/>
      <c r="I1077" s="7"/>
      <c r="J1077" s="7" t="str">
        <f>IFERROR(LET(_xlpm.v,
VLOOKUP($I1077,'用語辞書'!$A:$B,COLUMN('用語辞書'!B$1),FALSE),
IF(_xlpm.v=0,"",_xlpm.v)
),"")</f>
        <v/>
      </c>
      <c r="K1077" s="17"/>
      <c r="L1077" s="17" t="str">
        <f>IF(OR(COUNTIF('クラス'!$A$1:$A$1267,$B1077)&gt;0,$B1077="",$M1077=""),"",True)</f>
        <v/>
      </c>
      <c r="M1077" s="1" t="str">
        <f t="shared" si="22"/>
        <v/>
      </c>
      <c r="N1077" s="1" t="s">
        <v>29</v>
      </c>
      <c r="O1077" s="1"/>
      <c r="P1077" s="11"/>
      <c r="Q1077" s="11"/>
      <c r="R1077" s="11"/>
      <c r="S1077" s="11"/>
      <c r="T1077" s="1"/>
      <c r="U1077" s="1"/>
      <c r="V1077" s="1"/>
      <c r="W1077" s="1"/>
      <c r="X1077" s="1"/>
      <c r="Y1077" s="1"/>
      <c r="Z1077" s="1"/>
    </row>
    <row r="1078" ht="18.0" customHeight="1" outlineLevel="2">
      <c r="A1078" s="1">
        <v>4.0</v>
      </c>
      <c r="B1078" s="26" t="s">
        <v>1505</v>
      </c>
      <c r="C1078" s="1"/>
      <c r="D1078" s="1"/>
      <c r="E1078" s="29" t="s">
        <v>55</v>
      </c>
      <c r="F1078" s="15"/>
      <c r="G1078" s="16"/>
      <c r="H1078" s="22" t="s">
        <v>1506</v>
      </c>
      <c r="I1078" s="7"/>
      <c r="J1078" s="7" t="str">
        <f>IFERROR(LET(_xlpm.v,
VLOOKUP($I1078,'用語辞書'!$A:$B,COLUMN('用語辞書'!B$1),FALSE),
IF(_xlpm.v=0,"",_xlpm.v)
),"")</f>
        <v/>
      </c>
      <c r="K1078" s="17"/>
      <c r="L1078" s="17" t="b">
        <f>IF(OR(COUNTIF('クラス'!$A$1:$A$1267,$B1078)&gt;0,$B1078="",$M1078=""),"",True)</f>
        <v>1</v>
      </c>
      <c r="M1078" s="1" t="str">
        <f t="shared" si="22"/>
        <v>存在しない</v>
      </c>
      <c r="N1078" s="1" t="s">
        <v>29</v>
      </c>
      <c r="O1078" s="1"/>
      <c r="P1078" s="11"/>
      <c r="Q1078" s="11"/>
      <c r="R1078" s="11"/>
      <c r="S1078" s="11"/>
      <c r="T1078" s="1"/>
      <c r="U1078" s="1"/>
      <c r="V1078" s="1"/>
      <c r="W1078" s="1"/>
      <c r="X1078" s="1"/>
      <c r="Y1078" s="1"/>
      <c r="Z1078" s="1"/>
    </row>
    <row r="1079" ht="18.0" customHeight="1" outlineLevel="2">
      <c r="A1079" s="1">
        <v>5.0</v>
      </c>
      <c r="B1079" s="26" t="s">
        <v>1500</v>
      </c>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
      </c>
      <c r="N1079" s="1" t="s">
        <v>29</v>
      </c>
      <c r="O1079" s="1"/>
      <c r="P1079" s="11"/>
      <c r="Q1079" s="11"/>
      <c r="R1079" s="11"/>
      <c r="S1079" s="11"/>
      <c r="T1079" s="1"/>
      <c r="U1079" s="1"/>
      <c r="V1079" s="1"/>
      <c r="W1079" s="1"/>
      <c r="X1079" s="1"/>
      <c r="Y1079" s="1"/>
      <c r="Z1079" s="1"/>
    </row>
    <row r="1080" ht="18.0" customHeight="1" outlineLevel="2">
      <c r="A1080" s="1">
        <v>6.0</v>
      </c>
      <c r="B1080" s="1"/>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存在しない</v>
      </c>
      <c r="N1080" s="1" t="s">
        <v>29</v>
      </c>
      <c r="O1080" s="1"/>
      <c r="P1080" s="11"/>
      <c r="Q1080" s="11"/>
      <c r="R1080" s="11"/>
      <c r="S1080" s="11"/>
      <c r="T1080" s="1"/>
      <c r="U1080" s="1"/>
      <c r="V1080" s="1"/>
      <c r="W1080" s="1"/>
      <c r="X1080" s="1"/>
      <c r="Y1080" s="1"/>
      <c r="Z1080" s="1"/>
    </row>
    <row r="1081" ht="18.0" customHeight="1" outlineLevel="2">
      <c r="A1081" s="1">
        <v>7.0</v>
      </c>
      <c r="B1081" s="26" t="s">
        <v>1209</v>
      </c>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
      </c>
      <c r="N1081" s="1" t="s">
        <v>29</v>
      </c>
      <c r="O1081" s="1"/>
      <c r="P1081" s="11"/>
      <c r="Q1081" s="11"/>
      <c r="R1081" s="11"/>
      <c r="S1081" s="11"/>
      <c r="T1081" s="1"/>
      <c r="U1081" s="1"/>
      <c r="V1081" s="1"/>
      <c r="W1081" s="1"/>
      <c r="X1081" s="1"/>
      <c r="Y1081" s="1"/>
      <c r="Z1081" s="1"/>
    </row>
    <row r="1082" ht="18.0" customHeight="1" outlineLevel="2">
      <c r="A1082" s="1">
        <v>8.0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9.0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v>10.0</v>
      </c>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2">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ollapsed="1">
      <c r="A1086" s="1"/>
      <c r="B1086" s="1"/>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1">
      <c r="A1087" s="1"/>
      <c r="B1087" s="1" t="s">
        <v>1507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存在しない</v>
      </c>
      <c r="N1087" s="1" t="s">
        <v>29</v>
      </c>
      <c r="O1087" s="1"/>
      <c r="P1087" s="11"/>
      <c r="Q1087" s="11"/>
      <c r="R1087" s="11"/>
      <c r="S1087" s="11"/>
      <c r="T1087" s="1"/>
      <c r="U1087" s="1"/>
      <c r="V1087" s="1"/>
      <c r="W1087" s="1"/>
      <c r="X1087" s="1"/>
      <c r="Y1087" s="1"/>
      <c r="Z1087" s="1"/>
    </row>
    <row r="1088" ht="18.0" customHeight="1" outlineLevel="2">
      <c r="A1088" s="1">
        <v>1.0</v>
      </c>
      <c r="B1088" s="1" t="s">
        <v>37</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2.0</v>
      </c>
      <c r="B1089" s="26" t="s">
        <v>45</v>
      </c>
      <c r="C1089" s="1"/>
      <c r="D1089" s="1"/>
      <c r="E1089" s="14"/>
      <c r="F1089" s="15"/>
      <c r="G1089" s="16"/>
      <c r="H1089" s="11"/>
      <c r="I1089" s="7"/>
      <c r="J1089" s="7" t="str">
        <f>IFERROR(LET(_xlpm.v,
VLOOKUP($I1089,'用語辞書'!$A:$B,COLUMN('用語辞書'!B$1),FALSE),
IF(_xlpm.v=0,"",_xlpm.v)
),"")</f>
        <v/>
      </c>
      <c r="K1089" s="17"/>
      <c r="L1089" s="17" t="str">
        <f>IF(OR(COUNTIF('クラス'!$A$1:$A$1267,$B1089)&gt;0,$B1089="",$M1089=""),"",True)</f>
        <v/>
      </c>
      <c r="M1089" s="1" t="str">
        <f t="shared" si="22"/>
        <v/>
      </c>
      <c r="N1089" s="1" t="s">
        <v>29</v>
      </c>
      <c r="O1089" s="1"/>
      <c r="P1089" s="11"/>
      <c r="Q1089" s="11"/>
      <c r="R1089" s="11"/>
      <c r="S1089" s="11"/>
      <c r="T1089" s="1"/>
      <c r="U1089" s="1"/>
      <c r="V1089" s="1"/>
      <c r="W1089" s="1"/>
      <c r="X1089" s="1"/>
      <c r="Y1089" s="1"/>
      <c r="Z1089" s="1"/>
    </row>
    <row r="1090" ht="18.0" customHeight="1" outlineLevel="2">
      <c r="A1090" s="1">
        <v>3.0</v>
      </c>
      <c r="B1090" s="26" t="s">
        <v>1508</v>
      </c>
      <c r="C1090" s="1"/>
      <c r="D1090" s="1"/>
      <c r="E1090" s="29" t="s">
        <v>33</v>
      </c>
      <c r="F1090" s="15"/>
      <c r="G1090" s="30">
        <v>50.0</v>
      </c>
      <c r="H1090" s="22" t="s">
        <v>1509</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4.0</v>
      </c>
      <c r="B1091" s="26" t="s">
        <v>1510</v>
      </c>
      <c r="C1091" s="1"/>
      <c r="D1091" s="1"/>
      <c r="E1091" s="29" t="s">
        <v>55</v>
      </c>
      <c r="F1091" s="15"/>
      <c r="G1091" s="16"/>
      <c r="H1091" s="22" t="s">
        <v>1497</v>
      </c>
      <c r="I1091" s="7"/>
      <c r="J1091" s="7" t="str">
        <f>IFERROR(LET(_xlpm.v,
VLOOKUP($I1091,'用語辞書'!$A:$B,COLUMN('用語辞書'!B$1),FALSE),
IF(_xlpm.v=0,"",_xlpm.v)
),"")</f>
        <v/>
      </c>
      <c r="K1091" s="17"/>
      <c r="L1091" s="17" t="b">
        <f>IF(OR(COUNTIF('クラス'!$A$1:$A$1267,$B1091)&gt;0,$B1091="",$M1091=""),"",True)</f>
        <v>1</v>
      </c>
      <c r="M1091" s="1" t="str">
        <f t="shared" si="22"/>
        <v>存在しない</v>
      </c>
      <c r="N1091" s="1" t="s">
        <v>29</v>
      </c>
      <c r="O1091" s="1"/>
      <c r="P1091" s="11"/>
      <c r="Q1091" s="11"/>
      <c r="R1091" s="11"/>
      <c r="S1091" s="11"/>
      <c r="T1091" s="1"/>
      <c r="U1091" s="1"/>
      <c r="V1091" s="1"/>
      <c r="W1091" s="1"/>
      <c r="X1091" s="1"/>
      <c r="Y1091" s="1"/>
      <c r="Z1091" s="1"/>
    </row>
    <row r="1092" ht="18.0" customHeight="1" outlineLevel="2">
      <c r="A1092" s="1">
        <v>5.0</v>
      </c>
      <c r="B1092" s="26" t="s">
        <v>1500</v>
      </c>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
      </c>
      <c r="N1092" s="1" t="s">
        <v>29</v>
      </c>
      <c r="O1092" s="1"/>
      <c r="P1092" s="11"/>
      <c r="Q1092" s="11"/>
      <c r="R1092" s="11"/>
      <c r="S1092" s="11"/>
      <c r="T1092" s="1"/>
      <c r="U1092" s="1"/>
      <c r="V1092" s="1"/>
      <c r="W1092" s="1"/>
      <c r="X1092" s="1"/>
      <c r="Y1092" s="1"/>
      <c r="Z1092" s="1"/>
    </row>
    <row r="1093" ht="18.0" customHeight="1" outlineLevel="2">
      <c r="A1093" s="1">
        <v>6.0</v>
      </c>
      <c r="B1093" s="1"/>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存在しない</v>
      </c>
      <c r="N1093" s="1" t="s">
        <v>29</v>
      </c>
      <c r="O1093" s="1"/>
      <c r="P1093" s="11"/>
      <c r="Q1093" s="11"/>
      <c r="R1093" s="11"/>
      <c r="S1093" s="11"/>
      <c r="T1093" s="1"/>
      <c r="U1093" s="1"/>
      <c r="V1093" s="1"/>
      <c r="W1093" s="1"/>
      <c r="X1093" s="1"/>
      <c r="Y1093" s="1"/>
      <c r="Z1093" s="1"/>
    </row>
    <row r="1094" ht="18.0" customHeight="1" outlineLevel="2">
      <c r="A1094" s="1">
        <v>7.0</v>
      </c>
      <c r="B1094" s="26" t="s">
        <v>1209</v>
      </c>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
      </c>
      <c r="N1094" s="1" t="s">
        <v>29</v>
      </c>
      <c r="O1094" s="1"/>
      <c r="P1094" s="11"/>
      <c r="Q1094" s="11"/>
      <c r="R1094" s="11"/>
      <c r="S1094" s="11"/>
      <c r="T1094" s="1"/>
      <c r="U1094" s="1"/>
      <c r="V1094" s="1"/>
      <c r="W1094" s="1"/>
      <c r="X1094" s="1"/>
      <c r="Y1094" s="1"/>
      <c r="Z1094" s="1"/>
    </row>
    <row r="1095" ht="18.0" customHeight="1" outlineLevel="2">
      <c r="A1095" s="1">
        <v>8.0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9.0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v>10.0</v>
      </c>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2">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ollapsed="1">
      <c r="A1099" s="1"/>
      <c r="B1099" s="1"/>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1">
      <c r="A1100" s="1"/>
      <c r="B1100" s="1" t="s">
        <v>1511</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存在しない</v>
      </c>
      <c r="N1100" s="1" t="s">
        <v>29</v>
      </c>
      <c r="O1100" s="1"/>
      <c r="P1100" s="11"/>
      <c r="Q1100" s="11"/>
      <c r="R1100" s="11"/>
      <c r="S1100" s="11"/>
      <c r="T1100" s="1"/>
      <c r="U1100" s="1"/>
      <c r="V1100" s="1"/>
      <c r="W1100" s="1"/>
      <c r="X1100" s="1"/>
      <c r="Y1100" s="1"/>
      <c r="Z1100" s="1"/>
    </row>
    <row r="1101" ht="18.0" customHeight="1" outlineLevel="2">
      <c r="A1101" s="1">
        <v>1.0</v>
      </c>
      <c r="B1101" s="1" t="s">
        <v>37</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2.0</v>
      </c>
      <c r="B1102" s="1" t="s">
        <v>35</v>
      </c>
      <c r="C1102" s="1"/>
      <c r="D1102" s="1"/>
      <c r="E1102" s="14"/>
      <c r="F1102" s="15"/>
      <c r="G1102" s="16"/>
      <c r="H1102" s="11"/>
      <c r="I1102" s="7"/>
      <c r="J1102" s="7" t="str">
        <f>IFERROR(LET(_xlpm.v,
VLOOKUP($I1102,'用語辞書'!$A:$B,COLUMN('用語辞書'!B$1),FALSE),
IF(_xlpm.v=0,"",_xlpm.v)
),"")</f>
        <v/>
      </c>
      <c r="K1102" s="17"/>
      <c r="L1102" s="17" t="str">
        <f>IF(OR(COUNTIF('クラス'!$A$1:$A$1267,$B1102)&gt;0,$B1102="",$M1102=""),"",True)</f>
        <v/>
      </c>
      <c r="M1102" s="1" t="str">
        <f t="shared" si="22"/>
        <v/>
      </c>
      <c r="N1102" s="1" t="s">
        <v>29</v>
      </c>
      <c r="O1102" s="1"/>
      <c r="P1102" s="11"/>
      <c r="Q1102" s="11"/>
      <c r="R1102" s="11"/>
      <c r="S1102" s="11"/>
      <c r="T1102" s="1"/>
      <c r="U1102" s="1"/>
      <c r="V1102" s="1"/>
      <c r="W1102" s="1"/>
      <c r="X1102" s="1"/>
      <c r="Y1102" s="1"/>
      <c r="Z1102" s="1"/>
    </row>
    <row r="1103" ht="18.0" customHeight="1" outlineLevel="2">
      <c r="A1103" s="1">
        <v>3.0</v>
      </c>
      <c r="B1103" s="26" t="s">
        <v>1512</v>
      </c>
      <c r="C1103" s="1"/>
      <c r="D1103" s="1"/>
      <c r="E1103" s="29" t="s">
        <v>55</v>
      </c>
      <c r="F1103" s="15"/>
      <c r="G1103" s="16"/>
      <c r="H1103" s="22" t="s">
        <v>1513</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4.0</v>
      </c>
      <c r="B1104" s="26" t="s">
        <v>1514</v>
      </c>
      <c r="C1104" s="1"/>
      <c r="D1104" s="1"/>
      <c r="E1104" s="29" t="s">
        <v>33</v>
      </c>
      <c r="F1104" s="15"/>
      <c r="G1104" s="30">
        <v>60.0</v>
      </c>
      <c r="H1104" s="22" t="s">
        <v>1515</v>
      </c>
      <c r="I1104" s="7"/>
      <c r="J1104" s="7" t="str">
        <f>IFERROR(LET(_xlpm.v,
VLOOKUP($I1104,'用語辞書'!$A:$B,COLUMN('用語辞書'!B$1),FALSE),
IF(_xlpm.v=0,"",_xlpm.v)
),"")</f>
        <v/>
      </c>
      <c r="K1104" s="17"/>
      <c r="L1104" s="17" t="b">
        <f>IF(OR(COUNTIF('クラス'!$A$1:$A$1267,$B1104)&gt;0,$B1104="",$M1104=""),"",True)</f>
        <v>1</v>
      </c>
      <c r="M1104" s="1" t="str">
        <f t="shared" si="22"/>
        <v>存在しない</v>
      </c>
      <c r="N1104" s="1" t="s">
        <v>29</v>
      </c>
      <c r="O1104" s="1"/>
      <c r="P1104" s="11"/>
      <c r="Q1104" s="11"/>
      <c r="R1104" s="11"/>
      <c r="S1104" s="11"/>
      <c r="T1104" s="1"/>
      <c r="U1104" s="1"/>
      <c r="V1104" s="1"/>
      <c r="W1104" s="1"/>
      <c r="X1104" s="1"/>
      <c r="Y1104" s="1"/>
      <c r="Z1104" s="1"/>
    </row>
    <row r="1105" ht="18.0" customHeight="1" outlineLevel="2">
      <c r="A1105" s="1">
        <v>5.0</v>
      </c>
      <c r="B1105" s="26" t="s">
        <v>1500</v>
      </c>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
      </c>
      <c r="N1105" s="1" t="s">
        <v>29</v>
      </c>
      <c r="O1105" s="1"/>
      <c r="P1105" s="11"/>
      <c r="Q1105" s="11"/>
      <c r="R1105" s="11"/>
      <c r="S1105" s="11"/>
      <c r="T1105" s="1"/>
      <c r="U1105" s="1"/>
      <c r="V1105" s="1"/>
      <c r="W1105" s="1"/>
      <c r="X1105" s="1"/>
      <c r="Y1105" s="1"/>
      <c r="Z1105" s="1"/>
    </row>
    <row r="1106" ht="18.0" customHeight="1" outlineLevel="2">
      <c r="A1106" s="1">
        <v>6.0</v>
      </c>
      <c r="B1106" s="1"/>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存在しない</v>
      </c>
      <c r="N1106" s="1" t="s">
        <v>29</v>
      </c>
      <c r="O1106" s="1"/>
      <c r="P1106" s="11"/>
      <c r="Q1106" s="11"/>
      <c r="R1106" s="11"/>
      <c r="S1106" s="11"/>
      <c r="T1106" s="1"/>
      <c r="U1106" s="1"/>
      <c r="V1106" s="1"/>
      <c r="W1106" s="1"/>
      <c r="X1106" s="1"/>
      <c r="Y1106" s="1"/>
      <c r="Z1106" s="1"/>
    </row>
    <row r="1107" ht="18.0" customHeight="1" outlineLevel="2">
      <c r="A1107" s="1">
        <v>7.0</v>
      </c>
      <c r="B1107" s="26" t="s">
        <v>1209</v>
      </c>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
      </c>
      <c r="N1107" s="1" t="s">
        <v>29</v>
      </c>
      <c r="O1107" s="1"/>
      <c r="P1107" s="11"/>
      <c r="Q1107" s="11"/>
      <c r="R1107" s="11"/>
      <c r="S1107" s="11"/>
      <c r="T1107" s="1"/>
      <c r="U1107" s="1"/>
      <c r="V1107" s="1"/>
      <c r="W1107" s="1"/>
      <c r="X1107" s="1"/>
      <c r="Y1107" s="1"/>
      <c r="Z1107" s="1"/>
    </row>
    <row r="1108" ht="18.0" customHeight="1" outlineLevel="2">
      <c r="A1108" s="1">
        <v>8.0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9.0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v>10.0</v>
      </c>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2">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ollapsed="1">
      <c r="A1112" s="1"/>
      <c r="B1112" s="1"/>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1">
      <c r="A1113" s="1"/>
      <c r="B1113" s="1" t="s">
        <v>1516</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存在しない</v>
      </c>
      <c r="N1113" s="1" t="s">
        <v>29</v>
      </c>
      <c r="O1113" s="1"/>
      <c r="P1113" s="11"/>
      <c r="Q1113" s="11"/>
      <c r="R1113" s="11"/>
      <c r="S1113" s="11"/>
      <c r="T1113" s="1"/>
      <c r="U1113" s="1"/>
      <c r="V1113" s="1"/>
      <c r="W1113" s="1"/>
      <c r="X1113" s="1"/>
      <c r="Y1113" s="1"/>
      <c r="Z1113" s="1"/>
    </row>
    <row r="1114" ht="18.0" customHeight="1" outlineLevel="2">
      <c r="A1114" s="1">
        <v>1.0</v>
      </c>
      <c r="B1114" s="1" t="s">
        <v>35</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2.0</v>
      </c>
      <c r="B1115" s="26" t="s">
        <v>39</v>
      </c>
      <c r="C1115" s="1"/>
      <c r="D1115" s="1"/>
      <c r="E1115" s="14"/>
      <c r="F1115" s="15"/>
      <c r="G1115" s="16"/>
      <c r="H1115" s="11"/>
      <c r="I1115" s="7"/>
      <c r="J1115" s="7" t="str">
        <f>IFERROR(LET(_xlpm.v,
VLOOKUP($I1115,'用語辞書'!$A:$B,COLUMN('用語辞書'!B$1),FALSE),
IF(_xlpm.v=0,"",_xlpm.v)
),"")</f>
        <v/>
      </c>
      <c r="K1115" s="17"/>
      <c r="L1115" s="17" t="str">
        <f>IF(OR(COUNTIF('クラス'!$A$1:$A$1267,$B1115)&gt;0,$B1115="",$M1115=""),"",True)</f>
        <v/>
      </c>
      <c r="M1115" s="1" t="str">
        <f t="shared" si="22"/>
        <v/>
      </c>
      <c r="N1115" s="1" t="s">
        <v>29</v>
      </c>
      <c r="O1115" s="1"/>
      <c r="P1115" s="11"/>
      <c r="Q1115" s="11"/>
      <c r="R1115" s="11"/>
      <c r="S1115" s="11"/>
      <c r="T1115" s="1"/>
      <c r="U1115" s="1"/>
      <c r="V1115" s="1"/>
      <c r="W1115" s="1"/>
      <c r="X1115" s="1"/>
      <c r="Y1115" s="1"/>
      <c r="Z1115" s="1"/>
    </row>
    <row r="1116" ht="18.0" customHeight="1" outlineLevel="2">
      <c r="A1116" s="1">
        <v>3.0</v>
      </c>
      <c r="B1116" s="26" t="s">
        <v>1517</v>
      </c>
      <c r="C1116" s="1"/>
      <c r="D1116" s="1"/>
      <c r="E1116" s="29" t="s">
        <v>33</v>
      </c>
      <c r="F1116" s="15"/>
      <c r="G1116" s="30">
        <v>70.0</v>
      </c>
      <c r="H1116" s="22" t="s">
        <v>1518</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4.0</v>
      </c>
      <c r="B1117" s="26" t="s">
        <v>1519</v>
      </c>
      <c r="C1117" s="1"/>
      <c r="D1117" s="1"/>
      <c r="E1117" s="29" t="s">
        <v>55</v>
      </c>
      <c r="F1117" s="15"/>
      <c r="G1117" s="16"/>
      <c r="H1117" s="22" t="s">
        <v>1520</v>
      </c>
      <c r="I1117" s="7"/>
      <c r="J1117" s="7" t="str">
        <f>IFERROR(LET(_xlpm.v,
VLOOKUP($I1117,'用語辞書'!$A:$B,COLUMN('用語辞書'!B$1),FALSE),
IF(_xlpm.v=0,"",_xlpm.v)
),"")</f>
        <v/>
      </c>
      <c r="K1117" s="17"/>
      <c r="L1117" s="17" t="b">
        <f>IF(OR(COUNTIF('クラス'!$A$1:$A$1267,$B1117)&gt;0,$B1117="",$M1117=""),"",True)</f>
        <v>1</v>
      </c>
      <c r="M1117" s="1" t="str">
        <f t="shared" si="22"/>
        <v>存在しない</v>
      </c>
      <c r="N1117" s="1" t="s">
        <v>29</v>
      </c>
      <c r="O1117" s="1"/>
      <c r="P1117" s="11"/>
      <c r="Q1117" s="11"/>
      <c r="R1117" s="11"/>
      <c r="S1117" s="11"/>
      <c r="T1117" s="1"/>
      <c r="U1117" s="1"/>
      <c r="V1117" s="1"/>
      <c r="W1117" s="1"/>
      <c r="X1117" s="1"/>
      <c r="Y1117" s="1"/>
      <c r="Z1117" s="1"/>
    </row>
    <row r="1118" ht="18.0" customHeight="1" outlineLevel="2">
      <c r="A1118" s="1">
        <v>5.0</v>
      </c>
      <c r="B1118" s="26" t="s">
        <v>1500</v>
      </c>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
      </c>
      <c r="N1118" s="1" t="s">
        <v>29</v>
      </c>
      <c r="O1118" s="1"/>
      <c r="P1118" s="11"/>
      <c r="Q1118" s="11"/>
      <c r="R1118" s="11"/>
      <c r="S1118" s="11"/>
      <c r="T1118" s="1"/>
      <c r="U1118" s="1"/>
      <c r="V1118" s="1"/>
      <c r="W1118" s="1"/>
      <c r="X1118" s="1"/>
      <c r="Y1118" s="1"/>
      <c r="Z1118" s="1"/>
    </row>
    <row r="1119" ht="18.0" customHeight="1" outlineLevel="2">
      <c r="A1119" s="1">
        <v>6.0</v>
      </c>
      <c r="B1119" s="1"/>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存在しない</v>
      </c>
      <c r="N1119" s="1" t="s">
        <v>29</v>
      </c>
      <c r="O1119" s="1"/>
      <c r="P1119" s="11"/>
      <c r="Q1119" s="11"/>
      <c r="R1119" s="11"/>
      <c r="S1119" s="11"/>
      <c r="T1119" s="1"/>
      <c r="U1119" s="1"/>
      <c r="V1119" s="1"/>
      <c r="W1119" s="1"/>
      <c r="X1119" s="1"/>
      <c r="Y1119" s="1"/>
      <c r="Z1119" s="1"/>
    </row>
    <row r="1120" ht="18.0" customHeight="1" outlineLevel="2">
      <c r="A1120" s="1">
        <v>7.0</v>
      </c>
      <c r="B1120" s="26" t="s">
        <v>1209</v>
      </c>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
      </c>
      <c r="N1120" s="1" t="s">
        <v>29</v>
      </c>
      <c r="O1120" s="1"/>
      <c r="P1120" s="11"/>
      <c r="Q1120" s="11"/>
      <c r="R1120" s="11"/>
      <c r="S1120" s="11"/>
      <c r="T1120" s="1"/>
      <c r="U1120" s="1"/>
      <c r="V1120" s="1"/>
      <c r="W1120" s="1"/>
      <c r="X1120" s="1"/>
      <c r="Y1120" s="1"/>
      <c r="Z1120" s="1"/>
    </row>
    <row r="1121" ht="18.0" customHeight="1" outlineLevel="2">
      <c r="A1121" s="1">
        <v>8.0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9.0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v>10.0</v>
      </c>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2">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ollapsed="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1"/>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 t="shared" si="22"/>
        <v>存在しない</v>
      </c>
      <c r="N1126" s="1" t="s">
        <v>29</v>
      </c>
      <c r="O1126" s="1"/>
      <c r="P1126" s="11"/>
      <c r="Q1126" s="11"/>
      <c r="R1126" s="11"/>
      <c r="S1126" s="11"/>
      <c r="T1126" s="1"/>
      <c r="U1126" s="1"/>
      <c r="V1126" s="1"/>
      <c r="W1126" s="1"/>
      <c r="X1126" s="1"/>
      <c r="Y1126" s="1"/>
      <c r="Z1126" s="1"/>
    </row>
    <row r="1127" ht="18.0" customHeight="1" outlineLevel="1">
      <c r="A1127" s="1"/>
      <c r="B1127" s="26" t="s">
        <v>1521</v>
      </c>
      <c r="C1127" s="1"/>
      <c r="D1127" s="1"/>
      <c r="E1127" s="14"/>
      <c r="F1127" s="15"/>
      <c r="G1127" s="16"/>
      <c r="H1127" s="11"/>
      <c r="I1127" s="7"/>
      <c r="J1127" s="7" t="str">
        <f>IFERROR(LET(_xlpm.v,
VLOOKUP($I1127,'用語辞書'!$A:$B,COLUMN('用語辞書'!B$1),FALSE),
IF(_xlpm.v=0,"",_xlpm.v)
),"")</f>
        <v/>
      </c>
      <c r="K1127" s="17"/>
      <c r="L1127" s="17" t="str">
        <f>IF(OR(COUNTIF('クラス'!$A$1:$A$1267,$B1127)&gt;0,$B1127="",$M1127=""),"",True)</f>
        <v/>
      </c>
      <c r="M1127" s="1" t="str">
        <f>IF(COUNTIF($B$1:$C1662, $B1127), "", "存在しない")</f>
        <v/>
      </c>
      <c r="N1127" s="1" t="s">
        <v>29</v>
      </c>
      <c r="O1127" s="1"/>
      <c r="P1127" s="11"/>
      <c r="Q1127" s="11"/>
      <c r="R1127" s="11"/>
      <c r="S1127" s="11"/>
      <c r="T1127" s="1"/>
      <c r="U1127" s="1"/>
      <c r="V1127" s="1"/>
      <c r="W1127" s="1"/>
      <c r="X1127" s="1"/>
      <c r="Y1127" s="1"/>
      <c r="Z1127" s="1"/>
    </row>
    <row r="1128" ht="18.0" customHeight="1" outlineLevel="2">
      <c r="A1128" s="1">
        <v>1.0</v>
      </c>
      <c r="B1128" s="26" t="s">
        <v>1522</v>
      </c>
      <c r="C1128" s="1"/>
      <c r="D1128" s="1"/>
      <c r="E1128" s="29" t="s">
        <v>33</v>
      </c>
      <c r="F1128" s="15"/>
      <c r="G1128" s="30">
        <v>40.0</v>
      </c>
      <c r="H1128" s="22" t="s">
        <v>1523</v>
      </c>
      <c r="I1128" s="7"/>
      <c r="J1128" s="7" t="str">
        <f>IFERROR(LET(_xlpm.v,
VLOOKUP($I1128,'用語辞書'!$A:$B,COLUMN('用語辞書'!B$1),FALSE),
IF(_xlpm.v=0,"",_xlpm.v)
),"")</f>
        <v/>
      </c>
      <c r="K1128" s="17"/>
      <c r="L1128" s="17" t="b">
        <f>IF(OR(COUNTIF('クラス'!$A$1:$A$1267,$B1128)&gt;0,$B1128="",$M1128=""),"",True)</f>
        <v>1</v>
      </c>
      <c r="M1128" s="1" t="str">
        <f t="shared" ref="M1128:M1151" si="23">IF(COUNTIF($B$1:$C1127, $B1128), "", "存在しない")</f>
        <v>存在しない</v>
      </c>
      <c r="N1128" s="1" t="s">
        <v>29</v>
      </c>
      <c r="O1128" s="1"/>
      <c r="P1128" s="11"/>
      <c r="Q1128" s="11"/>
      <c r="R1128" s="11"/>
      <c r="S1128" s="11"/>
      <c r="T1128" s="1"/>
      <c r="U1128" s="1"/>
      <c r="V1128" s="1"/>
      <c r="W1128" s="1"/>
      <c r="X1128" s="1"/>
      <c r="Y1128" s="1"/>
      <c r="Z1128" s="1"/>
    </row>
    <row r="1129" ht="18.0" customHeight="1" outlineLevel="2">
      <c r="A1129" s="1">
        <v>2.0</v>
      </c>
      <c r="B1129" s="26" t="s">
        <v>1524</v>
      </c>
      <c r="C1129" s="1"/>
      <c r="D1129" s="1"/>
      <c r="E1129" s="29" t="s">
        <v>33</v>
      </c>
      <c r="F1129" s="15"/>
      <c r="G1129" s="30">
        <v>60.0</v>
      </c>
      <c r="H1129" s="22" t="s">
        <v>1525</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3.0</v>
      </c>
      <c r="B1130" s="26" t="s">
        <v>1526</v>
      </c>
      <c r="C1130" s="1"/>
      <c r="D1130" s="1"/>
      <c r="E1130" s="29" t="s">
        <v>55</v>
      </c>
      <c r="F1130" s="15"/>
      <c r="G1130" s="16"/>
      <c r="H1130" s="22" t="s">
        <v>1527</v>
      </c>
      <c r="I1130" s="7"/>
      <c r="J1130" s="7" t="str">
        <f>IFERROR(LET(_xlpm.v,
VLOOKUP($I1130,'用語辞書'!$A:$B,COLUMN('用語辞書'!B$1),FALSE),
IF(_xlpm.v=0,"",_xlpm.v)
),"")</f>
        <v/>
      </c>
      <c r="K1130" s="17"/>
      <c r="L1130" s="17" t="b">
        <f>IF(OR(COUNTIF('クラス'!$A$1:$A$1267,$B1130)&gt;0,$B1130="",$M1130=""),"",True)</f>
        <v>1</v>
      </c>
      <c r="M1130" s="1" t="str">
        <f t="shared" si="23"/>
        <v>存在しない</v>
      </c>
      <c r="N1130" s="1" t="s">
        <v>29</v>
      </c>
      <c r="O1130" s="1"/>
      <c r="P1130" s="11"/>
      <c r="Q1130" s="11"/>
      <c r="R1130" s="11"/>
      <c r="S1130" s="11"/>
      <c r="T1130" s="1"/>
      <c r="U1130" s="1"/>
      <c r="V1130" s="1"/>
      <c r="W1130" s="1"/>
      <c r="X1130" s="1"/>
      <c r="Y1130" s="1"/>
      <c r="Z1130" s="1"/>
    </row>
    <row r="1131" ht="18.0" customHeight="1" outlineLevel="2">
      <c r="A1131" s="1">
        <v>4.0</v>
      </c>
      <c r="B1131" s="26" t="s">
        <v>1243</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5.0</v>
      </c>
      <c r="B1132" s="26" t="s">
        <v>1500</v>
      </c>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
      </c>
      <c r="N1132" s="1" t="s">
        <v>29</v>
      </c>
      <c r="O1132" s="1"/>
      <c r="P1132" s="11"/>
      <c r="Q1132" s="11"/>
      <c r="R1132" s="11"/>
      <c r="S1132" s="11"/>
      <c r="T1132" s="1"/>
      <c r="U1132" s="1"/>
      <c r="V1132" s="1"/>
      <c r="W1132" s="1"/>
      <c r="X1132" s="1"/>
      <c r="Y1132" s="1"/>
      <c r="Z1132" s="1"/>
    </row>
    <row r="1133" ht="18.0" customHeight="1" outlineLevel="2">
      <c r="A1133" s="1">
        <v>6.0</v>
      </c>
      <c r="B1133" s="1"/>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存在しない</v>
      </c>
      <c r="N1133" s="1" t="s">
        <v>29</v>
      </c>
      <c r="O1133" s="1"/>
      <c r="P1133" s="11"/>
      <c r="Q1133" s="11"/>
      <c r="R1133" s="11"/>
      <c r="S1133" s="11"/>
      <c r="T1133" s="1"/>
      <c r="U1133" s="1"/>
      <c r="V1133" s="1"/>
      <c r="W1133" s="1"/>
      <c r="X1133" s="1"/>
      <c r="Y1133" s="1"/>
      <c r="Z1133" s="1"/>
    </row>
    <row r="1134" ht="18.0" customHeight="1" outlineLevel="2">
      <c r="A1134" s="1">
        <v>7.0</v>
      </c>
      <c r="B1134" s="26" t="s">
        <v>1209</v>
      </c>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
      </c>
      <c r="N1134" s="1" t="s">
        <v>29</v>
      </c>
      <c r="O1134" s="1"/>
      <c r="P1134" s="11"/>
      <c r="Q1134" s="11"/>
      <c r="R1134" s="11"/>
      <c r="S1134" s="11"/>
      <c r="T1134" s="1"/>
      <c r="U1134" s="1"/>
      <c r="V1134" s="1"/>
      <c r="W1134" s="1"/>
      <c r="X1134" s="1"/>
      <c r="Y1134" s="1"/>
      <c r="Z1134" s="1"/>
    </row>
    <row r="1135" ht="18.0" customHeight="1" outlineLevel="2">
      <c r="A1135" s="1">
        <v>8.0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9.0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2">
      <c r="A1137" s="1">
        <v>10.0</v>
      </c>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ollapsed="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1"/>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1">
      <c r="A1140" s="1"/>
      <c r="B1140" s="26" t="s">
        <v>1528</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存在しない</v>
      </c>
      <c r="N1140" s="1" t="s">
        <v>29</v>
      </c>
      <c r="O1140" s="1"/>
      <c r="P1140" s="11"/>
      <c r="Q1140" s="11"/>
      <c r="R1140" s="11"/>
      <c r="S1140" s="11"/>
      <c r="T1140" s="1"/>
      <c r="U1140" s="1"/>
      <c r="V1140" s="1"/>
      <c r="W1140" s="1"/>
      <c r="X1140" s="1"/>
      <c r="Y1140" s="1"/>
      <c r="Z1140" s="1"/>
    </row>
    <row r="1141" ht="18.0" customHeight="1" outlineLevel="2">
      <c r="A1141" s="1">
        <v>1.0</v>
      </c>
      <c r="B1141" s="26" t="s">
        <v>35</v>
      </c>
      <c r="C1141" s="1"/>
      <c r="D1141" s="1"/>
      <c r="E1141" s="14"/>
      <c r="F1141" s="15"/>
      <c r="G1141" s="16"/>
      <c r="H1141" s="11"/>
      <c r="I1141" s="7"/>
      <c r="J1141" s="7" t="str">
        <f>IFERROR(LET(_xlpm.v,
VLOOKUP($I1141,'用語辞書'!$A:$B,COLUMN('用語辞書'!B$1),FALSE),
IF(_xlpm.v=0,"",_xlpm.v)
),"")</f>
        <v/>
      </c>
      <c r="K1141" s="17"/>
      <c r="L1141" s="17" t="str">
        <f>IF(OR(COUNTIF('クラス'!$A$1:$A$1267,$B1141)&gt;0,$B1141="",$M1141=""),"",True)</f>
        <v/>
      </c>
      <c r="M1141" s="1" t="str">
        <f t="shared" si="23"/>
        <v/>
      </c>
      <c r="N1141" s="1" t="s">
        <v>29</v>
      </c>
      <c r="O1141" s="1"/>
      <c r="P1141" s="11"/>
      <c r="Q1141" s="11"/>
      <c r="R1141" s="11"/>
      <c r="S1141" s="11"/>
      <c r="T1141" s="1"/>
      <c r="U1141" s="1"/>
      <c r="V1141" s="1"/>
      <c r="W1141" s="1"/>
      <c r="X1141" s="1"/>
      <c r="Y1141" s="1"/>
      <c r="Z1141" s="1"/>
    </row>
    <row r="1142" ht="18.0" customHeight="1" outlineLevel="2">
      <c r="A1142" s="1">
        <v>2.0</v>
      </c>
      <c r="B1142" s="26" t="s">
        <v>1529</v>
      </c>
      <c r="C1142" s="1"/>
      <c r="D1142" s="1"/>
      <c r="E1142" s="29" t="s">
        <v>33</v>
      </c>
      <c r="F1142" s="15"/>
      <c r="G1142" s="30">
        <v>60.0</v>
      </c>
      <c r="H1142" s="22" t="s">
        <v>1530</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3.0</v>
      </c>
      <c r="B1143" s="26" t="s">
        <v>1531</v>
      </c>
      <c r="C1143" s="1"/>
      <c r="D1143" s="1"/>
      <c r="E1143" s="29" t="s">
        <v>55</v>
      </c>
      <c r="F1143" s="15"/>
      <c r="G1143" s="16"/>
      <c r="H1143" s="22" t="s">
        <v>1532</v>
      </c>
      <c r="I1143" s="7"/>
      <c r="J1143" s="7" t="str">
        <f>IFERROR(LET(_xlpm.v,
VLOOKUP($I1143,'用語辞書'!$A:$B,COLUMN('用語辞書'!B$1),FALSE),
IF(_xlpm.v=0,"",_xlpm.v)
),"")</f>
        <v/>
      </c>
      <c r="K1143" s="17"/>
      <c r="L1143" s="17" t="b">
        <f>IF(OR(COUNTIF('クラス'!$A$1:$A$1267,$B1143)&gt;0,$B1143="",$M1143=""),"",True)</f>
        <v>1</v>
      </c>
      <c r="M1143" s="1" t="str">
        <f t="shared" si="23"/>
        <v>存在しない</v>
      </c>
      <c r="N1143" s="1" t="s">
        <v>29</v>
      </c>
      <c r="O1143" s="1"/>
      <c r="P1143" s="11"/>
      <c r="Q1143" s="11"/>
      <c r="R1143" s="11"/>
      <c r="S1143" s="11"/>
      <c r="T1143" s="1"/>
      <c r="U1143" s="1"/>
      <c r="V1143" s="1"/>
      <c r="W1143" s="1"/>
      <c r="X1143" s="1"/>
      <c r="Y1143" s="1"/>
      <c r="Z1143" s="1"/>
    </row>
    <row r="1144" ht="18.0" customHeight="1" outlineLevel="2">
      <c r="A1144" s="1">
        <v>4.0</v>
      </c>
      <c r="B1144" s="26" t="s">
        <v>1243</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5.0</v>
      </c>
      <c r="B1145" s="26" t="s">
        <v>1500</v>
      </c>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
      </c>
      <c r="N1145" s="1" t="s">
        <v>29</v>
      </c>
      <c r="O1145" s="1"/>
      <c r="P1145" s="11"/>
      <c r="Q1145" s="11"/>
      <c r="R1145" s="11"/>
      <c r="S1145" s="11"/>
      <c r="T1145" s="1"/>
      <c r="U1145" s="1"/>
      <c r="V1145" s="1"/>
      <c r="W1145" s="1"/>
      <c r="X1145" s="1"/>
      <c r="Y1145" s="1"/>
      <c r="Z1145" s="1"/>
    </row>
    <row r="1146" ht="18.0" customHeight="1" outlineLevel="2">
      <c r="A1146" s="1">
        <v>6.0</v>
      </c>
      <c r="B1146" s="1"/>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存在しない</v>
      </c>
      <c r="N1146" s="1" t="s">
        <v>29</v>
      </c>
      <c r="O1146" s="1"/>
      <c r="P1146" s="11"/>
      <c r="Q1146" s="11"/>
      <c r="R1146" s="11"/>
      <c r="S1146" s="11"/>
      <c r="T1146" s="1"/>
      <c r="U1146" s="1"/>
      <c r="V1146" s="1"/>
      <c r="W1146" s="1"/>
      <c r="X1146" s="1"/>
      <c r="Y1146" s="1"/>
      <c r="Z1146" s="1"/>
    </row>
    <row r="1147" ht="18.0" customHeight="1" outlineLevel="2">
      <c r="A1147" s="1">
        <v>7.0</v>
      </c>
      <c r="B1147" s="26" t="s">
        <v>1209</v>
      </c>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
      </c>
      <c r="N1147" s="1" t="s">
        <v>29</v>
      </c>
      <c r="O1147" s="1"/>
      <c r="P1147" s="11"/>
      <c r="Q1147" s="11"/>
      <c r="R1147" s="11"/>
      <c r="S1147" s="11"/>
      <c r="T1147" s="1"/>
      <c r="U1147" s="1"/>
      <c r="V1147" s="1"/>
      <c r="W1147" s="1"/>
      <c r="X1147" s="1"/>
      <c r="Y1147" s="1"/>
      <c r="Z1147" s="1"/>
    </row>
    <row r="1148" ht="18.0" customHeight="1" outlineLevel="2">
      <c r="A1148" s="1">
        <v>8.0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9.0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2">
      <c r="A1150" s="1">
        <v>10.0</v>
      </c>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ollapsed="1">
      <c r="A1151" s="1"/>
      <c r="B1151" s="1"/>
      <c r="C1151" s="1"/>
      <c r="D1151" s="1"/>
      <c r="E1151" s="14"/>
      <c r="F1151" s="15"/>
      <c r="G1151" s="16"/>
      <c r="H1151" s="11"/>
      <c r="I1151" s="7"/>
      <c r="J1151" s="7" t="str">
        <f>IFERROR(LET(_xlpm.v,
VLOOKUP($I1151,'用語辞書'!$A:$B,COLUMN('用語辞書'!B$1),FALSE),
IF(_xlpm.v=0,"",_xlpm.v)
),"")</f>
        <v/>
      </c>
      <c r="K1151" s="17"/>
      <c r="L1151" s="17" t="str">
        <f>IF(OR(COUNTIF('クラス'!$A$1:$A$1267,$B1151)&gt;0,$B1151="",$M1151=""),"",True)</f>
        <v/>
      </c>
      <c r="M1151" s="1" t="str">
        <f t="shared" si="23"/>
        <v>存在しない</v>
      </c>
      <c r="N1151" s="1" t="s">
        <v>29</v>
      </c>
      <c r="O1151" s="1"/>
      <c r="P1151" s="11"/>
      <c r="Q1151" s="11"/>
      <c r="R1151" s="11"/>
      <c r="S1151" s="11"/>
      <c r="T1151" s="1"/>
      <c r="U1151" s="1"/>
      <c r="V1151" s="1"/>
      <c r="W1151" s="1"/>
      <c r="X1151" s="1"/>
      <c r="Y1151" s="1"/>
      <c r="Z1151" s="1"/>
    </row>
    <row r="1152" ht="18.0" customHeight="1" outlineLevel="1">
      <c r="A1152" s="1"/>
      <c r="B1152" s="26" t="s">
        <v>1533</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1.0</v>
      </c>
      <c r="B1153" s="26" t="s">
        <v>37</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2.0</v>
      </c>
      <c r="B1154" s="26" t="s">
        <v>35</v>
      </c>
      <c r="C1154" s="1"/>
      <c r="D1154" s="1"/>
      <c r="E1154" s="14"/>
      <c r="F1154" s="15"/>
      <c r="G1154" s="16"/>
      <c r="H1154" s="11"/>
      <c r="I1154" s="7"/>
      <c r="J1154" s="7"/>
      <c r="K1154" s="17"/>
      <c r="L1154" s="17"/>
      <c r="M1154" s="1"/>
      <c r="N1154" s="1"/>
      <c r="O1154" s="1"/>
      <c r="P1154" s="11"/>
      <c r="Q1154" s="11"/>
      <c r="R1154" s="11"/>
      <c r="S1154" s="11"/>
      <c r="T1154" s="1"/>
      <c r="U1154" s="1"/>
      <c r="V1154" s="1"/>
      <c r="W1154" s="1"/>
      <c r="X1154" s="1"/>
      <c r="Y1154" s="1"/>
      <c r="Z1154" s="1"/>
    </row>
    <row r="1155" ht="18.0" customHeight="1" outlineLevel="2">
      <c r="A1155" s="26">
        <v>3.0</v>
      </c>
      <c r="B1155" s="26" t="s">
        <v>1534</v>
      </c>
      <c r="C1155" s="1"/>
      <c r="D1155" s="1"/>
      <c r="E1155" s="29" t="s">
        <v>33</v>
      </c>
      <c r="F1155" s="15"/>
      <c r="G1155" s="30">
        <v>60.0</v>
      </c>
      <c r="H1155" s="22" t="s">
        <v>1535</v>
      </c>
      <c r="I1155" s="7"/>
      <c r="J1155" s="32" t="s">
        <v>1536</v>
      </c>
      <c r="K1155" s="17"/>
      <c r="L1155" s="17"/>
      <c r="M1155" s="1"/>
      <c r="N1155" s="1"/>
      <c r="O1155" s="1"/>
      <c r="P1155" s="11"/>
      <c r="Q1155" s="11"/>
      <c r="R1155" s="11"/>
      <c r="S1155" s="11"/>
      <c r="T1155" s="1"/>
      <c r="U1155" s="1"/>
      <c r="V1155" s="1"/>
      <c r="W1155" s="1"/>
      <c r="X1155" s="1"/>
      <c r="Y1155" s="1"/>
      <c r="Z1155" s="1"/>
    </row>
    <row r="1156" ht="18.0" customHeight="1" outlineLevel="2">
      <c r="A1156" s="26">
        <v>4.0</v>
      </c>
      <c r="B1156" s="26" t="s">
        <v>1498</v>
      </c>
      <c r="C1156" s="1"/>
      <c r="D1156" s="1"/>
      <c r="E1156" s="29"/>
      <c r="F1156" s="15"/>
      <c r="G1156" s="30"/>
      <c r="H1156" s="22"/>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5.0</v>
      </c>
      <c r="B1157" s="26" t="s">
        <v>1500</v>
      </c>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6.0</v>
      </c>
      <c r="B1158" s="1"/>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7.0</v>
      </c>
      <c r="B1159" s="26" t="s">
        <v>1209</v>
      </c>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8.0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9.0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2">
      <c r="A1162" s="26">
        <v>10.0</v>
      </c>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1"/>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1">
      <c r="A1165" s="1"/>
      <c r="B1165" s="26" t="s">
        <v>1537</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1.0</v>
      </c>
      <c r="B1166" s="26" t="s">
        <v>32</v>
      </c>
      <c r="C1166" s="1"/>
      <c r="D1166" s="1"/>
      <c r="E1166" s="14"/>
      <c r="F1166" s="15"/>
      <c r="G1166" s="16"/>
      <c r="H1166" s="11"/>
      <c r="I1166" s="7"/>
      <c r="J1166" s="7"/>
      <c r="K1166" s="17"/>
      <c r="L1166" s="17"/>
      <c r="M1166" s="1"/>
      <c r="N1166" s="1"/>
      <c r="O1166" s="1"/>
      <c r="P1166" s="11"/>
      <c r="Q1166" s="11"/>
      <c r="R1166" s="11"/>
      <c r="S1166" s="11"/>
      <c r="T1166" s="1"/>
      <c r="U1166" s="1"/>
      <c r="V1166" s="1"/>
      <c r="W1166" s="1"/>
      <c r="X1166" s="1"/>
      <c r="Y1166" s="1"/>
      <c r="Z1166" s="1"/>
    </row>
    <row r="1167" ht="18.0" customHeight="1" outlineLevel="2">
      <c r="A1167" s="26">
        <v>2.0</v>
      </c>
      <c r="B1167" s="26" t="s">
        <v>1538</v>
      </c>
      <c r="C1167" s="1"/>
      <c r="D1167" s="1"/>
      <c r="E1167" s="29" t="s">
        <v>33</v>
      </c>
      <c r="F1167" s="15"/>
      <c r="G1167" s="30">
        <v>60.0</v>
      </c>
      <c r="H1167" s="22" t="s">
        <v>1539</v>
      </c>
      <c r="I1167" s="7"/>
      <c r="J1167" s="32" t="s">
        <v>1540</v>
      </c>
      <c r="K1167" s="17"/>
      <c r="L1167" s="17"/>
      <c r="M1167" s="1"/>
      <c r="N1167" s="1"/>
      <c r="O1167" s="1"/>
      <c r="P1167" s="11"/>
      <c r="Q1167" s="11"/>
      <c r="R1167" s="11"/>
      <c r="S1167" s="11"/>
      <c r="T1167" s="1"/>
      <c r="U1167" s="1"/>
      <c r="V1167" s="1"/>
      <c r="W1167" s="1"/>
      <c r="X1167" s="1"/>
      <c r="Y1167" s="1"/>
      <c r="Z1167" s="1"/>
    </row>
    <row r="1168" ht="18.0" customHeight="1" outlineLevel="2">
      <c r="A1168" s="26">
        <v>3.0</v>
      </c>
      <c r="B1168" s="26" t="s">
        <v>1541</v>
      </c>
      <c r="C1168" s="1"/>
      <c r="D1168" s="1"/>
      <c r="E1168" s="29" t="s">
        <v>55</v>
      </c>
      <c r="F1168" s="15"/>
      <c r="G1168" s="16"/>
      <c r="H1168" s="22" t="s">
        <v>1542</v>
      </c>
      <c r="I1168" s="7"/>
      <c r="J1168" s="32" t="s">
        <v>1543</v>
      </c>
      <c r="K1168" s="17"/>
      <c r="L1168" s="17"/>
      <c r="M1168" s="1"/>
      <c r="N1168" s="1"/>
      <c r="O1168" s="1"/>
      <c r="P1168" s="11"/>
      <c r="Q1168" s="11"/>
      <c r="R1168" s="11"/>
      <c r="S1168" s="11"/>
      <c r="T1168" s="1"/>
      <c r="U1168" s="1"/>
      <c r="V1168" s="1"/>
      <c r="W1168" s="1"/>
      <c r="X1168" s="1"/>
      <c r="Y1168" s="1"/>
      <c r="Z1168" s="1"/>
    </row>
    <row r="1169" ht="18.0" customHeight="1" outlineLevel="2">
      <c r="A1169" s="26">
        <v>4.0</v>
      </c>
      <c r="B1169" s="26" t="s">
        <v>1544</v>
      </c>
      <c r="C1169" s="1"/>
      <c r="D1169" s="1"/>
      <c r="E1169" s="29" t="s">
        <v>55</v>
      </c>
      <c r="F1169" s="15"/>
      <c r="G1169" s="30"/>
      <c r="H1169" s="22" t="s">
        <v>1545</v>
      </c>
      <c r="I1169" s="7"/>
      <c r="J1169" s="32" t="s">
        <v>1546</v>
      </c>
      <c r="K1169" s="17"/>
      <c r="L1169" s="17"/>
      <c r="M1169" s="1"/>
      <c r="N1169" s="1"/>
      <c r="O1169" s="1"/>
      <c r="P1169" s="11"/>
      <c r="Q1169" s="11"/>
      <c r="R1169" s="11"/>
      <c r="S1169" s="11"/>
      <c r="T1169" s="1"/>
      <c r="U1169" s="1"/>
      <c r="V1169" s="1"/>
      <c r="W1169" s="1"/>
      <c r="X1169" s="1"/>
      <c r="Y1169" s="1"/>
      <c r="Z1169" s="1"/>
    </row>
    <row r="1170" ht="18.0" customHeight="1" outlineLevel="2">
      <c r="A1170" s="26">
        <v>5.0</v>
      </c>
      <c r="B1170" s="26" t="s">
        <v>1500</v>
      </c>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6.0</v>
      </c>
      <c r="B1171" s="1"/>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7.0</v>
      </c>
      <c r="B1172" s="26" t="s">
        <v>1209</v>
      </c>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8.0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9.0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2">
      <c r="A1175" s="26">
        <v>10.0</v>
      </c>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1"/>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1">
      <c r="A1178" s="1"/>
      <c r="B1178" s="26" t="s">
        <v>1547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1.0</v>
      </c>
      <c r="B1179" s="26" t="s">
        <v>37</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2.0</v>
      </c>
      <c r="B1180" s="26" t="s">
        <v>45</v>
      </c>
      <c r="C1180" s="1"/>
      <c r="D1180" s="1"/>
      <c r="E1180" s="14"/>
      <c r="F1180" s="15"/>
      <c r="G1180" s="16"/>
      <c r="H1180" s="11"/>
      <c r="I1180" s="7"/>
      <c r="J1180" s="7"/>
      <c r="K1180" s="17"/>
      <c r="L1180" s="17"/>
      <c r="M1180" s="1"/>
      <c r="N1180" s="1"/>
      <c r="O1180" s="1"/>
      <c r="P1180" s="11"/>
      <c r="Q1180" s="11"/>
      <c r="R1180" s="11"/>
      <c r="S1180" s="11"/>
      <c r="T1180" s="1"/>
      <c r="U1180" s="1"/>
      <c r="V1180" s="1"/>
      <c r="W1180" s="1"/>
      <c r="X1180" s="1"/>
      <c r="Y1180" s="1"/>
      <c r="Z1180" s="1"/>
    </row>
    <row r="1181" ht="18.0" customHeight="1" outlineLevel="2">
      <c r="A1181" s="26">
        <v>3.0</v>
      </c>
      <c r="B1181" s="26" t="s">
        <v>1548</v>
      </c>
      <c r="C1181" s="1"/>
      <c r="D1181" s="1"/>
      <c r="E1181" s="29" t="s">
        <v>33</v>
      </c>
      <c r="F1181" s="15"/>
      <c r="G1181" s="30">
        <v>60.0</v>
      </c>
      <c r="H1181" s="22" t="s">
        <v>1549</v>
      </c>
      <c r="I1181" s="7"/>
      <c r="J1181" s="32" t="s">
        <v>1550</v>
      </c>
      <c r="K1181" s="17"/>
      <c r="L1181" s="17"/>
      <c r="M1181" s="1"/>
      <c r="N1181" s="1"/>
      <c r="O1181" s="1"/>
      <c r="P1181" s="11"/>
      <c r="Q1181" s="11"/>
      <c r="R1181" s="11"/>
      <c r="S1181" s="11"/>
      <c r="T1181" s="1"/>
      <c r="U1181" s="1"/>
      <c r="V1181" s="1"/>
      <c r="W1181" s="1"/>
      <c r="X1181" s="1"/>
      <c r="Y1181" s="1"/>
      <c r="Z1181" s="1"/>
    </row>
    <row r="1182" ht="18.0" customHeight="1" outlineLevel="2">
      <c r="A1182" s="26">
        <v>4.0</v>
      </c>
      <c r="B1182" s="26" t="s">
        <v>1551</v>
      </c>
      <c r="C1182" s="1"/>
      <c r="D1182" s="1"/>
      <c r="E1182" s="29" t="s">
        <v>55</v>
      </c>
      <c r="F1182" s="15"/>
      <c r="G1182" s="30"/>
      <c r="H1182" s="22" t="s">
        <v>1552</v>
      </c>
      <c r="I1182" s="7"/>
      <c r="J1182" s="32" t="s">
        <v>1553</v>
      </c>
      <c r="K1182" s="17"/>
      <c r="L1182" s="17"/>
      <c r="M1182" s="1"/>
      <c r="N1182" s="1"/>
      <c r="O1182" s="1"/>
      <c r="P1182" s="11"/>
      <c r="Q1182" s="11"/>
      <c r="R1182" s="11"/>
      <c r="S1182" s="11"/>
      <c r="T1182" s="1"/>
      <c r="U1182" s="1"/>
      <c r="V1182" s="1"/>
      <c r="W1182" s="1"/>
      <c r="X1182" s="1"/>
      <c r="Y1182" s="1"/>
      <c r="Z1182" s="1"/>
    </row>
    <row r="1183" ht="18.0" customHeight="1" outlineLevel="2">
      <c r="A1183" s="26">
        <v>5.0</v>
      </c>
      <c r="B1183" s="26" t="s">
        <v>1500</v>
      </c>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6.0</v>
      </c>
      <c r="B1184" s="1"/>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7.0</v>
      </c>
      <c r="B1185" s="26" t="s">
        <v>1209</v>
      </c>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8.0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9.0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2">
      <c r="A1188" s="26">
        <v>10.0</v>
      </c>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1"/>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1">
      <c r="A1191" s="1"/>
      <c r="B1191" s="26" t="s">
        <v>1554</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1.0</v>
      </c>
      <c r="B1192" s="26" t="s">
        <v>35</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2.0</v>
      </c>
      <c r="B1193" s="26" t="s">
        <v>39</v>
      </c>
      <c r="C1193" s="1"/>
      <c r="D1193" s="1"/>
      <c r="E1193" s="14"/>
      <c r="F1193" s="15"/>
      <c r="G1193" s="16"/>
      <c r="H1193" s="11"/>
      <c r="I1193" s="7"/>
      <c r="J1193" s="7"/>
      <c r="K1193" s="17"/>
      <c r="L1193" s="17"/>
      <c r="M1193" s="1"/>
      <c r="N1193" s="1"/>
      <c r="O1193" s="1"/>
      <c r="P1193" s="11"/>
      <c r="Q1193" s="11"/>
      <c r="R1193" s="11"/>
      <c r="S1193" s="11"/>
      <c r="T1193" s="1"/>
      <c r="U1193" s="1"/>
      <c r="V1193" s="1"/>
      <c r="W1193" s="1"/>
      <c r="X1193" s="1"/>
      <c r="Y1193" s="1"/>
      <c r="Z1193" s="1"/>
    </row>
    <row r="1194" ht="18.0" customHeight="1" outlineLevel="2">
      <c r="A1194" s="26">
        <v>3.0</v>
      </c>
      <c r="B1194" s="26" t="s">
        <v>1555</v>
      </c>
      <c r="C1194" s="1"/>
      <c r="D1194" s="1"/>
      <c r="E1194" s="29" t="s">
        <v>55</v>
      </c>
      <c r="F1194" s="15"/>
      <c r="G1194" s="16"/>
      <c r="H1194" s="22" t="s">
        <v>1556</v>
      </c>
      <c r="I1194" s="7"/>
      <c r="J1194" s="32" t="s">
        <v>1557</v>
      </c>
      <c r="K1194" s="17"/>
      <c r="L1194" s="17"/>
      <c r="M1194" s="1"/>
      <c r="N1194" s="1"/>
      <c r="O1194" s="1"/>
      <c r="P1194" s="11"/>
      <c r="Q1194" s="11"/>
      <c r="R1194" s="11"/>
      <c r="S1194" s="11"/>
      <c r="T1194" s="1"/>
      <c r="U1194" s="1"/>
      <c r="V1194" s="1"/>
      <c r="W1194" s="1"/>
      <c r="X1194" s="1"/>
      <c r="Y1194" s="1"/>
      <c r="Z1194" s="1"/>
    </row>
    <row r="1195" ht="18.0" customHeight="1" outlineLevel="2">
      <c r="A1195" s="26">
        <v>4.0</v>
      </c>
      <c r="B1195" s="26" t="s">
        <v>1558</v>
      </c>
      <c r="C1195" s="1"/>
      <c r="D1195" s="1"/>
      <c r="E1195" s="29" t="s">
        <v>55</v>
      </c>
      <c r="F1195" s="15"/>
      <c r="G1195" s="30"/>
      <c r="H1195" s="22" t="s">
        <v>1559</v>
      </c>
      <c r="I1195" s="7"/>
      <c r="J1195" s="32" t="s">
        <v>1560</v>
      </c>
      <c r="K1195" s="17"/>
      <c r="L1195" s="17"/>
      <c r="M1195" s="1"/>
      <c r="N1195" s="1"/>
      <c r="O1195" s="1"/>
      <c r="P1195" s="11"/>
      <c r="Q1195" s="11"/>
      <c r="R1195" s="11"/>
      <c r="S1195" s="11"/>
      <c r="T1195" s="1"/>
      <c r="U1195" s="1"/>
      <c r="V1195" s="1"/>
      <c r="W1195" s="1"/>
      <c r="X1195" s="1"/>
      <c r="Y1195" s="1"/>
      <c r="Z1195" s="1"/>
    </row>
    <row r="1196" ht="18.0" customHeight="1" outlineLevel="2">
      <c r="A1196" s="26">
        <v>5.0</v>
      </c>
      <c r="B1196" s="26" t="s">
        <v>1500</v>
      </c>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6.0</v>
      </c>
      <c r="B1197" s="1"/>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7.0</v>
      </c>
      <c r="B1198" s="26" t="s">
        <v>1209</v>
      </c>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8.0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9.0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2">
      <c r="A1201" s="26">
        <v>10.0</v>
      </c>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1"/>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1">
      <c r="A1204" s="1"/>
      <c r="B1204" s="26" t="s">
        <v>1561</v>
      </c>
      <c r="C1204" s="1"/>
      <c r="D1204" s="1"/>
      <c r="E1204" s="14"/>
      <c r="F1204" s="15"/>
      <c r="G1204" s="16"/>
      <c r="H1204" s="11"/>
      <c r="I1204" s="7"/>
      <c r="J1204" s="7"/>
      <c r="K1204" s="17"/>
      <c r="L1204" s="17"/>
      <c r="M1204" s="1"/>
      <c r="N1204" s="1"/>
      <c r="O1204" s="1"/>
      <c r="P1204" s="11"/>
      <c r="Q1204" s="11"/>
      <c r="R1204" s="11"/>
      <c r="S1204" s="11"/>
      <c r="T1204" s="1"/>
      <c r="U1204" s="1"/>
      <c r="V1204" s="1"/>
      <c r="W1204" s="1"/>
      <c r="X1204" s="1"/>
      <c r="Y1204" s="1"/>
      <c r="Z1204" s="1"/>
    </row>
    <row r="1205" ht="18.0" customHeight="1" outlineLevel="2">
      <c r="A1205" s="26">
        <v>1.0</v>
      </c>
      <c r="B1205" s="26" t="s">
        <v>1562</v>
      </c>
      <c r="C1205" s="1"/>
      <c r="D1205" s="1"/>
      <c r="E1205" s="29" t="s">
        <v>33</v>
      </c>
      <c r="F1205" s="15"/>
      <c r="G1205" s="30">
        <v>40.0</v>
      </c>
      <c r="H1205" s="22" t="s">
        <v>1563</v>
      </c>
      <c r="I1205" s="7"/>
      <c r="J1205" s="32" t="s">
        <v>1564</v>
      </c>
      <c r="K1205" s="17"/>
      <c r="L1205" s="17"/>
      <c r="M1205" s="1"/>
      <c r="N1205" s="1"/>
      <c r="O1205" s="1"/>
      <c r="P1205" s="11"/>
      <c r="Q1205" s="11"/>
      <c r="R1205" s="11"/>
      <c r="S1205" s="11"/>
      <c r="T1205" s="1"/>
      <c r="U1205" s="1"/>
      <c r="V1205" s="1"/>
      <c r="W1205" s="1"/>
      <c r="X1205" s="1"/>
      <c r="Y1205" s="1"/>
      <c r="Z1205" s="1"/>
    </row>
    <row r="1206" ht="18.0" customHeight="1" outlineLevel="2">
      <c r="A1206" s="26">
        <v>2.0</v>
      </c>
      <c r="B1206" s="26" t="s">
        <v>1565</v>
      </c>
      <c r="C1206" s="1"/>
      <c r="D1206" s="1"/>
      <c r="E1206" s="29" t="s">
        <v>33</v>
      </c>
      <c r="F1206" s="15"/>
      <c r="G1206" s="30">
        <v>40.0</v>
      </c>
      <c r="H1206" s="22" t="s">
        <v>1566</v>
      </c>
      <c r="I1206" s="7"/>
      <c r="J1206" s="32" t="s">
        <v>1567</v>
      </c>
      <c r="K1206" s="17"/>
      <c r="L1206" s="17"/>
      <c r="M1206" s="1"/>
      <c r="N1206" s="1"/>
      <c r="O1206" s="1"/>
      <c r="P1206" s="11"/>
      <c r="Q1206" s="11"/>
      <c r="R1206" s="11"/>
      <c r="S1206" s="11"/>
      <c r="T1206" s="1"/>
      <c r="U1206" s="1"/>
      <c r="V1206" s="1"/>
      <c r="W1206" s="1"/>
      <c r="X1206" s="1"/>
      <c r="Y1206" s="1"/>
      <c r="Z1206" s="1"/>
    </row>
    <row r="1207" ht="18.0" customHeight="1" outlineLevel="2">
      <c r="A1207" s="26">
        <v>3.0</v>
      </c>
      <c r="B1207" s="26" t="s">
        <v>1568</v>
      </c>
      <c r="C1207" s="1"/>
      <c r="D1207" s="1"/>
      <c r="E1207" s="29" t="s">
        <v>55</v>
      </c>
      <c r="F1207" s="15"/>
      <c r="G1207" s="16"/>
      <c r="H1207" s="22" t="s">
        <v>1569</v>
      </c>
      <c r="I1207" s="7"/>
      <c r="J1207" s="32" t="s">
        <v>1570</v>
      </c>
      <c r="K1207" s="17"/>
      <c r="L1207" s="17"/>
      <c r="M1207" s="1"/>
      <c r="N1207" s="1"/>
      <c r="O1207" s="1"/>
      <c r="P1207" s="11"/>
      <c r="Q1207" s="11"/>
      <c r="R1207" s="11"/>
      <c r="S1207" s="11"/>
      <c r="T1207" s="1"/>
      <c r="U1207" s="1"/>
      <c r="V1207" s="1"/>
      <c r="W1207" s="1"/>
      <c r="X1207" s="1"/>
      <c r="Y1207" s="1"/>
      <c r="Z1207" s="1"/>
    </row>
    <row r="1208" ht="18.0" customHeight="1" outlineLevel="2">
      <c r="A1208" s="26">
        <v>4.0</v>
      </c>
      <c r="B1208" s="26" t="s">
        <v>1571</v>
      </c>
      <c r="C1208" s="1"/>
      <c r="D1208" s="1"/>
      <c r="E1208" s="29" t="s">
        <v>55</v>
      </c>
      <c r="F1208" s="15"/>
      <c r="G1208" s="30"/>
      <c r="H1208" s="22" t="s">
        <v>1545</v>
      </c>
      <c r="I1208" s="7"/>
      <c r="J1208" s="32" t="s">
        <v>1572</v>
      </c>
      <c r="K1208" s="17"/>
      <c r="L1208" s="17"/>
      <c r="M1208" s="1"/>
      <c r="N1208" s="1"/>
      <c r="O1208" s="1"/>
      <c r="P1208" s="11"/>
      <c r="Q1208" s="11"/>
      <c r="R1208" s="11"/>
      <c r="S1208" s="11"/>
      <c r="T1208" s="1"/>
      <c r="U1208" s="1"/>
      <c r="V1208" s="1"/>
      <c r="W1208" s="1"/>
      <c r="X1208" s="1"/>
      <c r="Y1208" s="1"/>
      <c r="Z1208" s="1"/>
    </row>
    <row r="1209" ht="18.0" customHeight="1" outlineLevel="2">
      <c r="A1209" s="26">
        <v>5.0</v>
      </c>
      <c r="B1209" s="26" t="s">
        <v>1500</v>
      </c>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6.0</v>
      </c>
      <c r="B1210" s="1"/>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7.0</v>
      </c>
      <c r="B1211" s="26" t="s">
        <v>1209</v>
      </c>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8.0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9.0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2">
      <c r="A1214" s="26">
        <v>10.0</v>
      </c>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1"/>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1">
      <c r="A1217" s="1"/>
      <c r="B1217" s="26" t="s">
        <v>1573</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1.0</v>
      </c>
      <c r="B1218" s="26" t="s">
        <v>35</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2.0</v>
      </c>
      <c r="B1219" s="26" t="s">
        <v>37</v>
      </c>
      <c r="C1219" s="1"/>
      <c r="D1219" s="1"/>
      <c r="E1219" s="14"/>
      <c r="F1219" s="15"/>
      <c r="G1219" s="16"/>
      <c r="H1219" s="11"/>
      <c r="I1219" s="7"/>
      <c r="J1219" s="7"/>
      <c r="K1219" s="17"/>
      <c r="L1219" s="17"/>
      <c r="M1219" s="1"/>
      <c r="N1219" s="1"/>
      <c r="O1219" s="1"/>
      <c r="P1219" s="11"/>
      <c r="Q1219" s="11"/>
      <c r="R1219" s="11"/>
      <c r="S1219" s="11"/>
      <c r="T1219" s="1"/>
      <c r="U1219" s="1"/>
      <c r="V1219" s="1"/>
      <c r="W1219" s="1"/>
      <c r="X1219" s="1"/>
      <c r="Y1219" s="1"/>
      <c r="Z1219" s="1"/>
    </row>
    <row r="1220" ht="18.0" customHeight="1" outlineLevel="2">
      <c r="A1220" s="26">
        <v>3.0</v>
      </c>
      <c r="B1220" s="26" t="s">
        <v>1574</v>
      </c>
      <c r="C1220" s="1"/>
      <c r="D1220" s="1"/>
      <c r="E1220" s="29" t="s">
        <v>55</v>
      </c>
      <c r="F1220" s="15"/>
      <c r="G1220" s="16"/>
      <c r="H1220" s="22" t="s">
        <v>1575</v>
      </c>
      <c r="I1220" s="7"/>
      <c r="J1220" s="32" t="s">
        <v>1576</v>
      </c>
      <c r="K1220" s="17"/>
      <c r="L1220" s="17"/>
      <c r="M1220" s="1"/>
      <c r="N1220" s="1"/>
      <c r="O1220" s="1"/>
      <c r="P1220" s="11"/>
      <c r="Q1220" s="11"/>
      <c r="R1220" s="11"/>
      <c r="S1220" s="11"/>
      <c r="T1220" s="1"/>
      <c r="U1220" s="1"/>
      <c r="V1220" s="1"/>
      <c r="W1220" s="1"/>
      <c r="X1220" s="1"/>
      <c r="Y1220" s="1"/>
      <c r="Z1220" s="1"/>
    </row>
    <row r="1221" ht="18.0" customHeight="1" outlineLevel="2">
      <c r="A1221" s="26">
        <v>4.0</v>
      </c>
      <c r="B1221" s="26" t="s">
        <v>1577</v>
      </c>
      <c r="C1221" s="1"/>
      <c r="D1221" s="1"/>
      <c r="E1221" s="29" t="s">
        <v>55</v>
      </c>
      <c r="F1221" s="15"/>
      <c r="G1221" s="30"/>
      <c r="H1221" s="22" t="s">
        <v>1578</v>
      </c>
      <c r="I1221" s="7"/>
      <c r="J1221" s="32" t="s">
        <v>1579</v>
      </c>
      <c r="K1221" s="17"/>
      <c r="L1221" s="17"/>
      <c r="M1221" s="1"/>
      <c r="N1221" s="1"/>
      <c r="O1221" s="1"/>
      <c r="P1221" s="11"/>
      <c r="Q1221" s="11"/>
      <c r="R1221" s="11"/>
      <c r="S1221" s="11"/>
      <c r="T1221" s="1"/>
      <c r="U1221" s="1"/>
      <c r="V1221" s="1"/>
      <c r="W1221" s="1"/>
      <c r="X1221" s="1"/>
      <c r="Y1221" s="1"/>
      <c r="Z1221" s="1"/>
    </row>
    <row r="1222" ht="18.0" customHeight="1" outlineLevel="2">
      <c r="A1222" s="26">
        <v>5.0</v>
      </c>
      <c r="B1222" s="26" t="s">
        <v>1500</v>
      </c>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6.0</v>
      </c>
      <c r="B1223" s="1"/>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7.0</v>
      </c>
      <c r="B1224" s="26" t="s">
        <v>1209</v>
      </c>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8.0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9.0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2">
      <c r="A1227" s="26">
        <v>10.0</v>
      </c>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1"/>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1">
      <c r="A1230" s="1"/>
      <c r="B1230" s="26" t="s">
        <v>1580</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1.0</v>
      </c>
      <c r="B1231" s="26" t="s">
        <v>35</v>
      </c>
      <c r="C1231" s="1"/>
      <c r="D1231" s="1"/>
      <c r="E1231" s="14"/>
      <c r="F1231" s="15"/>
      <c r="G1231" s="16"/>
      <c r="H1231" s="11"/>
      <c r="I1231" s="7"/>
      <c r="J1231" s="7"/>
      <c r="K1231" s="17"/>
      <c r="L1231" s="17"/>
      <c r="M1231" s="1"/>
      <c r="N1231" s="1"/>
      <c r="O1231" s="1"/>
      <c r="P1231" s="11"/>
      <c r="Q1231" s="11"/>
      <c r="R1231" s="11"/>
      <c r="S1231" s="11"/>
      <c r="T1231" s="1"/>
      <c r="U1231" s="1"/>
      <c r="V1231" s="1"/>
      <c r="W1231" s="1"/>
      <c r="X1231" s="1"/>
      <c r="Y1231" s="1"/>
      <c r="Z1231" s="1"/>
    </row>
    <row r="1232" ht="18.0" customHeight="1" outlineLevel="2">
      <c r="A1232" s="26">
        <v>2.0</v>
      </c>
      <c r="B1232" s="26" t="s">
        <v>1581</v>
      </c>
      <c r="C1232" s="1"/>
      <c r="D1232" s="1"/>
      <c r="E1232" s="29" t="s">
        <v>33</v>
      </c>
      <c r="F1232" s="15"/>
      <c r="G1232" s="30">
        <v>50.0</v>
      </c>
      <c r="H1232" s="22" t="s">
        <v>1582</v>
      </c>
      <c r="I1232" s="7"/>
      <c r="J1232" s="32" t="s">
        <v>1583</v>
      </c>
      <c r="K1232" s="17"/>
      <c r="L1232" s="17"/>
      <c r="M1232" s="1"/>
      <c r="N1232" s="1"/>
      <c r="O1232" s="1"/>
      <c r="P1232" s="11"/>
      <c r="Q1232" s="11"/>
      <c r="R1232" s="11"/>
      <c r="S1232" s="11"/>
      <c r="T1232" s="1"/>
      <c r="U1232" s="1"/>
      <c r="V1232" s="1"/>
      <c r="W1232" s="1"/>
      <c r="X1232" s="1"/>
      <c r="Y1232" s="1"/>
      <c r="Z1232" s="1"/>
    </row>
    <row r="1233" ht="18.0" customHeight="1" outlineLevel="2">
      <c r="A1233" s="26">
        <v>3.0</v>
      </c>
      <c r="B1233" s="26" t="s">
        <v>1584</v>
      </c>
      <c r="C1233" s="1"/>
      <c r="D1233" s="1"/>
      <c r="E1233" s="29" t="s">
        <v>55</v>
      </c>
      <c r="F1233" s="15"/>
      <c r="G1233" s="16"/>
      <c r="H1233" s="22" t="s">
        <v>1585</v>
      </c>
      <c r="I1233" s="7"/>
      <c r="J1233" s="32" t="s">
        <v>1586</v>
      </c>
      <c r="K1233" s="17"/>
      <c r="L1233" s="17"/>
      <c r="M1233" s="1"/>
      <c r="N1233" s="1"/>
      <c r="O1233" s="1"/>
      <c r="P1233" s="11"/>
      <c r="Q1233" s="11"/>
      <c r="R1233" s="11"/>
      <c r="S1233" s="11"/>
      <c r="T1233" s="1"/>
      <c r="U1233" s="1"/>
      <c r="V1233" s="1"/>
      <c r="W1233" s="1"/>
      <c r="X1233" s="1"/>
      <c r="Y1233" s="1"/>
      <c r="Z1233" s="1"/>
    </row>
    <row r="1234" ht="18.0" customHeight="1" outlineLevel="2">
      <c r="A1234" s="26">
        <v>4.0</v>
      </c>
      <c r="B1234" s="26" t="s">
        <v>1587</v>
      </c>
      <c r="C1234" s="1"/>
      <c r="D1234" s="1"/>
      <c r="E1234" s="29" t="s">
        <v>33</v>
      </c>
      <c r="F1234" s="15"/>
      <c r="G1234" s="30">
        <v>40.0</v>
      </c>
      <c r="H1234" s="22" t="s">
        <v>1588</v>
      </c>
      <c r="I1234" s="7"/>
      <c r="J1234" s="32" t="s">
        <v>1589</v>
      </c>
      <c r="K1234" s="17"/>
      <c r="L1234" s="17"/>
      <c r="M1234" s="1"/>
      <c r="N1234" s="1"/>
      <c r="O1234" s="1"/>
      <c r="P1234" s="11"/>
      <c r="Q1234" s="11"/>
      <c r="R1234" s="11"/>
      <c r="S1234" s="11"/>
      <c r="T1234" s="1"/>
      <c r="U1234" s="1"/>
      <c r="V1234" s="1"/>
      <c r="W1234" s="1"/>
      <c r="X1234" s="1"/>
      <c r="Y1234" s="1"/>
      <c r="Z1234" s="1"/>
    </row>
    <row r="1235" ht="18.0" customHeight="1" outlineLevel="2">
      <c r="A1235" s="26">
        <v>5.0</v>
      </c>
      <c r="B1235" s="26" t="s">
        <v>1500</v>
      </c>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6.0</v>
      </c>
      <c r="B1236" s="1"/>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7.0</v>
      </c>
      <c r="B1237" s="26" t="s">
        <v>1209</v>
      </c>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8.0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9.0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2">
      <c r="A1240" s="26">
        <v>10.0</v>
      </c>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1"/>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1">
      <c r="A1243" s="1"/>
      <c r="B1243" s="26" t="s">
        <v>1590</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1.0</v>
      </c>
      <c r="B1244" s="26" t="s">
        <v>32</v>
      </c>
      <c r="C1244" s="1"/>
      <c r="D1244" s="1"/>
      <c r="E1244" s="14"/>
      <c r="F1244" s="15"/>
      <c r="G1244" s="16"/>
      <c r="H1244" s="11"/>
      <c r="I1244" s="7"/>
      <c r="J1244" s="7"/>
      <c r="K1244" s="17"/>
      <c r="L1244" s="17"/>
      <c r="M1244" s="1"/>
      <c r="N1244" s="1"/>
      <c r="O1244" s="1"/>
      <c r="P1244" s="11"/>
      <c r="Q1244" s="11"/>
      <c r="R1244" s="11"/>
      <c r="S1244" s="11"/>
      <c r="T1244" s="1"/>
      <c r="U1244" s="1"/>
      <c r="V1244" s="1"/>
      <c r="W1244" s="1"/>
      <c r="X1244" s="1"/>
      <c r="Y1244" s="1"/>
      <c r="Z1244" s="1"/>
    </row>
    <row r="1245" ht="18.0" customHeight="1" outlineLevel="2">
      <c r="A1245" s="26">
        <v>2.0</v>
      </c>
      <c r="B1245" s="26" t="s">
        <v>1591</v>
      </c>
      <c r="C1245" s="1"/>
      <c r="D1245" s="1"/>
      <c r="E1245" s="29" t="s">
        <v>33</v>
      </c>
      <c r="F1245" s="15"/>
      <c r="G1245" s="30">
        <v>60.0</v>
      </c>
      <c r="H1245" s="22" t="s">
        <v>1592</v>
      </c>
      <c r="I1245" s="7"/>
      <c r="J1245" s="32" t="s">
        <v>1593</v>
      </c>
      <c r="K1245" s="17"/>
      <c r="L1245" s="17"/>
      <c r="M1245" s="1"/>
      <c r="N1245" s="1"/>
      <c r="O1245" s="1"/>
      <c r="P1245" s="11"/>
      <c r="Q1245" s="11"/>
      <c r="R1245" s="11"/>
      <c r="S1245" s="11"/>
      <c r="T1245" s="1"/>
      <c r="U1245" s="1"/>
      <c r="V1245" s="1"/>
      <c r="W1245" s="1"/>
      <c r="X1245" s="1"/>
      <c r="Y1245" s="1"/>
      <c r="Z1245" s="1"/>
    </row>
    <row r="1246" ht="18.0" customHeight="1" outlineLevel="2">
      <c r="A1246" s="26">
        <v>3.0</v>
      </c>
      <c r="B1246" s="26" t="s">
        <v>1522</v>
      </c>
      <c r="C1246" s="1"/>
      <c r="D1246" s="1"/>
      <c r="E1246" s="29"/>
      <c r="F1246" s="15"/>
      <c r="G1246" s="16"/>
      <c r="H1246" s="22"/>
      <c r="I1246" s="7"/>
      <c r="J1246" s="7"/>
      <c r="K1246" s="17"/>
      <c r="L1246" s="17"/>
      <c r="M1246" s="1"/>
      <c r="N1246" s="1"/>
      <c r="O1246" s="1"/>
      <c r="P1246" s="11"/>
      <c r="Q1246" s="11"/>
      <c r="R1246" s="11"/>
      <c r="S1246" s="11"/>
      <c r="T1246" s="1"/>
      <c r="U1246" s="1"/>
      <c r="V1246" s="1"/>
      <c r="W1246" s="1"/>
      <c r="X1246" s="1"/>
      <c r="Y1246" s="1"/>
      <c r="Z1246" s="1"/>
    </row>
    <row r="1247" ht="18.0" customHeight="1" outlineLevel="2">
      <c r="A1247" s="26">
        <v>4.0</v>
      </c>
      <c r="B1247" s="26" t="s">
        <v>1594</v>
      </c>
      <c r="C1247" s="1"/>
      <c r="D1247" s="1"/>
      <c r="E1247" s="29" t="s">
        <v>55</v>
      </c>
      <c r="F1247" s="15"/>
      <c r="G1247" s="30"/>
      <c r="H1247" s="22" t="s">
        <v>1595</v>
      </c>
      <c r="I1247" s="7"/>
      <c r="J1247" s="32" t="s">
        <v>1596</v>
      </c>
      <c r="K1247" s="17"/>
      <c r="L1247" s="17"/>
      <c r="M1247" s="1"/>
      <c r="N1247" s="1"/>
      <c r="O1247" s="1"/>
      <c r="P1247" s="11"/>
      <c r="Q1247" s="11"/>
      <c r="R1247" s="11"/>
      <c r="S1247" s="11"/>
      <c r="T1247" s="1"/>
      <c r="U1247" s="1"/>
      <c r="V1247" s="1"/>
      <c r="W1247" s="1"/>
      <c r="X1247" s="1"/>
      <c r="Y1247" s="1"/>
      <c r="Z1247" s="1"/>
    </row>
    <row r="1248" ht="18.0" customHeight="1" outlineLevel="2">
      <c r="A1248" s="26">
        <v>5.0</v>
      </c>
      <c r="B1248" s="26" t="s">
        <v>1500</v>
      </c>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6.0</v>
      </c>
      <c r="B1249" s="1"/>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7.0</v>
      </c>
      <c r="B1250" s="26" t="s">
        <v>1209</v>
      </c>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8.0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9.0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2">
      <c r="A1253" s="26">
        <v>10.0</v>
      </c>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outlineLevel="1">
      <c r="A1255" s="1"/>
      <c r="B1255" s="1"/>
      <c r="C1255" s="1"/>
      <c r="D1255" s="1"/>
      <c r="E1255" s="14"/>
      <c r="F1255" s="15"/>
      <c r="G1255" s="16"/>
      <c r="H1255" s="11"/>
      <c r="I1255" s="7"/>
      <c r="J1255" s="7"/>
      <c r="K1255" s="17"/>
      <c r="L1255" s="17"/>
      <c r="M1255" s="1"/>
      <c r="N1255" s="1"/>
      <c r="O1255" s="1"/>
      <c r="P1255" s="11"/>
      <c r="Q1255" s="11"/>
      <c r="R1255" s="11"/>
      <c r="S1255" s="11"/>
      <c r="T1255" s="1"/>
      <c r="U1255" s="1"/>
      <c r="V1255" s="1"/>
      <c r="W1255" s="1"/>
      <c r="X1255" s="1"/>
      <c r="Y1255" s="1"/>
      <c r="Z1255" s="1"/>
    </row>
    <row r="1256" ht="18.0" customHeight="1">
      <c r="A1256" s="1"/>
      <c r="B1256" s="1"/>
      <c r="C1256" s="26" t="s">
        <v>1597</v>
      </c>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IF(COUNTIF($B$1:$C1151, $B1256), "", "存在しない")</f>
        <v>存在しない</v>
      </c>
      <c r="N1256" s="1" t="s">
        <v>29</v>
      </c>
      <c r="O1256" s="1"/>
      <c r="P1256" s="11"/>
      <c r="Q1256" s="11"/>
      <c r="R1256" s="11"/>
      <c r="S1256" s="11"/>
      <c r="T1256" s="1"/>
      <c r="U1256" s="1"/>
      <c r="V1256" s="1"/>
      <c r="W1256" s="1"/>
      <c r="X1256" s="1"/>
      <c r="Y1256" s="1"/>
      <c r="Z1256" s="1"/>
    </row>
    <row r="1257" ht="18.0" hidden="1" customHeight="1" outlineLevel="1">
      <c r="A1257" s="1"/>
      <c r="B1257" s="26" t="s">
        <v>1598</v>
      </c>
      <c r="C1257" s="1"/>
      <c r="D1257" s="1"/>
      <c r="E1257" s="14"/>
      <c r="F1257" s="15"/>
      <c r="G1257" s="16"/>
      <c r="H1257" s="11"/>
      <c r="I1257" s="7"/>
      <c r="J1257" s="7" t="str">
        <f>IFERROR(LET(_xlpm.v,
VLOOKUP($I1257,'用語辞書'!$A:$B,COLUMN('用語辞書'!B$1),FALSE),
IF(_xlpm.v=0,"",_xlpm.v)
),"")</f>
        <v/>
      </c>
      <c r="K1257" s="17"/>
      <c r="L1257" s="17" t="str">
        <f>IF(OR(COUNTIF('クラス'!$A$1:$A$1267,$B1257)&gt;0,$B1257="",$M1257=""),"",True)</f>
        <v/>
      </c>
      <c r="M1257" s="1" t="str">
        <f t="shared" ref="M1257:M1360" si="24">IF(COUNTIF($B$1:$C1256, $B1257), "", "存在しない")</f>
        <v>存在しない</v>
      </c>
      <c r="N1257" s="1" t="s">
        <v>29</v>
      </c>
      <c r="O1257" s="1"/>
      <c r="P1257" s="11"/>
      <c r="Q1257" s="11"/>
      <c r="R1257" s="11"/>
      <c r="S1257" s="11"/>
      <c r="T1257" s="1"/>
      <c r="U1257" s="1"/>
      <c r="V1257" s="1"/>
      <c r="W1257" s="1"/>
      <c r="X1257" s="1"/>
      <c r="Y1257" s="1"/>
      <c r="Z1257" s="1"/>
    </row>
    <row r="1258" ht="18.0" hidden="1" customHeight="1" outlineLevel="2">
      <c r="A1258" s="1">
        <v>1.0</v>
      </c>
      <c r="B1258" s="26" t="s">
        <v>1599</v>
      </c>
      <c r="C1258" s="1"/>
      <c r="D1258" s="1"/>
      <c r="E1258" s="14" t="s">
        <v>33</v>
      </c>
      <c r="F1258" s="15"/>
      <c r="G1258" s="16">
        <v>40.0</v>
      </c>
      <c r="H1258" s="11" t="s">
        <v>1600</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2.0</v>
      </c>
      <c r="B1259" s="26" t="s">
        <v>1601</v>
      </c>
      <c r="C1259" s="1"/>
      <c r="D1259" s="1"/>
      <c r="E1259" s="29" t="s">
        <v>55</v>
      </c>
      <c r="F1259" s="15"/>
      <c r="G1259" s="30"/>
      <c r="H1259" s="22" t="s">
        <v>1602</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3.0</v>
      </c>
      <c r="B1260" s="26" t="s">
        <v>1603</v>
      </c>
      <c r="C1260" s="1"/>
      <c r="D1260" s="1"/>
      <c r="E1260" s="29" t="s">
        <v>55</v>
      </c>
      <c r="F1260" s="15"/>
      <c r="G1260" s="16"/>
      <c r="H1260" s="22" t="s">
        <v>1604</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4.0</v>
      </c>
      <c r="B1261" s="26" t="s">
        <v>1605</v>
      </c>
      <c r="C1261" s="1"/>
      <c r="D1261" s="1"/>
      <c r="E1261" s="14" t="s">
        <v>33</v>
      </c>
      <c r="F1261" s="15"/>
      <c r="G1261" s="16">
        <v>60.0</v>
      </c>
      <c r="H1261" s="11" t="s">
        <v>1539</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5.0</v>
      </c>
      <c r="B1262" s="26" t="s">
        <v>1606</v>
      </c>
      <c r="C1262" s="1"/>
      <c r="D1262" s="1"/>
      <c r="E1262" s="14" t="s">
        <v>33</v>
      </c>
      <c r="F1262" s="15"/>
      <c r="G1262" s="16">
        <v>40.0</v>
      </c>
      <c r="H1262" s="11" t="s">
        <v>1563</v>
      </c>
      <c r="I1262" s="7"/>
      <c r="J1262" s="7" t="str">
        <f>IFERROR(LET(_xlpm.v,
VLOOKUP($I1262,'用語辞書'!$A:$B,COLUMN('用語辞書'!B$1),FALSE),
IF(_xlpm.v=0,"",_xlpm.v)
),"")</f>
        <v/>
      </c>
      <c r="K1262" s="17"/>
      <c r="L1262" s="17" t="b">
        <f>IF(OR(COUNTIF('クラス'!$A$1:$A$1267,$B1262)&gt;0,$B1262="",$M1262=""),"",True)</f>
        <v>1</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6.0</v>
      </c>
      <c r="B1263" s="1"/>
      <c r="C1263" s="1"/>
      <c r="D1263" s="1"/>
      <c r="E1263" s="14"/>
      <c r="F1263" s="15"/>
      <c r="G1263" s="16"/>
      <c r="H1263" s="11"/>
      <c r="I1263" s="7"/>
      <c r="J1263" s="7" t="str">
        <f>IFERROR(LET(_xlpm.v,
VLOOKUP($I1263,'用語辞書'!$A:$B,COLUMN('用語辞書'!B$1),FALSE),
IF(_xlpm.v=0,"",_xlpm.v)
),"")</f>
        <v/>
      </c>
      <c r="K1263" s="17"/>
      <c r="L1263" s="17" t="str">
        <f>IF(OR(COUNTIF('クラス'!$A$1:$A$1267,$B1263)&gt;0,$B1263="",$M1263=""),"",True)</f>
        <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7.0</v>
      </c>
      <c r="B1264" s="26" t="s">
        <v>1607</v>
      </c>
      <c r="C1264" s="1"/>
      <c r="D1264" s="1"/>
      <c r="E1264" s="14" t="s">
        <v>55</v>
      </c>
      <c r="F1264" s="15"/>
      <c r="G1264" s="16"/>
      <c r="H1264" s="11" t="s">
        <v>1608</v>
      </c>
      <c r="I1264" s="7"/>
      <c r="J1264" s="7" t="str">
        <f>IFERROR(LET(_xlpm.v,
VLOOKUP($I1264,'用語辞書'!$A:$B,COLUMN('用語辞書'!B$1),FALSE),
IF(_xlpm.v=0,"",_xlpm.v)
),"")</f>
        <v/>
      </c>
      <c r="K1264" s="17"/>
      <c r="L1264" s="17" t="b">
        <f>IF(OR(COUNTIF('クラス'!$A$1:$A$1267,$B1264)&gt;0,$B1264="",$M1264=""),"",True)</f>
        <v>1</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8.0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9.0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2">
      <c r="A1267" s="1">
        <v>10.0</v>
      </c>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ollapsed="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1"/>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1">
      <c r="A1270" s="1"/>
      <c r="B1270" s="26" t="s">
        <v>1609</v>
      </c>
      <c r="C1270" s="1"/>
      <c r="D1270" s="1"/>
      <c r="E1270" s="14"/>
      <c r="F1270" s="15"/>
      <c r="G1270" s="16"/>
      <c r="H1270" s="11"/>
      <c r="I1270" s="7"/>
      <c r="J1270" s="7" t="str">
        <f>IFERROR(LET(_xlpm.v,
VLOOKUP($I1270,'用語辞書'!$A:$B,COLUMN('用語辞書'!B$1),FALSE),
IF(_xlpm.v=0,"",_xlpm.v)
),"")</f>
        <v/>
      </c>
      <c r="K1270" s="17"/>
      <c r="L1270" s="17" t="str">
        <f>IF(OR(COUNTIF('クラス'!$A$1:$A$1267,$B1270)&gt;0,$B1270="",$M1270=""),"",True)</f>
        <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1.0</v>
      </c>
      <c r="B1271" s="26" t="s">
        <v>1610</v>
      </c>
      <c r="C1271" s="1"/>
      <c r="D1271" s="1"/>
      <c r="E1271" s="14" t="s">
        <v>33</v>
      </c>
      <c r="F1271" s="15"/>
      <c r="G1271" s="16">
        <v>40.0</v>
      </c>
      <c r="H1271" s="11" t="s">
        <v>1611</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2.0</v>
      </c>
      <c r="B1272" s="26" t="s">
        <v>1612</v>
      </c>
      <c r="C1272" s="1"/>
      <c r="D1272" s="1"/>
      <c r="E1272" s="29" t="s">
        <v>33</v>
      </c>
      <c r="F1272" s="15"/>
      <c r="G1272" s="30">
        <v>50.0</v>
      </c>
      <c r="H1272" s="22" t="s">
        <v>1613</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3.0</v>
      </c>
      <c r="B1273" s="26" t="s">
        <v>1614</v>
      </c>
      <c r="C1273" s="1"/>
      <c r="D1273" s="1"/>
      <c r="E1273" s="29" t="s">
        <v>55</v>
      </c>
      <c r="F1273" s="15"/>
      <c r="G1273" s="16"/>
      <c r="H1273" s="22" t="s">
        <v>1602</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4.0</v>
      </c>
      <c r="B1274" s="26" t="s">
        <v>1615</v>
      </c>
      <c r="C1274" s="1"/>
      <c r="D1274" s="1"/>
      <c r="E1274" s="14" t="s">
        <v>55</v>
      </c>
      <c r="F1274" s="15"/>
      <c r="G1274" s="16"/>
      <c r="H1274" s="11" t="s">
        <v>1616</v>
      </c>
      <c r="I1274" s="7"/>
      <c r="J1274" s="7" t="str">
        <f>IFERROR(LET(_xlpm.v,
VLOOKUP($I1274,'用語辞書'!$A:$B,COLUMN('用語辞書'!B$1),FALSE),
IF(_xlpm.v=0,"",_xlpm.v)
),"")</f>
        <v/>
      </c>
      <c r="K1274" s="17"/>
      <c r="L1274" s="17" t="b">
        <f>IF(OR(COUNTIF('クラス'!$A$1:$A$1267,$B1274)&gt;0,$B1274="",$M1274=""),"",True)</f>
        <v>1</v>
      </c>
      <c r="M1274" s="1" t="str">
        <f t="shared" si="24"/>
        <v>存在しない</v>
      </c>
      <c r="N1274" s="1" t="s">
        <v>29</v>
      </c>
      <c r="O1274" s="1"/>
      <c r="P1274" s="11"/>
      <c r="Q1274" s="11"/>
      <c r="R1274" s="11"/>
      <c r="S1274" s="11"/>
      <c r="T1274" s="1"/>
      <c r="U1274" s="1"/>
      <c r="V1274" s="1"/>
      <c r="W1274" s="1"/>
      <c r="X1274" s="1"/>
      <c r="Y1274" s="1"/>
      <c r="Z1274" s="1"/>
    </row>
    <row r="1275" ht="18.0" hidden="1" customHeight="1" outlineLevel="2">
      <c r="A1275" s="1">
        <v>5.0</v>
      </c>
      <c r="B1275" s="26" t="s">
        <v>1606</v>
      </c>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
      </c>
      <c r="N1275" s="1" t="s">
        <v>29</v>
      </c>
      <c r="O1275" s="1"/>
      <c r="P1275" s="11"/>
      <c r="Q1275" s="11"/>
      <c r="R1275" s="11"/>
      <c r="S1275" s="11"/>
      <c r="T1275" s="1"/>
      <c r="U1275" s="1"/>
      <c r="V1275" s="1"/>
      <c r="W1275" s="1"/>
      <c r="X1275" s="1"/>
      <c r="Y1275" s="1"/>
      <c r="Z1275" s="1"/>
    </row>
    <row r="1276" ht="18.0" hidden="1" customHeight="1" outlineLevel="2">
      <c r="A1276" s="1">
        <v>6.0</v>
      </c>
      <c r="B1276" s="1"/>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存在しない</v>
      </c>
      <c r="N1276" s="1" t="s">
        <v>29</v>
      </c>
      <c r="O1276" s="1"/>
      <c r="P1276" s="11"/>
      <c r="Q1276" s="11"/>
      <c r="R1276" s="11"/>
      <c r="S1276" s="11"/>
      <c r="T1276" s="1"/>
      <c r="U1276" s="1"/>
      <c r="V1276" s="1"/>
      <c r="W1276" s="1"/>
      <c r="X1276" s="1"/>
      <c r="Y1276" s="1"/>
      <c r="Z1276" s="1"/>
    </row>
    <row r="1277" ht="18.0" hidden="1" customHeight="1" outlineLevel="2">
      <c r="A1277" s="1">
        <v>7.0</v>
      </c>
      <c r="B1277" s="26" t="s">
        <v>1607</v>
      </c>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
      </c>
      <c r="N1277" s="1" t="s">
        <v>29</v>
      </c>
      <c r="O1277" s="1"/>
      <c r="P1277" s="11"/>
      <c r="Q1277" s="11"/>
      <c r="R1277" s="11"/>
      <c r="S1277" s="11"/>
      <c r="T1277" s="1"/>
      <c r="U1277" s="1"/>
      <c r="V1277" s="1"/>
      <c r="W1277" s="1"/>
      <c r="X1277" s="1"/>
      <c r="Y1277" s="1"/>
      <c r="Z1277" s="1"/>
    </row>
    <row r="1278" ht="18.0" hidden="1" customHeight="1" outlineLevel="2">
      <c r="A1278" s="1">
        <v>8.0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9.0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2">
      <c r="A1280" s="1">
        <v>10.0</v>
      </c>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ollapsed="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1"/>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1">
      <c r="A1283" s="1"/>
      <c r="B1283" s="26" t="s">
        <v>1617</v>
      </c>
      <c r="C1283" s="1"/>
      <c r="D1283" s="1"/>
      <c r="E1283" s="14"/>
      <c r="F1283" s="15"/>
      <c r="G1283" s="16"/>
      <c r="H1283" s="11"/>
      <c r="I1283" s="7"/>
      <c r="J1283" s="7" t="str">
        <f>IFERROR(LET(_xlpm.v,
VLOOKUP($I1283,'用語辞書'!$A:$B,COLUMN('用語辞書'!B$1),FALSE),
IF(_xlpm.v=0,"",_xlpm.v)
),"")</f>
        <v/>
      </c>
      <c r="K1283" s="17"/>
      <c r="L1283" s="17" t="str">
        <f>IF(OR(COUNTIF('クラス'!$A$1:$A$1267,$B1283)&gt;0,$B1283="",$M1283=""),"",True)</f>
        <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1.0</v>
      </c>
      <c r="B1284" s="26" t="s">
        <v>1618</v>
      </c>
      <c r="C1284" s="1"/>
      <c r="D1284" s="1"/>
      <c r="E1284" s="14" t="s">
        <v>33</v>
      </c>
      <c r="F1284" s="15"/>
      <c r="G1284" s="16">
        <v>40.0</v>
      </c>
      <c r="H1284" s="11" t="s">
        <v>1619</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2.0</v>
      </c>
      <c r="B1285" s="26" t="s">
        <v>1620</v>
      </c>
      <c r="C1285" s="1"/>
      <c r="D1285" s="1"/>
      <c r="E1285" s="29" t="s">
        <v>33</v>
      </c>
      <c r="F1285" s="15"/>
      <c r="G1285" s="30">
        <v>50.0</v>
      </c>
      <c r="H1285" s="22" t="s">
        <v>1621</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3.0</v>
      </c>
      <c r="B1286" s="26" t="s">
        <v>1622</v>
      </c>
      <c r="C1286" s="1"/>
      <c r="D1286" s="1"/>
      <c r="E1286" s="29" t="s">
        <v>55</v>
      </c>
      <c r="F1286" s="15"/>
      <c r="G1286" s="16"/>
      <c r="H1286" s="22" t="s">
        <v>1602</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4.0</v>
      </c>
      <c r="B1287" s="26" t="s">
        <v>1623</v>
      </c>
      <c r="C1287" s="1"/>
      <c r="D1287" s="1"/>
      <c r="E1287" s="14" t="s">
        <v>55</v>
      </c>
      <c r="F1287" s="15"/>
      <c r="G1287" s="16"/>
      <c r="H1287" s="11" t="s">
        <v>1624</v>
      </c>
      <c r="I1287" s="7"/>
      <c r="J1287" s="7" t="str">
        <f>IFERROR(LET(_xlpm.v,
VLOOKUP($I1287,'用語辞書'!$A:$B,COLUMN('用語辞書'!B$1),FALSE),
IF(_xlpm.v=0,"",_xlpm.v)
),"")</f>
        <v/>
      </c>
      <c r="K1287" s="17"/>
      <c r="L1287" s="17" t="b">
        <f>IF(OR(COUNTIF('クラス'!$A$1:$A$1267,$B1287)&gt;0,$B1287="",$M1287=""),"",True)</f>
        <v>1</v>
      </c>
      <c r="M1287" s="1" t="str">
        <f t="shared" si="24"/>
        <v>存在しない</v>
      </c>
      <c r="N1287" s="1" t="s">
        <v>29</v>
      </c>
      <c r="O1287" s="1"/>
      <c r="P1287" s="11"/>
      <c r="Q1287" s="11"/>
      <c r="R1287" s="11"/>
      <c r="S1287" s="11"/>
      <c r="T1287" s="1"/>
      <c r="U1287" s="1"/>
      <c r="V1287" s="1"/>
      <c r="W1287" s="1"/>
      <c r="X1287" s="1"/>
      <c r="Y1287" s="1"/>
      <c r="Z1287" s="1"/>
    </row>
    <row r="1288" ht="18.0" hidden="1" customHeight="1" outlineLevel="2">
      <c r="A1288" s="1">
        <v>5.0</v>
      </c>
      <c r="B1288" s="26" t="s">
        <v>1606</v>
      </c>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
      </c>
      <c r="N1288" s="1" t="s">
        <v>29</v>
      </c>
      <c r="O1288" s="1"/>
      <c r="P1288" s="11"/>
      <c r="Q1288" s="11"/>
      <c r="R1288" s="11"/>
      <c r="S1288" s="11"/>
      <c r="T1288" s="1"/>
      <c r="U1288" s="1"/>
      <c r="V1288" s="1"/>
      <c r="W1288" s="1"/>
      <c r="X1288" s="1"/>
      <c r="Y1288" s="1"/>
      <c r="Z1288" s="1"/>
    </row>
    <row r="1289" ht="18.0" hidden="1" customHeight="1" outlineLevel="2">
      <c r="A1289" s="1">
        <v>6.0</v>
      </c>
      <c r="B1289" s="1"/>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存在しない</v>
      </c>
      <c r="N1289" s="1" t="s">
        <v>29</v>
      </c>
      <c r="O1289" s="1"/>
      <c r="P1289" s="11"/>
      <c r="Q1289" s="11"/>
      <c r="R1289" s="11"/>
      <c r="S1289" s="11"/>
      <c r="T1289" s="1"/>
      <c r="U1289" s="1"/>
      <c r="V1289" s="1"/>
      <c r="W1289" s="1"/>
      <c r="X1289" s="1"/>
      <c r="Y1289" s="1"/>
      <c r="Z1289" s="1"/>
    </row>
    <row r="1290" ht="18.0" hidden="1" customHeight="1" outlineLevel="2">
      <c r="A1290" s="1">
        <v>7.0</v>
      </c>
      <c r="B1290" s="26" t="s">
        <v>1607</v>
      </c>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
      </c>
      <c r="N1290" s="1" t="s">
        <v>29</v>
      </c>
      <c r="O1290" s="1"/>
      <c r="P1290" s="11"/>
      <c r="Q1290" s="11"/>
      <c r="R1290" s="11"/>
      <c r="S1290" s="11"/>
      <c r="T1290" s="1"/>
      <c r="U1290" s="1"/>
      <c r="V1290" s="1"/>
      <c r="W1290" s="1"/>
      <c r="X1290" s="1"/>
      <c r="Y1290" s="1"/>
      <c r="Z1290" s="1"/>
    </row>
    <row r="1291" ht="18.0" hidden="1" customHeight="1" outlineLevel="2">
      <c r="A1291" s="1">
        <v>8.0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9.0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2">
      <c r="A1293" s="1">
        <v>10.0</v>
      </c>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ollapsed="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1"/>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1">
      <c r="A1296" s="1"/>
      <c r="B1296" s="26" t="s">
        <v>1625</v>
      </c>
      <c r="C1296" s="1"/>
      <c r="D1296" s="1"/>
      <c r="E1296" s="14"/>
      <c r="F1296" s="15"/>
      <c r="G1296" s="16"/>
      <c r="H1296" s="11"/>
      <c r="I1296" s="7"/>
      <c r="J1296" s="7" t="str">
        <f>IFERROR(LET(_xlpm.v,
VLOOKUP($I1296,'用語辞書'!$A:$B,COLUMN('用語辞書'!B$1),FALSE),
IF(_xlpm.v=0,"",_xlpm.v)
),"")</f>
        <v/>
      </c>
      <c r="K1296" s="17"/>
      <c r="L1296" s="17" t="str">
        <f>IF(OR(COUNTIF('クラス'!$A$1:$A$1267,$B1296)&gt;0,$B1296="",$M1296=""),"",True)</f>
        <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1.0</v>
      </c>
      <c r="B1297" s="26" t="s">
        <v>1626</v>
      </c>
      <c r="C1297" s="1"/>
      <c r="D1297" s="1"/>
      <c r="E1297" s="14" t="s">
        <v>33</v>
      </c>
      <c r="F1297" s="15"/>
      <c r="G1297" s="16">
        <v>40.0</v>
      </c>
      <c r="H1297" s="11" t="s">
        <v>1627</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2.0</v>
      </c>
      <c r="B1298" s="26" t="s">
        <v>1628</v>
      </c>
      <c r="C1298" s="1"/>
      <c r="D1298" s="1"/>
      <c r="E1298" s="29" t="s">
        <v>55</v>
      </c>
      <c r="F1298" s="15"/>
      <c r="G1298" s="30"/>
      <c r="H1298" s="22" t="s">
        <v>1602</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3.0</v>
      </c>
      <c r="B1299" s="26" t="s">
        <v>1629</v>
      </c>
      <c r="C1299" s="1"/>
      <c r="D1299" s="1"/>
      <c r="E1299" s="29" t="s">
        <v>55</v>
      </c>
      <c r="F1299" s="15"/>
      <c r="G1299" s="16"/>
      <c r="H1299" s="22" t="s">
        <v>1630</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4.0</v>
      </c>
      <c r="B1300" s="26" t="s">
        <v>1631</v>
      </c>
      <c r="C1300" s="1"/>
      <c r="D1300" s="1"/>
      <c r="E1300" s="14" t="s">
        <v>33</v>
      </c>
      <c r="F1300" s="15"/>
      <c r="G1300" s="16">
        <v>60.0</v>
      </c>
      <c r="H1300" s="11" t="s">
        <v>1632</v>
      </c>
      <c r="I1300" s="7"/>
      <c r="J1300" s="7" t="str">
        <f>IFERROR(LET(_xlpm.v,
VLOOKUP($I1300,'用語辞書'!$A:$B,COLUMN('用語辞書'!B$1),FALSE),
IF(_xlpm.v=0,"",_xlpm.v)
),"")</f>
        <v/>
      </c>
      <c r="K1300" s="17"/>
      <c r="L1300" s="17" t="b">
        <f>IF(OR(COUNTIF('クラス'!$A$1:$A$1267,$B1300)&gt;0,$B1300="",$M1300=""),"",True)</f>
        <v>1</v>
      </c>
      <c r="M1300" s="1" t="str">
        <f t="shared" si="24"/>
        <v>存在しない</v>
      </c>
      <c r="N1300" s="1" t="s">
        <v>29</v>
      </c>
      <c r="O1300" s="1"/>
      <c r="P1300" s="11"/>
      <c r="Q1300" s="11"/>
      <c r="R1300" s="11"/>
      <c r="S1300" s="11"/>
      <c r="T1300" s="1"/>
      <c r="U1300" s="1"/>
      <c r="V1300" s="1"/>
      <c r="W1300" s="1"/>
      <c r="X1300" s="1"/>
      <c r="Y1300" s="1"/>
      <c r="Z1300" s="1"/>
    </row>
    <row r="1301" ht="18.0" hidden="1" customHeight="1" outlineLevel="2">
      <c r="A1301" s="1">
        <v>5.0</v>
      </c>
      <c r="B1301" s="26" t="s">
        <v>1606</v>
      </c>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
      </c>
      <c r="N1301" s="1" t="s">
        <v>29</v>
      </c>
      <c r="O1301" s="1"/>
      <c r="P1301" s="11"/>
      <c r="Q1301" s="11"/>
      <c r="R1301" s="11"/>
      <c r="S1301" s="11"/>
      <c r="T1301" s="1"/>
      <c r="U1301" s="1"/>
      <c r="V1301" s="1"/>
      <c r="W1301" s="1"/>
      <c r="X1301" s="1"/>
      <c r="Y1301" s="1"/>
      <c r="Z1301" s="1"/>
    </row>
    <row r="1302" ht="18.0" hidden="1" customHeight="1" outlineLevel="2">
      <c r="A1302" s="1">
        <v>6.0</v>
      </c>
      <c r="B1302" s="1"/>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存在しない</v>
      </c>
      <c r="N1302" s="1" t="s">
        <v>29</v>
      </c>
      <c r="O1302" s="1"/>
      <c r="P1302" s="11"/>
      <c r="Q1302" s="11"/>
      <c r="R1302" s="11"/>
      <c r="S1302" s="11"/>
      <c r="T1302" s="1"/>
      <c r="U1302" s="1"/>
      <c r="V1302" s="1"/>
      <c r="W1302" s="1"/>
      <c r="X1302" s="1"/>
      <c r="Y1302" s="1"/>
      <c r="Z1302" s="1"/>
    </row>
    <row r="1303" ht="18.0" hidden="1" customHeight="1" outlineLevel="2">
      <c r="A1303" s="1">
        <v>7.0</v>
      </c>
      <c r="B1303" s="26" t="s">
        <v>1607</v>
      </c>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
      </c>
      <c r="N1303" s="1" t="s">
        <v>29</v>
      </c>
      <c r="O1303" s="1"/>
      <c r="P1303" s="11"/>
      <c r="Q1303" s="11"/>
      <c r="R1303" s="11"/>
      <c r="S1303" s="11"/>
      <c r="T1303" s="1"/>
      <c r="U1303" s="1"/>
      <c r="V1303" s="1"/>
      <c r="W1303" s="1"/>
      <c r="X1303" s="1"/>
      <c r="Y1303" s="1"/>
      <c r="Z1303" s="1"/>
    </row>
    <row r="1304" ht="18.0" hidden="1" customHeight="1" outlineLevel="2">
      <c r="A1304" s="1">
        <v>8.0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9.0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2">
      <c r="A1306" s="1">
        <v>10.0</v>
      </c>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ollapsed="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1"/>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1">
      <c r="A1309" s="1"/>
      <c r="B1309" s="26" t="s">
        <v>1633</v>
      </c>
      <c r="C1309" s="1"/>
      <c r="D1309" s="1"/>
      <c r="E1309" s="14"/>
      <c r="F1309" s="15"/>
      <c r="G1309" s="16"/>
      <c r="H1309" s="11"/>
      <c r="I1309" s="7"/>
      <c r="J1309" s="7" t="str">
        <f>IFERROR(LET(_xlpm.v,
VLOOKUP($I1309,'用語辞書'!$A:$B,COLUMN('用語辞書'!B$1),FALSE),
IF(_xlpm.v=0,"",_xlpm.v)
),"")</f>
        <v/>
      </c>
      <c r="K1309" s="17"/>
      <c r="L1309" s="17" t="str">
        <f>IF(OR(COUNTIF('クラス'!$A$1:$A$1267,$B1309)&gt;0,$B1309="",$M1309=""),"",True)</f>
        <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1.0</v>
      </c>
      <c r="B1310" s="26" t="s">
        <v>1634</v>
      </c>
      <c r="C1310" s="1"/>
      <c r="D1310" s="1"/>
      <c r="E1310" s="14" t="s">
        <v>33</v>
      </c>
      <c r="F1310" s="15"/>
      <c r="G1310" s="16">
        <v>40.0</v>
      </c>
      <c r="H1310" s="11" t="s">
        <v>1611</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2.0</v>
      </c>
      <c r="B1311" s="26" t="s">
        <v>1635</v>
      </c>
      <c r="C1311" s="1"/>
      <c r="D1311" s="1"/>
      <c r="E1311" s="29" t="s">
        <v>55</v>
      </c>
      <c r="F1311" s="15"/>
      <c r="G1311" s="30"/>
      <c r="H1311" s="22" t="s">
        <v>1636</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3.0</v>
      </c>
      <c r="B1312" s="26" t="s">
        <v>1637</v>
      </c>
      <c r="C1312" s="1"/>
      <c r="D1312" s="1"/>
      <c r="E1312" s="29" t="s">
        <v>55</v>
      </c>
      <c r="F1312" s="15"/>
      <c r="G1312" s="16"/>
      <c r="H1312" s="22" t="s">
        <v>1604</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4.0</v>
      </c>
      <c r="B1313" s="26" t="s">
        <v>1638</v>
      </c>
      <c r="C1313" s="1"/>
      <c r="D1313" s="1"/>
      <c r="E1313" s="14" t="s">
        <v>55</v>
      </c>
      <c r="F1313" s="15"/>
      <c r="G1313" s="16"/>
      <c r="H1313" s="11" t="s">
        <v>1639</v>
      </c>
      <c r="I1313" s="7"/>
      <c r="J1313" s="7" t="str">
        <f>IFERROR(LET(_xlpm.v,
VLOOKUP($I1313,'用語辞書'!$A:$B,COLUMN('用語辞書'!B$1),FALSE),
IF(_xlpm.v=0,"",_xlpm.v)
),"")</f>
        <v/>
      </c>
      <c r="K1313" s="17"/>
      <c r="L1313" s="17" t="b">
        <f>IF(OR(COUNTIF('クラス'!$A$1:$A$1267,$B1313)&gt;0,$B1313="",$M1313=""),"",True)</f>
        <v>1</v>
      </c>
      <c r="M1313" s="1" t="str">
        <f t="shared" si="24"/>
        <v>存在しない</v>
      </c>
      <c r="N1313" s="1" t="s">
        <v>29</v>
      </c>
      <c r="O1313" s="1"/>
      <c r="P1313" s="11"/>
      <c r="Q1313" s="11"/>
      <c r="R1313" s="11"/>
      <c r="S1313" s="11"/>
      <c r="T1313" s="1"/>
      <c r="U1313" s="1"/>
      <c r="V1313" s="1"/>
      <c r="W1313" s="1"/>
      <c r="X1313" s="1"/>
      <c r="Y1313" s="1"/>
      <c r="Z1313" s="1"/>
    </row>
    <row r="1314" ht="18.0" hidden="1" customHeight="1" outlineLevel="2">
      <c r="A1314" s="1">
        <v>5.0</v>
      </c>
      <c r="B1314" s="26" t="s">
        <v>1606</v>
      </c>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
      </c>
      <c r="N1314" s="1" t="s">
        <v>29</v>
      </c>
      <c r="O1314" s="1"/>
      <c r="P1314" s="11"/>
      <c r="Q1314" s="11"/>
      <c r="R1314" s="11"/>
      <c r="S1314" s="11"/>
      <c r="T1314" s="1"/>
      <c r="U1314" s="1"/>
      <c r="V1314" s="1"/>
      <c r="W1314" s="1"/>
      <c r="X1314" s="1"/>
      <c r="Y1314" s="1"/>
      <c r="Z1314" s="1"/>
    </row>
    <row r="1315" ht="18.0" hidden="1" customHeight="1" outlineLevel="2">
      <c r="A1315" s="1">
        <v>6.0</v>
      </c>
      <c r="B1315" s="1"/>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存在しない</v>
      </c>
      <c r="N1315" s="1" t="s">
        <v>29</v>
      </c>
      <c r="O1315" s="1"/>
      <c r="P1315" s="11"/>
      <c r="Q1315" s="11"/>
      <c r="R1315" s="11"/>
      <c r="S1315" s="11"/>
      <c r="T1315" s="1"/>
      <c r="U1315" s="1"/>
      <c r="V1315" s="1"/>
      <c r="W1315" s="1"/>
      <c r="X1315" s="1"/>
      <c r="Y1315" s="1"/>
      <c r="Z1315" s="1"/>
    </row>
    <row r="1316" ht="18.0" hidden="1" customHeight="1" outlineLevel="2">
      <c r="A1316" s="1">
        <v>7.0</v>
      </c>
      <c r="B1316" s="26" t="s">
        <v>1612</v>
      </c>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
      </c>
      <c r="N1316" s="1" t="s">
        <v>29</v>
      </c>
      <c r="O1316" s="1"/>
      <c r="P1316" s="11"/>
      <c r="Q1316" s="11"/>
      <c r="R1316" s="11"/>
      <c r="S1316" s="11"/>
      <c r="T1316" s="1"/>
      <c r="U1316" s="1"/>
      <c r="V1316" s="1"/>
      <c r="W1316" s="1"/>
      <c r="X1316" s="1"/>
      <c r="Y1316" s="1"/>
      <c r="Z1316" s="1"/>
    </row>
    <row r="1317" ht="18.0" hidden="1" customHeight="1" outlineLevel="2">
      <c r="A1317" s="1">
        <v>8.0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9.0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2">
      <c r="A1319" s="1">
        <v>10.0</v>
      </c>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ollapsed="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1"/>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c r="B1322" s="26" t="s">
        <v>1640</v>
      </c>
      <c r="C1322" s="1"/>
      <c r="D1322" s="1"/>
      <c r="E1322" s="14"/>
      <c r="F1322" s="15"/>
      <c r="G1322" s="16"/>
      <c r="H1322" s="11"/>
      <c r="I1322" s="7"/>
      <c r="J1322" s="7" t="str">
        <f>IFERROR(LET(_xlpm.v,
VLOOKUP($I1322,'用語辞書'!$A:$B,COLUMN('用語辞書'!B$1),FALSE),
IF(_xlpm.v=0,"",_xlpm.v)
),"")</f>
        <v/>
      </c>
      <c r="K1322" s="17"/>
      <c r="L1322" s="17" t="str">
        <f>IF(OR(COUNTIF('クラス'!$A$1:$A$1267,$B1322)&gt;0,$B1322="",$M1322=""),"",True)</f>
        <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1">
      <c r="A1323" s="1">
        <v>1.0</v>
      </c>
      <c r="B1323" s="26" t="s">
        <v>1641</v>
      </c>
      <c r="C1323" s="1"/>
      <c r="D1323" s="1"/>
      <c r="E1323" s="14" t="s">
        <v>33</v>
      </c>
      <c r="F1323" s="15"/>
      <c r="G1323" s="16">
        <v>40.0</v>
      </c>
      <c r="H1323" s="11" t="s">
        <v>1642</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2.0</v>
      </c>
      <c r="B1324" s="26" t="s">
        <v>1643</v>
      </c>
      <c r="C1324" s="1"/>
      <c r="D1324" s="1"/>
      <c r="E1324" s="14" t="s">
        <v>33</v>
      </c>
      <c r="F1324" s="15"/>
      <c r="G1324" s="16">
        <v>50.0</v>
      </c>
      <c r="H1324" s="11" t="s">
        <v>1644</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3.0</v>
      </c>
      <c r="B1325" s="26" t="s">
        <v>1645</v>
      </c>
      <c r="C1325" s="1"/>
      <c r="D1325" s="1"/>
      <c r="E1325" s="29" t="s">
        <v>55</v>
      </c>
      <c r="F1325" s="15"/>
      <c r="G1325" s="30"/>
      <c r="H1325" s="22" t="s">
        <v>1602</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4.0</v>
      </c>
      <c r="B1326" s="26" t="s">
        <v>1646</v>
      </c>
      <c r="C1326" s="1"/>
      <c r="D1326" s="1"/>
      <c r="E1326" s="29" t="s">
        <v>55</v>
      </c>
      <c r="F1326" s="15"/>
      <c r="G1326" s="16"/>
      <c r="H1326" s="22" t="s">
        <v>1595</v>
      </c>
      <c r="I1326" s="7"/>
      <c r="J1326" s="7" t="str">
        <f>IFERROR(LET(_xlpm.v,
VLOOKUP($I1326,'用語辞書'!$A:$B,COLUMN('用語辞書'!B$1),FALSE),
IF(_xlpm.v=0,"",_xlpm.v)
),"")</f>
        <v/>
      </c>
      <c r="K1326" s="17"/>
      <c r="L1326" s="17" t="b">
        <f>IF(OR(COUNTIF('クラス'!$A$1:$A$1267,$B1326)&gt;0,$B1326="",$M1326=""),"",True)</f>
        <v>1</v>
      </c>
      <c r="M1326" s="1" t="str">
        <f t="shared" si="24"/>
        <v>存在しない</v>
      </c>
      <c r="N1326" s="1" t="s">
        <v>29</v>
      </c>
      <c r="O1326" s="1"/>
      <c r="P1326" s="11"/>
      <c r="Q1326" s="11"/>
      <c r="R1326" s="11"/>
      <c r="S1326" s="11"/>
      <c r="T1326" s="1"/>
      <c r="U1326" s="1"/>
      <c r="V1326" s="1"/>
      <c r="W1326" s="1"/>
      <c r="X1326" s="1"/>
      <c r="Y1326" s="1"/>
      <c r="Z1326" s="1"/>
    </row>
    <row r="1327" ht="18.0" hidden="1" customHeight="1" outlineLevel="2">
      <c r="A1327" s="1">
        <v>5.0</v>
      </c>
      <c r="B1327" s="26" t="s">
        <v>1606</v>
      </c>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
      </c>
      <c r="N1327" s="1" t="s">
        <v>29</v>
      </c>
      <c r="O1327" s="1"/>
      <c r="P1327" s="11"/>
      <c r="Q1327" s="11"/>
      <c r="R1327" s="11"/>
      <c r="S1327" s="11"/>
      <c r="T1327" s="1"/>
      <c r="U1327" s="1"/>
      <c r="V1327" s="1"/>
      <c r="W1327" s="1"/>
      <c r="X1327" s="1"/>
      <c r="Y1327" s="1"/>
      <c r="Z1327" s="1"/>
    </row>
    <row r="1328" ht="18.0" hidden="1" customHeight="1" outlineLevel="2">
      <c r="A1328" s="1">
        <v>6.0</v>
      </c>
      <c r="B1328" s="26"/>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存在しない</v>
      </c>
      <c r="N1328" s="1" t="s">
        <v>29</v>
      </c>
      <c r="O1328" s="1"/>
      <c r="P1328" s="11"/>
      <c r="Q1328" s="11"/>
      <c r="R1328" s="11"/>
      <c r="S1328" s="11"/>
      <c r="T1328" s="1"/>
      <c r="U1328" s="1"/>
      <c r="V1328" s="1"/>
      <c r="W1328" s="1"/>
      <c r="X1328" s="1"/>
      <c r="Y1328" s="1"/>
      <c r="Z1328" s="1"/>
    </row>
    <row r="1329" ht="18.0" hidden="1" customHeight="1" outlineLevel="2">
      <c r="A1329" s="1">
        <v>7.0</v>
      </c>
      <c r="B1329" s="1" t="s">
        <v>1607</v>
      </c>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
      </c>
      <c r="N1329" s="1" t="s">
        <v>29</v>
      </c>
      <c r="O1329" s="1"/>
      <c r="P1329" s="11"/>
      <c r="Q1329" s="11"/>
      <c r="R1329" s="11"/>
      <c r="S1329" s="11"/>
      <c r="T1329" s="1"/>
      <c r="U1329" s="1"/>
      <c r="V1329" s="1"/>
      <c r="W1329" s="1"/>
      <c r="X1329" s="1"/>
      <c r="Y1329" s="1"/>
      <c r="Z1329" s="1"/>
    </row>
    <row r="1330" ht="18.0" hidden="1" customHeight="1" outlineLevel="2">
      <c r="A1330" s="1">
        <v>8.0</v>
      </c>
      <c r="B1330" s="26"/>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9.0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v>10.0</v>
      </c>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2">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ollapsed="1">
      <c r="A1334" s="1"/>
      <c r="B1334" s="1"/>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c r="B1335" s="1" t="s">
        <v>1647</v>
      </c>
      <c r="C1335" s="1"/>
      <c r="D1335" s="1"/>
      <c r="E1335" s="14"/>
      <c r="F1335" s="15"/>
      <c r="G1335" s="16"/>
      <c r="H1335" s="11"/>
      <c r="I1335" s="7"/>
      <c r="J1335" s="7" t="str">
        <f>IFERROR(LET(_xlpm.v,
VLOOKUP($I1335,'用語辞書'!$A:$B,COLUMN('用語辞書'!B$1),FALSE),
IF(_xlpm.v=0,"",_xlpm.v)
),"")</f>
        <v/>
      </c>
      <c r="K1335" s="17"/>
      <c r="L1335" s="17" t="str">
        <f>IF(OR(COUNTIF('クラス'!$A$1:$A$1267,$B1335)&gt;0,$B1335="",$M1335=""),"",True)</f>
        <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1">
      <c r="A1336" s="1">
        <v>1.0</v>
      </c>
      <c r="B1336" s="26" t="s">
        <v>1648</v>
      </c>
      <c r="C1336" s="1"/>
      <c r="D1336" s="1"/>
      <c r="E1336" s="14" t="s">
        <v>33</v>
      </c>
      <c r="F1336" s="15"/>
      <c r="G1336" s="16">
        <v>40.0</v>
      </c>
      <c r="H1336" s="11" t="s">
        <v>1649</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2.0</v>
      </c>
      <c r="B1337" s="26" t="s">
        <v>1650</v>
      </c>
      <c r="C1337" s="1"/>
      <c r="D1337" s="1"/>
      <c r="E1337" s="14" t="s">
        <v>33</v>
      </c>
      <c r="F1337" s="15"/>
      <c r="G1337" s="16">
        <v>60.0</v>
      </c>
      <c r="H1337" s="11" t="s">
        <v>1651</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3.0</v>
      </c>
      <c r="B1338" s="26" t="s">
        <v>1652</v>
      </c>
      <c r="C1338" s="1"/>
      <c r="D1338" s="1"/>
      <c r="E1338" s="29" t="s">
        <v>55</v>
      </c>
      <c r="F1338" s="15"/>
      <c r="G1338" s="30"/>
      <c r="H1338" s="22" t="s">
        <v>1653</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4.0</v>
      </c>
      <c r="B1339" s="26" t="s">
        <v>1654</v>
      </c>
      <c r="C1339" s="1"/>
      <c r="D1339" s="1"/>
      <c r="E1339" s="29" t="s">
        <v>55</v>
      </c>
      <c r="F1339" s="15"/>
      <c r="G1339" s="16"/>
      <c r="H1339" s="22" t="s">
        <v>1655</v>
      </c>
      <c r="I1339" s="7"/>
      <c r="J1339" s="7" t="str">
        <f>IFERROR(LET(_xlpm.v,
VLOOKUP($I1339,'用語辞書'!$A:$B,COLUMN('用語辞書'!B$1),FALSE),
IF(_xlpm.v=0,"",_xlpm.v)
),"")</f>
        <v/>
      </c>
      <c r="K1339" s="17"/>
      <c r="L1339" s="17" t="b">
        <f>IF(OR(COUNTIF('クラス'!$A$1:$A$1267,$B1339)&gt;0,$B1339="",$M1339=""),"",True)</f>
        <v>1</v>
      </c>
      <c r="M1339" s="1" t="str">
        <f t="shared" si="24"/>
        <v>存在しない</v>
      </c>
      <c r="N1339" s="1" t="s">
        <v>29</v>
      </c>
      <c r="O1339" s="1"/>
      <c r="P1339" s="11"/>
      <c r="Q1339" s="11"/>
      <c r="R1339" s="11"/>
      <c r="S1339" s="11"/>
      <c r="T1339" s="1"/>
      <c r="U1339" s="1"/>
      <c r="V1339" s="1"/>
      <c r="W1339" s="1"/>
      <c r="X1339" s="1"/>
      <c r="Y1339" s="1"/>
      <c r="Z1339" s="1"/>
    </row>
    <row r="1340" ht="18.0" hidden="1" customHeight="1" outlineLevel="2">
      <c r="A1340" s="1">
        <v>5.0</v>
      </c>
      <c r="B1340" s="26" t="s">
        <v>1606</v>
      </c>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
      </c>
      <c r="N1340" s="1" t="s">
        <v>29</v>
      </c>
      <c r="O1340" s="1"/>
      <c r="P1340" s="11"/>
      <c r="Q1340" s="11"/>
      <c r="R1340" s="11"/>
      <c r="S1340" s="11"/>
      <c r="T1340" s="1"/>
      <c r="U1340" s="1"/>
      <c r="V1340" s="1"/>
      <c r="W1340" s="1"/>
      <c r="X1340" s="1"/>
      <c r="Y1340" s="1"/>
      <c r="Z1340" s="1"/>
    </row>
    <row r="1341" ht="18.0" hidden="1" customHeight="1" outlineLevel="2">
      <c r="A1341" s="1">
        <v>6.0</v>
      </c>
      <c r="B1341" s="26"/>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存在しない</v>
      </c>
      <c r="N1341" s="1" t="s">
        <v>29</v>
      </c>
      <c r="O1341" s="1"/>
      <c r="P1341" s="11"/>
      <c r="Q1341" s="11"/>
      <c r="R1341" s="11"/>
      <c r="S1341" s="11"/>
      <c r="T1341" s="1"/>
      <c r="U1341" s="1"/>
      <c r="V1341" s="1"/>
      <c r="W1341" s="1"/>
      <c r="X1341" s="1"/>
      <c r="Y1341" s="1"/>
      <c r="Z1341" s="1"/>
    </row>
    <row r="1342" ht="18.0" hidden="1" customHeight="1" outlineLevel="2">
      <c r="A1342" s="1">
        <v>7.0</v>
      </c>
      <c r="B1342" s="1" t="s">
        <v>1607</v>
      </c>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
      </c>
      <c r="N1342" s="1" t="s">
        <v>29</v>
      </c>
      <c r="O1342" s="1"/>
      <c r="P1342" s="11"/>
      <c r="Q1342" s="11"/>
      <c r="R1342" s="11"/>
      <c r="S1342" s="11"/>
      <c r="T1342" s="1"/>
      <c r="U1342" s="1"/>
      <c r="V1342" s="1"/>
      <c r="W1342" s="1"/>
      <c r="X1342" s="1"/>
      <c r="Y1342" s="1"/>
      <c r="Z1342" s="1"/>
    </row>
    <row r="1343" ht="18.0" hidden="1" customHeight="1" outlineLevel="2">
      <c r="A1343" s="1">
        <v>8.0</v>
      </c>
      <c r="B1343" s="26"/>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9.0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v>10.0</v>
      </c>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2">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ollapsed="1">
      <c r="A1347" s="1"/>
      <c r="B1347" s="1"/>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c r="B1348" s="26" t="s">
        <v>1656</v>
      </c>
      <c r="C1348" s="1"/>
      <c r="D1348" s="1"/>
      <c r="E1348" s="14"/>
      <c r="F1348" s="15"/>
      <c r="G1348" s="16"/>
      <c r="H1348" s="11"/>
      <c r="I1348" s="7"/>
      <c r="J1348" s="7" t="str">
        <f>IFERROR(LET(_xlpm.v,
VLOOKUP($I1348,'用語辞書'!$A:$B,COLUMN('用語辞書'!B$1),FALSE),
IF(_xlpm.v=0,"",_xlpm.v)
),"")</f>
        <v/>
      </c>
      <c r="K1348" s="17"/>
      <c r="L1348" s="17" t="str">
        <f>IF(OR(COUNTIF('クラス'!$A$1:$A$1267,$B1348)&gt;0,$B1348="",$M1348=""),"",True)</f>
        <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1">
      <c r="A1349" s="1">
        <v>1.0</v>
      </c>
      <c r="B1349" s="26" t="s">
        <v>1657</v>
      </c>
      <c r="C1349" s="1"/>
      <c r="D1349" s="1"/>
      <c r="E1349" s="14" t="s">
        <v>33</v>
      </c>
      <c r="F1349" s="15"/>
      <c r="G1349" s="16">
        <v>50.0</v>
      </c>
      <c r="H1349" s="11" t="s">
        <v>1658</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2.0</v>
      </c>
      <c r="B1350" s="26" t="s">
        <v>1659</v>
      </c>
      <c r="C1350" s="1"/>
      <c r="D1350" s="1"/>
      <c r="E1350" s="14" t="s">
        <v>33</v>
      </c>
      <c r="F1350" s="15"/>
      <c r="G1350" s="16">
        <v>50.0</v>
      </c>
      <c r="H1350" s="11" t="s">
        <v>1660</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3.0</v>
      </c>
      <c r="B1351" s="26" t="s">
        <v>1661</v>
      </c>
      <c r="C1351" s="1"/>
      <c r="D1351" s="1"/>
      <c r="E1351" s="29" t="s">
        <v>55</v>
      </c>
      <c r="F1351" s="15"/>
      <c r="G1351" s="30"/>
      <c r="H1351" s="22" t="s">
        <v>1602</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4.0</v>
      </c>
      <c r="B1352" s="26" t="s">
        <v>1662</v>
      </c>
      <c r="C1352" s="1"/>
      <c r="D1352" s="1"/>
      <c r="E1352" s="29" t="s">
        <v>55</v>
      </c>
      <c r="F1352" s="15"/>
      <c r="G1352" s="16"/>
      <c r="H1352" s="22" t="s">
        <v>1604</v>
      </c>
      <c r="I1352" s="7"/>
      <c r="J1352" s="7" t="str">
        <f>IFERROR(LET(_xlpm.v,
VLOOKUP($I1352,'用語辞書'!$A:$B,COLUMN('用語辞書'!B$1),FALSE),
IF(_xlpm.v=0,"",_xlpm.v)
),"")</f>
        <v/>
      </c>
      <c r="K1352" s="17"/>
      <c r="L1352" s="17" t="b">
        <f>IF(OR(COUNTIF('クラス'!$A$1:$A$1267,$B1352)&gt;0,$B1352="",$M1352=""),"",True)</f>
        <v>1</v>
      </c>
      <c r="M1352" s="1" t="str">
        <f t="shared" si="24"/>
        <v>存在しない</v>
      </c>
      <c r="N1352" s="1" t="s">
        <v>29</v>
      </c>
      <c r="O1352" s="1"/>
      <c r="P1352" s="11"/>
      <c r="Q1352" s="11"/>
      <c r="R1352" s="11"/>
      <c r="S1352" s="11"/>
      <c r="T1352" s="1"/>
      <c r="U1352" s="1"/>
      <c r="V1352" s="1"/>
      <c r="W1352" s="1"/>
      <c r="X1352" s="1"/>
      <c r="Y1352" s="1"/>
      <c r="Z1352" s="1"/>
    </row>
    <row r="1353" ht="18.0" hidden="1" customHeight="1" outlineLevel="2">
      <c r="A1353" s="1">
        <v>5.0</v>
      </c>
      <c r="B1353" s="26" t="s">
        <v>1606</v>
      </c>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
      </c>
      <c r="N1353" s="1" t="s">
        <v>29</v>
      </c>
      <c r="O1353" s="1"/>
      <c r="P1353" s="11"/>
      <c r="Q1353" s="11"/>
      <c r="R1353" s="11"/>
      <c r="S1353" s="11"/>
      <c r="T1353" s="1"/>
      <c r="U1353" s="1"/>
      <c r="V1353" s="1"/>
      <c r="W1353" s="1"/>
      <c r="X1353" s="1"/>
      <c r="Y1353" s="1"/>
      <c r="Z1353" s="1"/>
    </row>
    <row r="1354" ht="18.0" hidden="1" customHeight="1" outlineLevel="2">
      <c r="A1354" s="1">
        <v>6.0</v>
      </c>
      <c r="B1354" s="26"/>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存在しない</v>
      </c>
      <c r="N1354" s="1" t="s">
        <v>29</v>
      </c>
      <c r="O1354" s="1"/>
      <c r="P1354" s="11"/>
      <c r="Q1354" s="11"/>
      <c r="R1354" s="11"/>
      <c r="S1354" s="11"/>
      <c r="T1354" s="1"/>
      <c r="U1354" s="1"/>
      <c r="V1354" s="1"/>
      <c r="W1354" s="1"/>
      <c r="X1354" s="1"/>
      <c r="Y1354" s="1"/>
      <c r="Z1354" s="1"/>
    </row>
    <row r="1355" ht="18.0" hidden="1" customHeight="1" outlineLevel="2">
      <c r="A1355" s="1">
        <v>7.0</v>
      </c>
      <c r="B1355" s="1" t="s">
        <v>1607</v>
      </c>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
      </c>
      <c r="N1355" s="1" t="s">
        <v>29</v>
      </c>
      <c r="O1355" s="1"/>
      <c r="P1355" s="11"/>
      <c r="Q1355" s="11"/>
      <c r="R1355" s="11"/>
      <c r="S1355" s="11"/>
      <c r="T1355" s="1"/>
      <c r="U1355" s="1"/>
      <c r="V1355" s="1"/>
      <c r="W1355" s="1"/>
      <c r="X1355" s="1"/>
      <c r="Y1355" s="1"/>
      <c r="Z1355" s="1"/>
    </row>
    <row r="1356" ht="18.0" hidden="1" customHeight="1" outlineLevel="2">
      <c r="A1356" s="1">
        <v>8.0</v>
      </c>
      <c r="B1356" s="26"/>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9.0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v>10.0</v>
      </c>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2">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hidden="1" customHeight="1" outlineLevel="1" collapsed="1">
      <c r="A1360" s="1"/>
      <c r="B1360" s="1"/>
      <c r="C1360" s="1"/>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 t="shared" si="24"/>
        <v>存在しない</v>
      </c>
      <c r="N1360" s="1" t="s">
        <v>29</v>
      </c>
      <c r="O1360" s="1"/>
      <c r="P1360" s="11"/>
      <c r="Q1360" s="11"/>
      <c r="R1360" s="11"/>
      <c r="S1360" s="11"/>
      <c r="T1360" s="1"/>
      <c r="U1360" s="1"/>
      <c r="V1360" s="1"/>
      <c r="W1360" s="1"/>
      <c r="X1360" s="1"/>
      <c r="Y1360" s="1"/>
      <c r="Z1360" s="1"/>
    </row>
    <row r="1361" ht="18.0" customHeight="1" collapsed="1">
      <c r="A1361" s="1"/>
      <c r="B1361" s="1"/>
      <c r="C1361" s="1" t="s">
        <v>1663</v>
      </c>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IF(COUNTIF($B$1:$C1151, $B1361), "", "存在しない")</f>
        <v>存在しない</v>
      </c>
      <c r="N1361" s="1" t="s">
        <v>29</v>
      </c>
      <c r="O1361" s="1"/>
      <c r="P1361" s="11"/>
      <c r="Q1361" s="11"/>
      <c r="R1361" s="11"/>
      <c r="S1361" s="11"/>
      <c r="T1361" s="1"/>
      <c r="U1361" s="1"/>
      <c r="V1361" s="1"/>
      <c r="W1361" s="1"/>
      <c r="X1361" s="1"/>
      <c r="Y1361" s="1"/>
      <c r="Z1361" s="1"/>
    </row>
    <row r="1362" ht="18.0" hidden="1" customHeight="1" outlineLevel="1">
      <c r="A1362" s="1"/>
      <c r="B1362" s="26" t="s">
        <v>1664</v>
      </c>
      <c r="C1362" s="1"/>
      <c r="D1362" s="1"/>
      <c r="E1362" s="14"/>
      <c r="F1362" s="15"/>
      <c r="G1362" s="16"/>
      <c r="H1362" s="11"/>
      <c r="I1362" s="7"/>
      <c r="J1362" s="7" t="str">
        <f>IFERROR(LET(_xlpm.v,
VLOOKUP($I1362,'用語辞書'!$A:$B,COLUMN('用語辞書'!B$1),FALSE),
IF(_xlpm.v=0,"",_xlpm.v)
),"")</f>
        <v/>
      </c>
      <c r="K1362" s="17"/>
      <c r="L1362" s="17" t="str">
        <f>IF(OR(COUNTIF('クラス'!$A$1:$A$1267,$B1362)&gt;0,$B1362="",$M1362=""),"",True)</f>
        <v/>
      </c>
      <c r="M1362" s="1" t="str">
        <f t="shared" ref="M1362:M1452" si="25">IF(COUNTIF($B$1:$C1361, $B1362), "", "存在しない")</f>
        <v>存在しない</v>
      </c>
      <c r="N1362" s="1" t="s">
        <v>29</v>
      </c>
      <c r="O1362" s="1"/>
      <c r="P1362" s="11"/>
      <c r="Q1362" s="11"/>
      <c r="R1362" s="11"/>
      <c r="S1362" s="11"/>
      <c r="T1362" s="1"/>
      <c r="U1362" s="1"/>
      <c r="V1362" s="1"/>
      <c r="W1362" s="1"/>
      <c r="X1362" s="1"/>
      <c r="Y1362" s="1"/>
      <c r="Z1362" s="1"/>
    </row>
    <row r="1363" ht="18.0" hidden="1" customHeight="1" outlineLevel="2">
      <c r="A1363" s="1">
        <v>1.0</v>
      </c>
      <c r="B1363" s="26" t="s">
        <v>1665</v>
      </c>
      <c r="C1363" s="1"/>
      <c r="D1363" s="1"/>
      <c r="E1363" s="14" t="s">
        <v>33</v>
      </c>
      <c r="F1363" s="15"/>
      <c r="G1363" s="16"/>
      <c r="H1363" s="11" t="s">
        <v>1666</v>
      </c>
      <c r="I1363" s="7"/>
      <c r="J1363" s="7" t="str">
        <f>IFERROR(LET(_xlpm.v,
VLOOKUP($I1363,'用語辞書'!$A:$B,COLUMN('用語辞書'!B$1),FALSE),
IF(_xlpm.v=0,"",_xlpm.v)
),"")</f>
        <v/>
      </c>
      <c r="K1363" s="17"/>
      <c r="L1363" s="17" t="b">
        <f>IF(OR(COUNTIF('クラス'!$A$1:$A$1267,$B1363)&gt;0,$B1363="",$M1363=""),"",True)</f>
        <v>1</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2.0</v>
      </c>
      <c r="B1364" s="26"/>
      <c r="C1364" s="1"/>
      <c r="D1364" s="1"/>
      <c r="E1364" s="29"/>
      <c r="F1364" s="15"/>
      <c r="G1364" s="30"/>
      <c r="H1364" s="22"/>
      <c r="I1364" s="7"/>
      <c r="J1364" s="7" t="str">
        <f>IFERROR(LET(_xlpm.v,
VLOOKUP($I1364,'用語辞書'!$A:$B,COLUMN('用語辞書'!B$1),FALSE),
IF(_xlpm.v=0,"",_xlpm.v)
),"")</f>
        <v/>
      </c>
      <c r="K1364" s="17"/>
      <c r="L1364" s="17" t="str">
        <f>IF(OR(COUNTIF('クラス'!$A$1:$A$1267,$B1364)&gt;0,$B1364="",$M1364=""),"",True)</f>
        <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3.0</v>
      </c>
      <c r="B1365" s="26" t="s">
        <v>1667</v>
      </c>
      <c r="C1365" s="1"/>
      <c r="D1365" s="1"/>
      <c r="E1365" s="29" t="s">
        <v>33</v>
      </c>
      <c r="F1365" s="15"/>
      <c r="G1365" s="16"/>
      <c r="H1365" s="22" t="s">
        <v>1668</v>
      </c>
      <c r="I1365" s="7"/>
      <c r="J1365" s="7" t="str">
        <f>IFERROR(LET(_xlpm.v,
VLOOKUP($I1365,'用語辞書'!$A:$B,COLUMN('用語辞書'!B$1),FALSE),
IF(_xlpm.v=0,"",_xlpm.v)
),"")</f>
        <v/>
      </c>
      <c r="K1365" s="17"/>
      <c r="L1365" s="17" t="b">
        <f>IF(OR(COUNTIF('クラス'!$A$1:$A$1267,$B1365)&gt;0,$B1365="",$M1365=""),"",True)</f>
        <v>1</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4.0</v>
      </c>
      <c r="B1366" s="26"/>
      <c r="C1366" s="1"/>
      <c r="D1366" s="1"/>
      <c r="E1366" s="14"/>
      <c r="F1366" s="15"/>
      <c r="G1366" s="16"/>
      <c r="H1366" s="11"/>
      <c r="I1366" s="7"/>
      <c r="J1366" s="7" t="str">
        <f>IFERROR(LET(_xlpm.v,
VLOOKUP($I1366,'用語辞書'!$A:$B,COLUMN('用語辞書'!B$1),FALSE),
IF(_xlpm.v=0,"",_xlpm.v)
),"")</f>
        <v/>
      </c>
      <c r="K1366" s="17"/>
      <c r="L1366" s="17" t="str">
        <f>IF(OR(COUNTIF('クラス'!$A$1:$A$1267,$B1366)&gt;0,$B1366="",$M1366=""),"",True)</f>
        <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5.0</v>
      </c>
      <c r="B1367" s="26" t="s">
        <v>1669</v>
      </c>
      <c r="C1367" s="1"/>
      <c r="D1367" s="1"/>
      <c r="E1367" s="14" t="s">
        <v>55</v>
      </c>
      <c r="F1367" s="15"/>
      <c r="G1367" s="16"/>
      <c r="H1367" s="11" t="s">
        <v>1670</v>
      </c>
      <c r="I1367" s="7"/>
      <c r="J1367" s="7" t="str">
        <f>IFERROR(LET(_xlpm.v,
VLOOKUP($I1367,'用語辞書'!$A:$B,COLUMN('用語辞書'!B$1),FALSE),
IF(_xlpm.v=0,"",_xlpm.v)
),"")</f>
        <v/>
      </c>
      <c r="K1367" s="17"/>
      <c r="L1367" s="17" t="b">
        <f>IF(OR(COUNTIF('クラス'!$A$1:$A$1267,$B1367)&gt;0,$B1367="",$M1367=""),"",True)</f>
        <v>1</v>
      </c>
      <c r="M1367" s="1" t="str">
        <f t="shared" si="25"/>
        <v>存在しない</v>
      </c>
      <c r="N1367" s="1" t="s">
        <v>29</v>
      </c>
      <c r="O1367" s="1"/>
      <c r="P1367" s="11"/>
      <c r="Q1367" s="11"/>
      <c r="R1367" s="11"/>
      <c r="S1367" s="11"/>
      <c r="T1367" s="1"/>
      <c r="U1367" s="1"/>
      <c r="V1367" s="1"/>
      <c r="W1367" s="1"/>
      <c r="X1367" s="1"/>
      <c r="Y1367" s="1"/>
      <c r="Z1367" s="1"/>
    </row>
    <row r="1368" ht="18.0" hidden="1" customHeight="1" outlineLevel="2">
      <c r="A1368" s="1">
        <v>6.0</v>
      </c>
      <c r="B1368" s="1" t="s">
        <v>35</v>
      </c>
      <c r="C1368" s="1"/>
      <c r="D1368" s="1"/>
      <c r="E1368" s="14"/>
      <c r="F1368" s="15"/>
      <c r="G1368" s="16"/>
      <c r="H1368" s="11"/>
      <c r="I1368" s="7"/>
      <c r="J1368" s="7" t="str">
        <f>IFERROR(LET(_xlpm.v,
VLOOKUP($I1368,'用語辞書'!$A:$B,COLUMN('用語辞書'!B$1),FALSE),
IF(_xlpm.v=0,"",_xlpm.v)
),"")</f>
        <v/>
      </c>
      <c r="K1368" s="17"/>
      <c r="L1368" s="17" t="str">
        <f>IF(OR(COUNTIF('クラス'!$A$1:$A$1267,$B1368)&gt;0,$B1368="",$M1368=""),"",True)</f>
        <v/>
      </c>
      <c r="M1368" s="1" t="str">
        <f t="shared" si="25"/>
        <v/>
      </c>
      <c r="N1368" s="1" t="s">
        <v>29</v>
      </c>
      <c r="O1368" s="1"/>
      <c r="P1368" s="11"/>
      <c r="Q1368" s="11"/>
      <c r="R1368" s="11"/>
      <c r="S1368" s="11"/>
      <c r="T1368" s="1"/>
      <c r="U1368" s="1"/>
      <c r="V1368" s="1"/>
      <c r="W1368" s="1"/>
      <c r="X1368" s="1"/>
      <c r="Y1368" s="1"/>
      <c r="Z1368" s="1"/>
    </row>
    <row r="1369" ht="18.0" hidden="1" customHeight="1" outlineLevel="2">
      <c r="A1369" s="1">
        <v>7.0</v>
      </c>
      <c r="B1369" s="26" t="s">
        <v>1671</v>
      </c>
      <c r="C1369" s="1"/>
      <c r="D1369" s="1"/>
      <c r="E1369" s="14" t="s">
        <v>55</v>
      </c>
      <c r="F1369" s="15"/>
      <c r="G1369" s="16"/>
      <c r="H1369" s="11" t="s">
        <v>1672</v>
      </c>
      <c r="I1369" s="7"/>
      <c r="J1369" s="7" t="str">
        <f>IFERROR(LET(_xlpm.v,
VLOOKUP($I1369,'用語辞書'!$A:$B,COLUMN('用語辞書'!B$1),FALSE),
IF(_xlpm.v=0,"",_xlpm.v)
),"")</f>
        <v/>
      </c>
      <c r="K1369" s="17"/>
      <c r="L1369" s="17" t="b">
        <f>IF(OR(COUNTIF('クラス'!$A$1:$A$1267,$B1369)&gt;0,$B1369="",$M1369=""),"",True)</f>
        <v>1</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8.0</v>
      </c>
      <c r="B1370" s="1"/>
      <c r="C1370" s="1"/>
      <c r="D1370" s="1"/>
      <c r="E1370" s="14"/>
      <c r="F1370" s="15"/>
      <c r="G1370" s="16"/>
      <c r="H1370" s="11"/>
      <c r="I1370" s="7"/>
      <c r="J1370" s="7" t="str">
        <f>IFERROR(LET(_xlpm.v,
VLOOKUP($I1370,'用語辞書'!$A:$B,COLUMN('用語辞書'!B$1),FALSE),
IF(_xlpm.v=0,"",_xlpm.v)
),"")</f>
        <v/>
      </c>
      <c r="K1370" s="17"/>
      <c r="L1370" s="17" t="str">
        <f>IF(OR(COUNTIF('クラス'!$A$1:$A$1267,$B1370)&gt;0,$B1370="",$M1370=""),"",True)</f>
        <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9.0</v>
      </c>
      <c r="B1371" s="1" t="s">
        <v>1673</v>
      </c>
      <c r="C1371" s="1"/>
      <c r="D1371" s="1"/>
      <c r="E1371" s="14" t="s">
        <v>55</v>
      </c>
      <c r="F1371" s="15"/>
      <c r="G1371" s="16"/>
      <c r="H1371" s="11" t="s">
        <v>1674</v>
      </c>
      <c r="I1371" s="7"/>
      <c r="J1371" s="7" t="str">
        <f>IFERROR(LET(_xlpm.v,
VLOOKUP($I1371,'用語辞書'!$A:$B,COLUMN('用語辞書'!B$1),FALSE),
IF(_xlpm.v=0,"",_xlpm.v)
),"")</f>
        <v/>
      </c>
      <c r="K1371" s="17"/>
      <c r="L1371" s="17" t="b">
        <f>IF(OR(COUNTIF('クラス'!$A$1:$A$1267,$B1371)&gt;0,$B1371="",$M1371=""),"",True)</f>
        <v>1</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2">
      <c r="A1372" s="1">
        <v>10.0</v>
      </c>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ollapsed="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1"/>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1">
      <c r="A1375" s="1"/>
      <c r="B1375" s="26" t="s">
        <v>1675</v>
      </c>
      <c r="C1375" s="1"/>
      <c r="D1375" s="1"/>
      <c r="E1375" s="14"/>
      <c r="F1375" s="15"/>
      <c r="G1375" s="16"/>
      <c r="H1375" s="11"/>
      <c r="I1375" s="7"/>
      <c r="J1375" s="7" t="str">
        <f>IFERROR(LET(_xlpm.v,
VLOOKUP($I1375,'用語辞書'!$A:$B,COLUMN('用語辞書'!B$1),FALSE),
IF(_xlpm.v=0,"",_xlpm.v)
),"")</f>
        <v/>
      </c>
      <c r="K1375" s="17"/>
      <c r="L1375" s="17" t="str">
        <f>IF(OR(COUNTIF('クラス'!$A$1:$A$1267,$B1375)&gt;0,$B1375="",$M1375=""),"",True)</f>
        <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1.0</v>
      </c>
      <c r="B1376" s="26" t="s">
        <v>1676</v>
      </c>
      <c r="C1376" s="1"/>
      <c r="D1376" s="1"/>
      <c r="E1376" s="14" t="s">
        <v>33</v>
      </c>
      <c r="F1376" s="15"/>
      <c r="G1376" s="16"/>
      <c r="H1376" s="11" t="s">
        <v>1677</v>
      </c>
      <c r="I1376" s="7"/>
      <c r="J1376" s="7" t="str">
        <f>IFERROR(LET(_xlpm.v,
VLOOKUP($I1376,'用語辞書'!$A:$B,COLUMN('用語辞書'!B$1),FALSE),
IF(_xlpm.v=0,"",_xlpm.v)
),"")</f>
        <v/>
      </c>
      <c r="K1376" s="17"/>
      <c r="L1376" s="17" t="b">
        <f>IF(OR(COUNTIF('クラス'!$A$1:$A$1267,$B1376)&gt;0,$B1376="",$M1376=""),"",True)</f>
        <v>1</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2.0</v>
      </c>
      <c r="B1377" s="26"/>
      <c r="C1377" s="1"/>
      <c r="D1377" s="1"/>
      <c r="E1377" s="29"/>
      <c r="F1377" s="15"/>
      <c r="G1377" s="30"/>
      <c r="H1377" s="22"/>
      <c r="I1377" s="7"/>
      <c r="J1377" s="7" t="str">
        <f>IFERROR(LET(_xlpm.v,
VLOOKUP($I1377,'用語辞書'!$A:$B,COLUMN('用語辞書'!B$1),FALSE),
IF(_xlpm.v=0,"",_xlpm.v)
),"")</f>
        <v/>
      </c>
      <c r="K1377" s="17"/>
      <c r="L1377" s="17" t="str">
        <f>IF(OR(COUNTIF('クラス'!$A$1:$A$1267,$B1377)&gt;0,$B1377="",$M1377=""),"",True)</f>
        <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3.0</v>
      </c>
      <c r="B1378" s="26" t="s">
        <v>1678</v>
      </c>
      <c r="C1378" s="1"/>
      <c r="D1378" s="1"/>
      <c r="E1378" s="29" t="s">
        <v>33</v>
      </c>
      <c r="F1378" s="15"/>
      <c r="G1378" s="16"/>
      <c r="H1378" s="22" t="s">
        <v>1679</v>
      </c>
      <c r="I1378" s="7"/>
      <c r="J1378" s="7" t="str">
        <f>IFERROR(LET(_xlpm.v,
VLOOKUP($I1378,'用語辞書'!$A:$B,COLUMN('用語辞書'!B$1),FALSE),
IF(_xlpm.v=0,"",_xlpm.v)
),"")</f>
        <v/>
      </c>
      <c r="K1378" s="17"/>
      <c r="L1378" s="17" t="b">
        <f>IF(OR(COUNTIF('クラス'!$A$1:$A$1267,$B1378)&gt;0,$B1378="",$M1378=""),"",True)</f>
        <v>1</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4.0</v>
      </c>
      <c r="B1379" s="26"/>
      <c r="C1379" s="1"/>
      <c r="D1379" s="1"/>
      <c r="E1379" s="14"/>
      <c r="F1379" s="15"/>
      <c r="G1379" s="16"/>
      <c r="H1379" s="11"/>
      <c r="I1379" s="7"/>
      <c r="J1379" s="7" t="str">
        <f>IFERROR(LET(_xlpm.v,
VLOOKUP($I1379,'用語辞書'!$A:$B,COLUMN('用語辞書'!B$1),FALSE),
IF(_xlpm.v=0,"",_xlpm.v)
),"")</f>
        <v/>
      </c>
      <c r="K1379" s="17"/>
      <c r="L1379" s="17" t="str">
        <f>IF(OR(COUNTIF('クラス'!$A$1:$A$1267,$B1379)&gt;0,$B1379="",$M1379=""),"",True)</f>
        <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5.0</v>
      </c>
      <c r="B1380" s="26" t="s">
        <v>1680</v>
      </c>
      <c r="C1380" s="1"/>
      <c r="D1380" s="1"/>
      <c r="E1380" s="14" t="s">
        <v>55</v>
      </c>
      <c r="F1380" s="15"/>
      <c r="G1380" s="16"/>
      <c r="H1380" s="11" t="s">
        <v>1681</v>
      </c>
      <c r="I1380" s="7"/>
      <c r="J1380" s="7" t="str">
        <f>IFERROR(LET(_xlpm.v,
VLOOKUP($I1380,'用語辞書'!$A:$B,COLUMN('用語辞書'!B$1),FALSE),
IF(_xlpm.v=0,"",_xlpm.v)
),"")</f>
        <v/>
      </c>
      <c r="K1380" s="17"/>
      <c r="L1380" s="17" t="b">
        <f>IF(OR(COUNTIF('クラス'!$A$1:$A$1267,$B1380)&gt;0,$B1380="",$M1380=""),"",True)</f>
        <v>1</v>
      </c>
      <c r="M1380" s="1" t="str">
        <f t="shared" si="25"/>
        <v>存在しない</v>
      </c>
      <c r="N1380" s="1" t="s">
        <v>29</v>
      </c>
      <c r="O1380" s="1"/>
      <c r="P1380" s="11"/>
      <c r="Q1380" s="11"/>
      <c r="R1380" s="11"/>
      <c r="S1380" s="11"/>
      <c r="T1380" s="1"/>
      <c r="U1380" s="1"/>
      <c r="V1380" s="1"/>
      <c r="W1380" s="1"/>
      <c r="X1380" s="1"/>
      <c r="Y1380" s="1"/>
      <c r="Z1380" s="1"/>
    </row>
    <row r="1381" ht="18.0" hidden="1" customHeight="1" outlineLevel="2">
      <c r="A1381" s="1">
        <v>6.0</v>
      </c>
      <c r="B1381" s="1" t="s">
        <v>37</v>
      </c>
      <c r="C1381" s="1"/>
      <c r="D1381" s="1"/>
      <c r="E1381" s="14"/>
      <c r="F1381" s="15"/>
      <c r="G1381" s="16"/>
      <c r="H1381" s="11"/>
      <c r="I1381" s="7"/>
      <c r="J1381" s="7" t="str">
        <f>IFERROR(LET(_xlpm.v,
VLOOKUP($I1381,'用語辞書'!$A:$B,COLUMN('用語辞書'!B$1),FALSE),
IF(_xlpm.v=0,"",_xlpm.v)
),"")</f>
        <v/>
      </c>
      <c r="K1381" s="17"/>
      <c r="L1381" s="17" t="str">
        <f>IF(OR(COUNTIF('クラス'!$A$1:$A$1267,$B1381)&gt;0,$B1381="",$M1381=""),"",True)</f>
        <v/>
      </c>
      <c r="M1381" s="1" t="str">
        <f t="shared" si="25"/>
        <v/>
      </c>
      <c r="N1381" s="1" t="s">
        <v>29</v>
      </c>
      <c r="O1381" s="1"/>
      <c r="P1381" s="11"/>
      <c r="Q1381" s="11"/>
      <c r="R1381" s="11"/>
      <c r="S1381" s="11"/>
      <c r="T1381" s="1"/>
      <c r="U1381" s="1"/>
      <c r="V1381" s="1"/>
      <c r="W1381" s="1"/>
      <c r="X1381" s="1"/>
      <c r="Y1381" s="1"/>
      <c r="Z1381" s="1"/>
    </row>
    <row r="1382" ht="18.0" hidden="1" customHeight="1" outlineLevel="2">
      <c r="A1382" s="1">
        <v>7.0</v>
      </c>
      <c r="B1382" s="26" t="s">
        <v>1682</v>
      </c>
      <c r="C1382" s="1"/>
      <c r="D1382" s="1"/>
      <c r="E1382" s="14" t="s">
        <v>55</v>
      </c>
      <c r="F1382" s="15"/>
      <c r="G1382" s="16"/>
      <c r="H1382" s="11" t="s">
        <v>1683</v>
      </c>
      <c r="I1382" s="7"/>
      <c r="J1382" s="7" t="str">
        <f>IFERROR(LET(_xlpm.v,
VLOOKUP($I1382,'用語辞書'!$A:$B,COLUMN('用語辞書'!B$1),FALSE),
IF(_xlpm.v=0,"",_xlpm.v)
),"")</f>
        <v/>
      </c>
      <c r="K1382" s="17"/>
      <c r="L1382" s="17" t="b">
        <f>IF(OR(COUNTIF('クラス'!$A$1:$A$1267,$B1382)&gt;0,$B1382="",$M1382=""),"",True)</f>
        <v>1</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8.0</v>
      </c>
      <c r="B1383" s="1"/>
      <c r="C1383" s="1"/>
      <c r="D1383" s="1"/>
      <c r="E1383" s="14"/>
      <c r="F1383" s="15"/>
      <c r="G1383" s="16"/>
      <c r="H1383" s="11"/>
      <c r="I1383" s="7"/>
      <c r="J1383" s="7" t="str">
        <f>IFERROR(LET(_xlpm.v,
VLOOKUP($I1383,'用語辞書'!$A:$B,COLUMN('用語辞書'!B$1),FALSE),
IF(_xlpm.v=0,"",_xlpm.v)
),"")</f>
        <v/>
      </c>
      <c r="K1383" s="17"/>
      <c r="L1383" s="17" t="str">
        <f>IF(OR(COUNTIF('クラス'!$A$1:$A$1267,$B1383)&gt;0,$B1383="",$M1383=""),"",True)</f>
        <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9.0</v>
      </c>
      <c r="B1384" s="1" t="s">
        <v>1684</v>
      </c>
      <c r="C1384" s="1"/>
      <c r="D1384" s="1"/>
      <c r="E1384" s="14" t="s">
        <v>55</v>
      </c>
      <c r="F1384" s="15"/>
      <c r="G1384" s="16"/>
      <c r="H1384" s="11" t="s">
        <v>1685</v>
      </c>
      <c r="I1384" s="7"/>
      <c r="J1384" s="7" t="str">
        <f>IFERROR(LET(_xlpm.v,
VLOOKUP($I1384,'用語辞書'!$A:$B,COLUMN('用語辞書'!B$1),FALSE),
IF(_xlpm.v=0,"",_xlpm.v)
),"")</f>
        <v/>
      </c>
      <c r="K1384" s="17"/>
      <c r="L1384" s="17" t="b">
        <f>IF(OR(COUNTIF('クラス'!$A$1:$A$1267,$B1384)&gt;0,$B1384="",$M1384=""),"",True)</f>
        <v>1</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2">
      <c r="A1385" s="1">
        <v>10.0</v>
      </c>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ollapsed="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1"/>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1">
      <c r="A1388" s="1"/>
      <c r="B1388" s="26" t="s">
        <v>1686</v>
      </c>
      <c r="C1388" s="1"/>
      <c r="D1388" s="1"/>
      <c r="E1388" s="14"/>
      <c r="F1388" s="15"/>
      <c r="G1388" s="16"/>
      <c r="H1388" s="11"/>
      <c r="I1388" s="7"/>
      <c r="J1388" s="7" t="str">
        <f>IFERROR(LET(_xlpm.v,
VLOOKUP($I1388,'用語辞書'!$A:$B,COLUMN('用語辞書'!B$1),FALSE),
IF(_xlpm.v=0,"",_xlpm.v)
),"")</f>
        <v/>
      </c>
      <c r="K1388" s="17"/>
      <c r="L1388" s="17" t="str">
        <f>IF(OR(COUNTIF('クラス'!$A$1:$A$1267,$B1388)&gt;0,$B1388="",$M1388=""),"",True)</f>
        <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1.0</v>
      </c>
      <c r="B1389" s="26" t="s">
        <v>1687</v>
      </c>
      <c r="C1389" s="1"/>
      <c r="D1389" s="1"/>
      <c r="E1389" s="14" t="s">
        <v>33</v>
      </c>
      <c r="F1389" s="15"/>
      <c r="G1389" s="16"/>
      <c r="H1389" s="11" t="s">
        <v>1688</v>
      </c>
      <c r="I1389" s="7"/>
      <c r="J1389" s="7" t="str">
        <f>IFERROR(LET(_xlpm.v,
VLOOKUP($I1389,'用語辞書'!$A:$B,COLUMN('用語辞書'!B$1),FALSE),
IF(_xlpm.v=0,"",_xlpm.v)
),"")</f>
        <v/>
      </c>
      <c r="K1389" s="17"/>
      <c r="L1389" s="17" t="b">
        <f>IF(OR(COUNTIF('クラス'!$A$1:$A$1267,$B1389)&gt;0,$B1389="",$M1389=""),"",True)</f>
        <v>1</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2.0</v>
      </c>
      <c r="B1390" s="26"/>
      <c r="C1390" s="1"/>
      <c r="D1390" s="1"/>
      <c r="E1390" s="29"/>
      <c r="F1390" s="15"/>
      <c r="G1390" s="30"/>
      <c r="H1390" s="22"/>
      <c r="I1390" s="7"/>
      <c r="J1390" s="7" t="str">
        <f>IFERROR(LET(_xlpm.v,
VLOOKUP($I1390,'用語辞書'!$A:$B,COLUMN('用語辞書'!B$1),FALSE),
IF(_xlpm.v=0,"",_xlpm.v)
),"")</f>
        <v/>
      </c>
      <c r="K1390" s="17"/>
      <c r="L1390" s="17" t="str">
        <f>IF(OR(COUNTIF('クラス'!$A$1:$A$1267,$B1390)&gt;0,$B1390="",$M1390=""),"",True)</f>
        <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3.0</v>
      </c>
      <c r="B1391" s="26" t="s">
        <v>1689</v>
      </c>
      <c r="C1391" s="1"/>
      <c r="D1391" s="1"/>
      <c r="E1391" s="29" t="s">
        <v>33</v>
      </c>
      <c r="F1391" s="15"/>
      <c r="G1391" s="16"/>
      <c r="H1391" s="22" t="s">
        <v>1690</v>
      </c>
      <c r="I1391" s="7"/>
      <c r="J1391" s="7" t="str">
        <f>IFERROR(LET(_xlpm.v,
VLOOKUP($I1391,'用語辞書'!$A:$B,COLUMN('用語辞書'!B$1),FALSE),
IF(_xlpm.v=0,"",_xlpm.v)
),"")</f>
        <v/>
      </c>
      <c r="K1391" s="17"/>
      <c r="L1391" s="17" t="b">
        <f>IF(OR(COUNTIF('クラス'!$A$1:$A$1267,$B1391)&gt;0,$B1391="",$M1391=""),"",True)</f>
        <v>1</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4.0</v>
      </c>
      <c r="B1392" s="26"/>
      <c r="C1392" s="1"/>
      <c r="D1392" s="1"/>
      <c r="E1392" s="14"/>
      <c r="F1392" s="15"/>
      <c r="G1392" s="16"/>
      <c r="H1392" s="11"/>
      <c r="I1392" s="7"/>
      <c r="J1392" s="7" t="str">
        <f>IFERROR(LET(_xlpm.v,
VLOOKUP($I1392,'用語辞書'!$A:$B,COLUMN('用語辞書'!B$1),FALSE),
IF(_xlpm.v=0,"",_xlpm.v)
),"")</f>
        <v/>
      </c>
      <c r="K1392" s="17"/>
      <c r="L1392" s="17" t="str">
        <f>IF(OR(COUNTIF('クラス'!$A$1:$A$1267,$B1392)&gt;0,$B1392="",$M1392=""),"",True)</f>
        <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5.0</v>
      </c>
      <c r="B1393" s="26" t="s">
        <v>1691</v>
      </c>
      <c r="C1393" s="1"/>
      <c r="D1393" s="1"/>
      <c r="E1393" s="14" t="s">
        <v>55</v>
      </c>
      <c r="F1393" s="15"/>
      <c r="G1393" s="16"/>
      <c r="H1393" s="11" t="s">
        <v>1692</v>
      </c>
      <c r="I1393" s="7"/>
      <c r="J1393" s="7" t="str">
        <f>IFERROR(LET(_xlpm.v,
VLOOKUP($I1393,'用語辞書'!$A:$B,COLUMN('用語辞書'!B$1),FALSE),
IF(_xlpm.v=0,"",_xlpm.v)
),"")</f>
        <v/>
      </c>
      <c r="K1393" s="17"/>
      <c r="L1393" s="17" t="b">
        <f>IF(OR(COUNTIF('クラス'!$A$1:$A$1267,$B1393)&gt;0,$B1393="",$M1393=""),"",True)</f>
        <v>1</v>
      </c>
      <c r="M1393" s="1" t="str">
        <f t="shared" si="25"/>
        <v>存在しない</v>
      </c>
      <c r="N1393" s="1" t="s">
        <v>29</v>
      </c>
      <c r="O1393" s="1"/>
      <c r="P1393" s="11"/>
      <c r="Q1393" s="11"/>
      <c r="R1393" s="11"/>
      <c r="S1393" s="11"/>
      <c r="T1393" s="1"/>
      <c r="U1393" s="1"/>
      <c r="V1393" s="1"/>
      <c r="W1393" s="1"/>
      <c r="X1393" s="1"/>
      <c r="Y1393" s="1"/>
      <c r="Z1393" s="1"/>
    </row>
    <row r="1394" ht="18.0" hidden="1" customHeight="1" outlineLevel="2">
      <c r="A1394" s="1">
        <v>6.0</v>
      </c>
      <c r="B1394" s="1" t="s">
        <v>32</v>
      </c>
      <c r="C1394" s="1"/>
      <c r="D1394" s="1"/>
      <c r="E1394" s="14"/>
      <c r="F1394" s="15"/>
      <c r="G1394" s="16"/>
      <c r="H1394" s="11"/>
      <c r="I1394" s="7"/>
      <c r="J1394" s="7" t="str">
        <f>IFERROR(LET(_xlpm.v,
VLOOKUP($I1394,'用語辞書'!$A:$B,COLUMN('用語辞書'!B$1),FALSE),
IF(_xlpm.v=0,"",_xlpm.v)
),"")</f>
        <v/>
      </c>
      <c r="K1394" s="17"/>
      <c r="L1394" s="17" t="str">
        <f>IF(OR(COUNTIF('クラス'!$A$1:$A$1267,$B1394)&gt;0,$B1394="",$M1394=""),"",True)</f>
        <v/>
      </c>
      <c r="M1394" s="1" t="str">
        <f t="shared" si="25"/>
        <v/>
      </c>
      <c r="N1394" s="1" t="s">
        <v>29</v>
      </c>
      <c r="O1394" s="1"/>
      <c r="P1394" s="11"/>
      <c r="Q1394" s="11"/>
      <c r="R1394" s="11"/>
      <c r="S1394" s="11"/>
      <c r="T1394" s="1"/>
      <c r="U1394" s="1"/>
      <c r="V1394" s="1"/>
      <c r="W1394" s="1"/>
      <c r="X1394" s="1"/>
      <c r="Y1394" s="1"/>
      <c r="Z1394" s="1"/>
    </row>
    <row r="1395" ht="18.0" hidden="1" customHeight="1" outlineLevel="2">
      <c r="A1395" s="1">
        <v>7.0</v>
      </c>
      <c r="B1395" s="26" t="s">
        <v>1693</v>
      </c>
      <c r="C1395" s="1"/>
      <c r="D1395" s="1"/>
      <c r="E1395" s="14" t="s">
        <v>55</v>
      </c>
      <c r="F1395" s="15"/>
      <c r="G1395" s="16"/>
      <c r="H1395" s="11" t="s">
        <v>1694</v>
      </c>
      <c r="I1395" s="7"/>
      <c r="J1395" s="7" t="str">
        <f>IFERROR(LET(_xlpm.v,
VLOOKUP($I1395,'用語辞書'!$A:$B,COLUMN('用語辞書'!B$1),FALSE),
IF(_xlpm.v=0,"",_xlpm.v)
),"")</f>
        <v/>
      </c>
      <c r="K1395" s="17"/>
      <c r="L1395" s="17" t="b">
        <f>IF(OR(COUNTIF('クラス'!$A$1:$A$1267,$B1395)&gt;0,$B1395="",$M1395=""),"",True)</f>
        <v>1</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8.0</v>
      </c>
      <c r="B1396" s="1"/>
      <c r="C1396" s="1"/>
      <c r="D1396" s="1"/>
      <c r="E1396" s="14"/>
      <c r="F1396" s="15"/>
      <c r="G1396" s="16"/>
      <c r="H1396" s="11"/>
      <c r="I1396" s="7"/>
      <c r="J1396" s="7" t="str">
        <f>IFERROR(LET(_xlpm.v,
VLOOKUP($I1396,'用語辞書'!$A:$B,COLUMN('用語辞書'!B$1),FALSE),
IF(_xlpm.v=0,"",_xlpm.v)
),"")</f>
        <v/>
      </c>
      <c r="K1396" s="17"/>
      <c r="L1396" s="17" t="str">
        <f>IF(OR(COUNTIF('クラス'!$A$1:$A$1267,$B1396)&gt;0,$B1396="",$M1396=""),"",True)</f>
        <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9.0</v>
      </c>
      <c r="B1397" s="1" t="s">
        <v>1695</v>
      </c>
      <c r="C1397" s="1"/>
      <c r="D1397" s="1"/>
      <c r="E1397" s="14" t="s">
        <v>55</v>
      </c>
      <c r="F1397" s="15"/>
      <c r="G1397" s="16"/>
      <c r="H1397" s="11" t="s">
        <v>1696</v>
      </c>
      <c r="I1397" s="7"/>
      <c r="J1397" s="7" t="str">
        <f>IFERROR(LET(_xlpm.v,
VLOOKUP($I1397,'用語辞書'!$A:$B,COLUMN('用語辞書'!B$1),FALSE),
IF(_xlpm.v=0,"",_xlpm.v)
),"")</f>
        <v/>
      </c>
      <c r="K1397" s="17"/>
      <c r="L1397" s="17" t="b">
        <f>IF(OR(COUNTIF('クラス'!$A$1:$A$1267,$B1397)&gt;0,$B1397="",$M1397=""),"",True)</f>
        <v>1</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2">
      <c r="A1398" s="1">
        <v>10.0</v>
      </c>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ollapsed="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1"/>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1">
      <c r="A1401" s="1"/>
      <c r="B1401" s="26" t="s">
        <v>1697</v>
      </c>
      <c r="C1401" s="1"/>
      <c r="D1401" s="1"/>
      <c r="E1401" s="14"/>
      <c r="F1401" s="15"/>
      <c r="G1401" s="16"/>
      <c r="H1401" s="11"/>
      <c r="I1401" s="7"/>
      <c r="J1401" s="7" t="str">
        <f>IFERROR(LET(_xlpm.v,
VLOOKUP($I1401,'用語辞書'!$A:$B,COLUMN('用語辞書'!B$1),FALSE),
IF(_xlpm.v=0,"",_xlpm.v)
),"")</f>
        <v/>
      </c>
      <c r="K1401" s="17"/>
      <c r="L1401" s="17" t="str">
        <f>IF(OR(COUNTIF('クラス'!$A$1:$A$1267,$B1401)&gt;0,$B1401="",$M1401=""),"",True)</f>
        <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1.0</v>
      </c>
      <c r="B1402" s="26" t="s">
        <v>1698</v>
      </c>
      <c r="C1402" s="1"/>
      <c r="D1402" s="1"/>
      <c r="E1402" s="14" t="s">
        <v>33</v>
      </c>
      <c r="F1402" s="15"/>
      <c r="G1402" s="16"/>
      <c r="H1402" s="11" t="s">
        <v>1699</v>
      </c>
      <c r="I1402" s="7"/>
      <c r="J1402" s="7" t="str">
        <f>IFERROR(LET(_xlpm.v,
VLOOKUP($I1402,'用語辞書'!$A:$B,COLUMN('用語辞書'!B$1),FALSE),
IF(_xlpm.v=0,"",_xlpm.v)
),"")</f>
        <v/>
      </c>
      <c r="K1402" s="17"/>
      <c r="L1402" s="17" t="b">
        <f>IF(OR(COUNTIF('クラス'!$A$1:$A$1267,$B1402)&gt;0,$B1402="",$M1402=""),"",True)</f>
        <v>1</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2.0</v>
      </c>
      <c r="B1403" s="26"/>
      <c r="C1403" s="1"/>
      <c r="D1403" s="1"/>
      <c r="E1403" s="29"/>
      <c r="F1403" s="15"/>
      <c r="G1403" s="30"/>
      <c r="H1403" s="22"/>
      <c r="I1403" s="7"/>
      <c r="J1403" s="7" t="str">
        <f>IFERROR(LET(_xlpm.v,
VLOOKUP($I1403,'用語辞書'!$A:$B,COLUMN('用語辞書'!B$1),FALSE),
IF(_xlpm.v=0,"",_xlpm.v)
),"")</f>
        <v/>
      </c>
      <c r="K1403" s="17"/>
      <c r="L1403" s="17" t="str">
        <f>IF(OR(COUNTIF('クラス'!$A$1:$A$1267,$B1403)&gt;0,$B1403="",$M1403=""),"",True)</f>
        <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3.0</v>
      </c>
      <c r="B1404" s="26" t="s">
        <v>1700</v>
      </c>
      <c r="C1404" s="1"/>
      <c r="D1404" s="1"/>
      <c r="E1404" s="29" t="s">
        <v>33</v>
      </c>
      <c r="F1404" s="15"/>
      <c r="G1404" s="16"/>
      <c r="H1404" s="22" t="s">
        <v>1701</v>
      </c>
      <c r="I1404" s="7"/>
      <c r="J1404" s="7" t="str">
        <f>IFERROR(LET(_xlpm.v,
VLOOKUP($I1404,'用語辞書'!$A:$B,COLUMN('用語辞書'!B$1),FALSE),
IF(_xlpm.v=0,"",_xlpm.v)
),"")</f>
        <v/>
      </c>
      <c r="K1404" s="17"/>
      <c r="L1404" s="17" t="b">
        <f>IF(OR(COUNTIF('クラス'!$A$1:$A$1267,$B1404)&gt;0,$B1404="",$M1404=""),"",True)</f>
        <v>1</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4.0</v>
      </c>
      <c r="B1405" s="26"/>
      <c r="C1405" s="1"/>
      <c r="D1405" s="1"/>
      <c r="E1405" s="14"/>
      <c r="F1405" s="15"/>
      <c r="G1405" s="16"/>
      <c r="H1405" s="11"/>
      <c r="I1405" s="7"/>
      <c r="J1405" s="7" t="str">
        <f>IFERROR(LET(_xlpm.v,
VLOOKUP($I1405,'用語辞書'!$A:$B,COLUMN('用語辞書'!B$1),FALSE),
IF(_xlpm.v=0,"",_xlpm.v)
),"")</f>
        <v/>
      </c>
      <c r="K1405" s="17"/>
      <c r="L1405" s="17" t="str">
        <f>IF(OR(COUNTIF('クラス'!$A$1:$A$1267,$B1405)&gt;0,$B1405="",$M1405=""),"",True)</f>
        <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5.0</v>
      </c>
      <c r="B1406" s="26" t="s">
        <v>1702</v>
      </c>
      <c r="C1406" s="1"/>
      <c r="D1406" s="1"/>
      <c r="E1406" s="14" t="s">
        <v>55</v>
      </c>
      <c r="F1406" s="15"/>
      <c r="G1406" s="16"/>
      <c r="H1406" s="11" t="s">
        <v>1703</v>
      </c>
      <c r="I1406" s="7"/>
      <c r="J1406" s="7" t="str">
        <f>IFERROR(LET(_xlpm.v,
VLOOKUP($I1406,'用語辞書'!$A:$B,COLUMN('用語辞書'!B$1),FALSE),
IF(_xlpm.v=0,"",_xlpm.v)
),"")</f>
        <v/>
      </c>
      <c r="K1406" s="17"/>
      <c r="L1406" s="17" t="b">
        <f>IF(OR(COUNTIF('クラス'!$A$1:$A$1267,$B1406)&gt;0,$B1406="",$M1406=""),"",True)</f>
        <v>1</v>
      </c>
      <c r="M1406" s="1" t="str">
        <f t="shared" si="25"/>
        <v>存在しない</v>
      </c>
      <c r="N1406" s="1" t="s">
        <v>29</v>
      </c>
      <c r="O1406" s="1"/>
      <c r="P1406" s="11"/>
      <c r="Q1406" s="11"/>
      <c r="R1406" s="11"/>
      <c r="S1406" s="11"/>
      <c r="T1406" s="1"/>
      <c r="U1406" s="1"/>
      <c r="V1406" s="1"/>
      <c r="W1406" s="1"/>
      <c r="X1406" s="1"/>
      <c r="Y1406" s="1"/>
      <c r="Z1406" s="1"/>
    </row>
    <row r="1407" ht="18.0" hidden="1" customHeight="1" outlineLevel="2">
      <c r="A1407" s="1">
        <v>6.0</v>
      </c>
      <c r="B1407" s="1" t="s">
        <v>1243</v>
      </c>
      <c r="C1407" s="1"/>
      <c r="D1407" s="1"/>
      <c r="E1407" s="14"/>
      <c r="F1407" s="15"/>
      <c r="G1407" s="16"/>
      <c r="H1407" s="11"/>
      <c r="I1407" s="7"/>
      <c r="J1407" s="7" t="str">
        <f>IFERROR(LET(_xlpm.v,
VLOOKUP($I1407,'用語辞書'!$A:$B,COLUMN('用語辞書'!B$1),FALSE),
IF(_xlpm.v=0,"",_xlpm.v)
),"")</f>
        <v/>
      </c>
      <c r="K1407" s="17"/>
      <c r="L1407" s="17" t="str">
        <f>IF(OR(COUNTIF('クラス'!$A$1:$A$1267,$B1407)&gt;0,$B1407="",$M1407=""),"",True)</f>
        <v/>
      </c>
      <c r="M1407" s="1" t="str">
        <f t="shared" si="25"/>
        <v/>
      </c>
      <c r="N1407" s="1" t="s">
        <v>29</v>
      </c>
      <c r="O1407" s="1"/>
      <c r="P1407" s="11"/>
      <c r="Q1407" s="11"/>
      <c r="R1407" s="11"/>
      <c r="S1407" s="11"/>
      <c r="T1407" s="1"/>
      <c r="U1407" s="1"/>
      <c r="V1407" s="1"/>
      <c r="W1407" s="1"/>
      <c r="X1407" s="1"/>
      <c r="Y1407" s="1"/>
      <c r="Z1407" s="1"/>
    </row>
    <row r="1408" ht="18.0" hidden="1" customHeight="1" outlineLevel="2">
      <c r="A1408" s="1">
        <v>7.0</v>
      </c>
      <c r="B1408" s="26" t="s">
        <v>1704</v>
      </c>
      <c r="C1408" s="1"/>
      <c r="D1408" s="1"/>
      <c r="E1408" s="14" t="s">
        <v>55</v>
      </c>
      <c r="F1408" s="15"/>
      <c r="G1408" s="16"/>
      <c r="H1408" s="11" t="s">
        <v>1705</v>
      </c>
      <c r="I1408" s="7"/>
      <c r="J1408" s="7" t="str">
        <f>IFERROR(LET(_xlpm.v,
VLOOKUP($I1408,'用語辞書'!$A:$B,COLUMN('用語辞書'!B$1),FALSE),
IF(_xlpm.v=0,"",_xlpm.v)
),"")</f>
        <v/>
      </c>
      <c r="K1408" s="17"/>
      <c r="L1408" s="17" t="b">
        <f>IF(OR(COUNTIF('クラス'!$A$1:$A$1267,$B1408)&gt;0,$B1408="",$M1408=""),"",True)</f>
        <v>1</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8.0</v>
      </c>
      <c r="B1409" s="1"/>
      <c r="C1409" s="1"/>
      <c r="D1409" s="1"/>
      <c r="E1409" s="14"/>
      <c r="F1409" s="15"/>
      <c r="G1409" s="16"/>
      <c r="H1409" s="11"/>
      <c r="I1409" s="7"/>
      <c r="J1409" s="7" t="str">
        <f>IFERROR(LET(_xlpm.v,
VLOOKUP($I1409,'用語辞書'!$A:$B,COLUMN('用語辞書'!B$1),FALSE),
IF(_xlpm.v=0,"",_xlpm.v)
),"")</f>
        <v/>
      </c>
      <c r="K1409" s="17"/>
      <c r="L1409" s="17" t="str">
        <f>IF(OR(COUNTIF('クラス'!$A$1:$A$1267,$B1409)&gt;0,$B1409="",$M1409=""),"",True)</f>
        <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9.0</v>
      </c>
      <c r="B1410" s="1" t="s">
        <v>1706</v>
      </c>
      <c r="C1410" s="1"/>
      <c r="D1410" s="1"/>
      <c r="E1410" s="14" t="s">
        <v>55</v>
      </c>
      <c r="F1410" s="15"/>
      <c r="G1410" s="16"/>
      <c r="H1410" s="11" t="s">
        <v>1707</v>
      </c>
      <c r="I1410" s="7"/>
      <c r="J1410" s="7" t="str">
        <f>IFERROR(LET(_xlpm.v,
VLOOKUP($I1410,'用語辞書'!$A:$B,COLUMN('用語辞書'!B$1),FALSE),
IF(_xlpm.v=0,"",_xlpm.v)
),"")</f>
        <v/>
      </c>
      <c r="K1410" s="17"/>
      <c r="L1410" s="17" t="b">
        <f>IF(OR(COUNTIF('クラス'!$A$1:$A$1267,$B1410)&gt;0,$B1410="",$M1410=""),"",True)</f>
        <v>1</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2">
      <c r="A1411" s="1">
        <v>10.0</v>
      </c>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ollapsed="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1"/>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1">
      <c r="A1414" s="1"/>
      <c r="B1414" s="26" t="s">
        <v>1708</v>
      </c>
      <c r="C1414" s="1"/>
      <c r="D1414" s="1"/>
      <c r="E1414" s="14"/>
      <c r="F1414" s="15"/>
      <c r="G1414" s="16"/>
      <c r="H1414" s="11"/>
      <c r="I1414" s="7"/>
      <c r="J1414" s="7" t="str">
        <f>IFERROR(LET(_xlpm.v,
VLOOKUP($I1414,'用語辞書'!$A:$B,COLUMN('用語辞書'!B$1),FALSE),
IF(_xlpm.v=0,"",_xlpm.v)
),"")</f>
        <v/>
      </c>
      <c r="K1414" s="17"/>
      <c r="L1414" s="17" t="str">
        <f>IF(OR(COUNTIF('クラス'!$A$1:$A$1267,$B1414)&gt;0,$B1414="",$M1414=""),"",True)</f>
        <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1.0</v>
      </c>
      <c r="B1415" s="26" t="s">
        <v>1709</v>
      </c>
      <c r="C1415" s="1"/>
      <c r="D1415" s="1"/>
      <c r="E1415" s="14" t="s">
        <v>33</v>
      </c>
      <c r="F1415" s="15"/>
      <c r="G1415" s="16"/>
      <c r="H1415" s="11" t="s">
        <v>1710</v>
      </c>
      <c r="I1415" s="7"/>
      <c r="J1415" s="7" t="str">
        <f>IFERROR(LET(_xlpm.v,
VLOOKUP($I1415,'用語辞書'!$A:$B,COLUMN('用語辞書'!B$1),FALSE),
IF(_xlpm.v=0,"",_xlpm.v)
),"")</f>
        <v/>
      </c>
      <c r="K1415" s="17"/>
      <c r="L1415" s="17" t="b">
        <f>IF(OR(COUNTIF('クラス'!$A$1:$A$1267,$B1415)&gt;0,$B1415="",$M1415=""),"",True)</f>
        <v>1</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2.0</v>
      </c>
      <c r="B1416" s="26"/>
      <c r="C1416" s="1"/>
      <c r="D1416" s="1"/>
      <c r="E1416" s="29"/>
      <c r="F1416" s="15"/>
      <c r="G1416" s="30"/>
      <c r="H1416" s="22"/>
      <c r="I1416" s="7"/>
      <c r="J1416" s="7" t="str">
        <f>IFERROR(LET(_xlpm.v,
VLOOKUP($I1416,'用語辞書'!$A:$B,COLUMN('用語辞書'!B$1),FALSE),
IF(_xlpm.v=0,"",_xlpm.v)
),"")</f>
        <v/>
      </c>
      <c r="K1416" s="17"/>
      <c r="L1416" s="17" t="str">
        <f>IF(OR(COUNTIF('クラス'!$A$1:$A$1267,$B1416)&gt;0,$B1416="",$M1416=""),"",True)</f>
        <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3.0</v>
      </c>
      <c r="B1417" s="26" t="s">
        <v>1711</v>
      </c>
      <c r="C1417" s="1"/>
      <c r="D1417" s="1"/>
      <c r="E1417" s="29" t="s">
        <v>33</v>
      </c>
      <c r="F1417" s="15"/>
      <c r="G1417" s="16"/>
      <c r="H1417" s="22" t="s">
        <v>1712</v>
      </c>
      <c r="I1417" s="7"/>
      <c r="J1417" s="7" t="str">
        <f>IFERROR(LET(_xlpm.v,
VLOOKUP($I1417,'用語辞書'!$A:$B,COLUMN('用語辞書'!B$1),FALSE),
IF(_xlpm.v=0,"",_xlpm.v)
),"")</f>
        <v/>
      </c>
      <c r="K1417" s="17"/>
      <c r="L1417" s="17" t="b">
        <f>IF(OR(COUNTIF('クラス'!$A$1:$A$1267,$B1417)&gt;0,$B1417="",$M1417=""),"",True)</f>
        <v>1</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4.0</v>
      </c>
      <c r="B1418" s="26"/>
      <c r="C1418" s="1"/>
      <c r="D1418" s="1"/>
      <c r="E1418" s="14"/>
      <c r="F1418" s="15"/>
      <c r="G1418" s="16"/>
      <c r="H1418" s="11"/>
      <c r="I1418" s="7"/>
      <c r="J1418" s="7" t="str">
        <f>IFERROR(LET(_xlpm.v,
VLOOKUP($I1418,'用語辞書'!$A:$B,COLUMN('用語辞書'!B$1),FALSE),
IF(_xlpm.v=0,"",_xlpm.v)
),"")</f>
        <v/>
      </c>
      <c r="K1418" s="17"/>
      <c r="L1418" s="17" t="str">
        <f>IF(OR(COUNTIF('クラス'!$A$1:$A$1267,$B1418)&gt;0,$B1418="",$M1418=""),"",True)</f>
        <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5.0</v>
      </c>
      <c r="B1419" s="26" t="s">
        <v>1713</v>
      </c>
      <c r="C1419" s="1"/>
      <c r="D1419" s="1"/>
      <c r="E1419" s="14" t="s">
        <v>55</v>
      </c>
      <c r="F1419" s="15"/>
      <c r="G1419" s="16"/>
      <c r="H1419" s="11" t="s">
        <v>1714</v>
      </c>
      <c r="I1419" s="7"/>
      <c r="J1419" s="7" t="str">
        <f>IFERROR(LET(_xlpm.v,
VLOOKUP($I1419,'用語辞書'!$A:$B,COLUMN('用語辞書'!B$1),FALSE),
IF(_xlpm.v=0,"",_xlpm.v)
),"")</f>
        <v/>
      </c>
      <c r="K1419" s="17"/>
      <c r="L1419" s="17" t="b">
        <f>IF(OR(COUNTIF('クラス'!$A$1:$A$1267,$B1419)&gt;0,$B1419="",$M1419=""),"",True)</f>
        <v>1</v>
      </c>
      <c r="M1419" s="1" t="str">
        <f t="shared" si="25"/>
        <v>存在しない</v>
      </c>
      <c r="N1419" s="1" t="s">
        <v>29</v>
      </c>
      <c r="O1419" s="1"/>
      <c r="P1419" s="11"/>
      <c r="Q1419" s="11"/>
      <c r="R1419" s="11"/>
      <c r="S1419" s="11"/>
      <c r="T1419" s="1"/>
      <c r="U1419" s="1"/>
      <c r="V1419" s="1"/>
      <c r="W1419" s="1"/>
      <c r="X1419" s="1"/>
      <c r="Y1419" s="1"/>
      <c r="Z1419" s="1"/>
    </row>
    <row r="1420" ht="18.0" hidden="1" customHeight="1" outlineLevel="2">
      <c r="A1420" s="1">
        <v>6.0</v>
      </c>
      <c r="B1420" s="1" t="s">
        <v>45</v>
      </c>
      <c r="C1420" s="1"/>
      <c r="D1420" s="1"/>
      <c r="E1420" s="14"/>
      <c r="F1420" s="15"/>
      <c r="G1420" s="16"/>
      <c r="H1420" s="11"/>
      <c r="I1420" s="7"/>
      <c r="J1420" s="7" t="str">
        <f>IFERROR(LET(_xlpm.v,
VLOOKUP($I1420,'用語辞書'!$A:$B,COLUMN('用語辞書'!B$1),FALSE),
IF(_xlpm.v=0,"",_xlpm.v)
),"")</f>
        <v/>
      </c>
      <c r="K1420" s="17"/>
      <c r="L1420" s="17" t="str">
        <f>IF(OR(COUNTIF('クラス'!$A$1:$A$1267,$B1420)&gt;0,$B1420="",$M1420=""),"",True)</f>
        <v/>
      </c>
      <c r="M1420" s="1" t="str">
        <f t="shared" si="25"/>
        <v/>
      </c>
      <c r="N1420" s="1" t="s">
        <v>29</v>
      </c>
      <c r="O1420" s="1"/>
      <c r="P1420" s="11"/>
      <c r="Q1420" s="11"/>
      <c r="R1420" s="11"/>
      <c r="S1420" s="11"/>
      <c r="T1420" s="1"/>
      <c r="U1420" s="1"/>
      <c r="V1420" s="1"/>
      <c r="W1420" s="1"/>
      <c r="X1420" s="1"/>
      <c r="Y1420" s="1"/>
      <c r="Z1420" s="1"/>
    </row>
    <row r="1421" ht="18.0" hidden="1" customHeight="1" outlineLevel="2">
      <c r="A1421" s="1">
        <v>7.0</v>
      </c>
      <c r="B1421" s="26" t="s">
        <v>1715</v>
      </c>
      <c r="C1421" s="1"/>
      <c r="D1421" s="1"/>
      <c r="E1421" s="14" t="s">
        <v>55</v>
      </c>
      <c r="F1421" s="15"/>
      <c r="G1421" s="16"/>
      <c r="H1421" s="11" t="s">
        <v>1716</v>
      </c>
      <c r="I1421" s="7"/>
      <c r="J1421" s="7" t="str">
        <f>IFERROR(LET(_xlpm.v,
VLOOKUP($I1421,'用語辞書'!$A:$B,COLUMN('用語辞書'!B$1),FALSE),
IF(_xlpm.v=0,"",_xlpm.v)
),"")</f>
        <v/>
      </c>
      <c r="K1421" s="17"/>
      <c r="L1421" s="17" t="b">
        <f>IF(OR(COUNTIF('クラス'!$A$1:$A$1267,$B1421)&gt;0,$B1421="",$M1421=""),"",True)</f>
        <v>1</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8.0</v>
      </c>
      <c r="B1422" s="1"/>
      <c r="C1422" s="1"/>
      <c r="D1422" s="1"/>
      <c r="E1422" s="14"/>
      <c r="F1422" s="15"/>
      <c r="G1422" s="16"/>
      <c r="H1422" s="11"/>
      <c r="I1422" s="7"/>
      <c r="J1422" s="7" t="str">
        <f>IFERROR(LET(_xlpm.v,
VLOOKUP($I1422,'用語辞書'!$A:$B,COLUMN('用語辞書'!B$1),FALSE),
IF(_xlpm.v=0,"",_xlpm.v)
),"")</f>
        <v/>
      </c>
      <c r="K1422" s="17"/>
      <c r="L1422" s="17" t="str">
        <f>IF(OR(COUNTIF('クラス'!$A$1:$A$1267,$B1422)&gt;0,$B1422="",$M1422=""),"",True)</f>
        <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9.0</v>
      </c>
      <c r="B1423" s="1" t="s">
        <v>1717</v>
      </c>
      <c r="C1423" s="1"/>
      <c r="D1423" s="1"/>
      <c r="E1423" s="14" t="s">
        <v>55</v>
      </c>
      <c r="F1423" s="15"/>
      <c r="G1423" s="16"/>
      <c r="H1423" s="11" t="s">
        <v>1718</v>
      </c>
      <c r="I1423" s="7"/>
      <c r="J1423" s="7" t="str">
        <f>IFERROR(LET(_xlpm.v,
VLOOKUP($I1423,'用語辞書'!$A:$B,COLUMN('用語辞書'!B$1),FALSE),
IF(_xlpm.v=0,"",_xlpm.v)
),"")</f>
        <v/>
      </c>
      <c r="K1423" s="17"/>
      <c r="L1423" s="17" t="b">
        <f>IF(OR(COUNTIF('クラス'!$A$1:$A$1267,$B1423)&gt;0,$B1423="",$M1423=""),"",True)</f>
        <v>1</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2">
      <c r="A1424" s="1">
        <v>10.0</v>
      </c>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ollapsed="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1"/>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1">
      <c r="A1427" s="1"/>
      <c r="B1427" s="26" t="s">
        <v>1719</v>
      </c>
      <c r="C1427" s="1"/>
      <c r="D1427" s="1"/>
      <c r="E1427" s="14"/>
      <c r="F1427" s="15"/>
      <c r="G1427" s="16"/>
      <c r="H1427" s="11"/>
      <c r="I1427" s="7"/>
      <c r="J1427" s="7" t="str">
        <f>IFERROR(LET(_xlpm.v,
VLOOKUP($I1427,'用語辞書'!$A:$B,COLUMN('用語辞書'!B$1),FALSE),
IF(_xlpm.v=0,"",_xlpm.v)
),"")</f>
        <v/>
      </c>
      <c r="K1427" s="17"/>
      <c r="L1427" s="17" t="str">
        <f>IF(OR(COUNTIF('クラス'!$A$1:$A$1267,$B1427)&gt;0,$B1427="",$M1427=""),"",True)</f>
        <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1.0</v>
      </c>
      <c r="B1428" s="26" t="s">
        <v>1720</v>
      </c>
      <c r="C1428" s="1"/>
      <c r="D1428" s="1"/>
      <c r="E1428" s="29" t="s">
        <v>33</v>
      </c>
      <c r="F1428" s="15"/>
      <c r="G1428" s="16"/>
      <c r="H1428" s="22" t="s">
        <v>1721</v>
      </c>
      <c r="I1428" s="7"/>
      <c r="J1428" s="7" t="str">
        <f>IFERROR(LET(_xlpm.v,
VLOOKUP($I1428,'用語辞書'!$A:$B,COLUMN('用語辞書'!B$1),FALSE),
IF(_xlpm.v=0,"",_xlpm.v)
),"")</f>
        <v/>
      </c>
      <c r="K1428" s="17"/>
      <c r="L1428" s="17" t="b">
        <f>IF(OR(COUNTIF('クラス'!$A$1:$A$1267,$B1428)&gt;0,$B1428="",$M1428=""),"",True)</f>
        <v>1</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2.0</v>
      </c>
      <c r="B1429" s="1"/>
      <c r="C1429" s="1"/>
      <c r="D1429" s="1"/>
      <c r="E1429" s="14"/>
      <c r="F1429" s="15"/>
      <c r="G1429" s="16"/>
      <c r="H1429" s="11"/>
      <c r="I1429" s="7"/>
      <c r="J1429" s="7" t="str">
        <f>IFERROR(LET(_xlpm.v,
VLOOKUP($I1429,'用語辞書'!$A:$B,COLUMN('用語辞書'!B$1),FALSE),
IF(_xlpm.v=0,"",_xlpm.v)
),"")</f>
        <v/>
      </c>
      <c r="K1429" s="17"/>
      <c r="L1429" s="17" t="str">
        <f>IF(OR(COUNTIF('クラス'!$A$1:$A$1267,$B1429)&gt;0,$B1429="",$M1429=""),"",True)</f>
        <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3.0</v>
      </c>
      <c r="B1430" s="26" t="s">
        <v>1722</v>
      </c>
      <c r="C1430" s="1"/>
      <c r="D1430" s="1"/>
      <c r="E1430" s="29" t="s">
        <v>33</v>
      </c>
      <c r="F1430" s="15"/>
      <c r="G1430" s="16"/>
      <c r="H1430" s="22" t="s">
        <v>1723</v>
      </c>
      <c r="I1430" s="7"/>
      <c r="J1430" s="7" t="str">
        <f>IFERROR(LET(_xlpm.v,
VLOOKUP($I1430,'用語辞書'!$A:$B,COLUMN('用語辞書'!B$1),FALSE),
IF(_xlpm.v=0,"",_xlpm.v)
),"")</f>
        <v/>
      </c>
      <c r="K1430" s="17"/>
      <c r="L1430" s="17" t="b">
        <f>IF(OR(COUNTIF('クラス'!$A$1:$A$1267,$B1430)&gt;0,$B1430="",$M1430=""),"",True)</f>
        <v>1</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4.0</v>
      </c>
      <c r="B1431" s="26"/>
      <c r="C1431" s="1"/>
      <c r="D1431" s="1"/>
      <c r="E1431" s="29"/>
      <c r="F1431" s="15"/>
      <c r="G1431" s="30"/>
      <c r="H1431" s="22"/>
      <c r="I1431" s="7"/>
      <c r="J1431" s="7" t="str">
        <f>IFERROR(LET(_xlpm.v,
VLOOKUP($I1431,'用語辞書'!$A:$B,COLUMN('用語辞書'!B$1),FALSE),
IF(_xlpm.v=0,"",_xlpm.v)
),"")</f>
        <v/>
      </c>
      <c r="K1431" s="17"/>
      <c r="L1431" s="17" t="str">
        <f>IF(OR(COUNTIF('クラス'!$A$1:$A$1267,$B1431)&gt;0,$B1431="",$M1431=""),"",True)</f>
        <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5.0</v>
      </c>
      <c r="B1432" s="26" t="s">
        <v>1724</v>
      </c>
      <c r="C1432" s="1"/>
      <c r="D1432" s="1"/>
      <c r="E1432" s="29" t="s">
        <v>55</v>
      </c>
      <c r="F1432" s="15"/>
      <c r="G1432" s="16"/>
      <c r="H1432" s="22" t="s">
        <v>1725</v>
      </c>
      <c r="I1432" s="7"/>
      <c r="J1432" s="7" t="str">
        <f>IFERROR(LET(_xlpm.v,
VLOOKUP($I1432,'用語辞書'!$A:$B,COLUMN('用語辞書'!B$1),FALSE),
IF(_xlpm.v=0,"",_xlpm.v)
),"")</f>
        <v/>
      </c>
      <c r="K1432" s="17"/>
      <c r="L1432" s="17" t="b">
        <f>IF(OR(COUNTIF('クラス'!$A$1:$A$1267,$B1432)&gt;0,$B1432="",$M1432=""),"",True)</f>
        <v>1</v>
      </c>
      <c r="M1432" s="1" t="str">
        <f t="shared" si="25"/>
        <v>存在しない</v>
      </c>
      <c r="N1432" s="1" t="s">
        <v>29</v>
      </c>
      <c r="O1432" s="1"/>
      <c r="P1432" s="11"/>
      <c r="Q1432" s="11"/>
      <c r="R1432" s="11"/>
      <c r="S1432" s="11"/>
      <c r="T1432" s="1"/>
      <c r="U1432" s="1"/>
      <c r="V1432" s="1"/>
      <c r="W1432" s="1"/>
      <c r="X1432" s="1"/>
      <c r="Y1432" s="1"/>
      <c r="Z1432" s="1"/>
    </row>
    <row r="1433" ht="18.0" hidden="1" customHeight="1" outlineLevel="2">
      <c r="A1433" s="26">
        <v>6.0</v>
      </c>
      <c r="B1433" s="26" t="s">
        <v>39</v>
      </c>
      <c r="C1433" s="1"/>
      <c r="D1433" s="1"/>
      <c r="E1433" s="14"/>
      <c r="F1433" s="15"/>
      <c r="G1433" s="16"/>
      <c r="H1433" s="11"/>
      <c r="I1433" s="7"/>
      <c r="J1433" s="7" t="str">
        <f>IFERROR(LET(_xlpm.v,
VLOOKUP($I1433,'用語辞書'!$A:$B,COLUMN('用語辞書'!B$1),FALSE),
IF(_xlpm.v=0,"",_xlpm.v)
),"")</f>
        <v/>
      </c>
      <c r="K1433" s="17"/>
      <c r="L1433" s="17" t="str">
        <f>IF(OR(COUNTIF('クラス'!$A$1:$A$1267,$B1433)&gt;0,$B1433="",$M1433=""),"",True)</f>
        <v/>
      </c>
      <c r="M1433" s="1" t="str">
        <f t="shared" si="25"/>
        <v/>
      </c>
      <c r="N1433" s="1" t="s">
        <v>29</v>
      </c>
      <c r="O1433" s="1"/>
      <c r="P1433" s="11"/>
      <c r="Q1433" s="11"/>
      <c r="R1433" s="11"/>
      <c r="S1433" s="11"/>
      <c r="T1433" s="1"/>
      <c r="U1433" s="1"/>
      <c r="V1433" s="1"/>
      <c r="W1433" s="1"/>
      <c r="X1433" s="1"/>
      <c r="Y1433" s="1"/>
      <c r="Z1433" s="1"/>
    </row>
    <row r="1434" ht="18.0" hidden="1" customHeight="1" outlineLevel="2">
      <c r="A1434" s="26">
        <v>7.0</v>
      </c>
      <c r="B1434" s="26" t="s">
        <v>1726</v>
      </c>
      <c r="C1434" s="1"/>
      <c r="D1434" s="1"/>
      <c r="E1434" s="29" t="s">
        <v>55</v>
      </c>
      <c r="F1434" s="15"/>
      <c r="G1434" s="16"/>
      <c r="H1434" s="22" t="s">
        <v>1727</v>
      </c>
      <c r="I1434" s="7"/>
      <c r="J1434" s="7" t="str">
        <f>IFERROR(LET(_xlpm.v,
VLOOKUP($I1434,'用語辞書'!$A:$B,COLUMN('用語辞書'!B$1),FALSE),
IF(_xlpm.v=0,"",_xlpm.v)
),"")</f>
        <v/>
      </c>
      <c r="K1434" s="17"/>
      <c r="L1434" s="17" t="b">
        <f>IF(OR(COUNTIF('クラス'!$A$1:$A$1267,$B1434)&gt;0,$B1434="",$M1434=""),"",True)</f>
        <v>1</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8.0</v>
      </c>
      <c r="B1435" s="1"/>
      <c r="C1435" s="1"/>
      <c r="D1435" s="1"/>
      <c r="E1435" s="14"/>
      <c r="F1435" s="15"/>
      <c r="G1435" s="16"/>
      <c r="H1435" s="11"/>
      <c r="I1435" s="7"/>
      <c r="J1435" s="7" t="str">
        <f>IFERROR(LET(_xlpm.v,
VLOOKUP($I1435,'用語辞書'!$A:$B,COLUMN('用語辞書'!B$1),FALSE),
IF(_xlpm.v=0,"",_xlpm.v)
),"")</f>
        <v/>
      </c>
      <c r="K1435" s="17"/>
      <c r="L1435" s="17" t="str">
        <f>IF(OR(COUNTIF('クラス'!$A$1:$A$1267,$B1435)&gt;0,$B1435="",$M1435=""),"",True)</f>
        <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9.0</v>
      </c>
      <c r="B1436" s="26" t="s">
        <v>1728</v>
      </c>
      <c r="C1436" s="1"/>
      <c r="D1436" s="1"/>
      <c r="E1436" s="29" t="s">
        <v>55</v>
      </c>
      <c r="F1436" s="15"/>
      <c r="G1436" s="16"/>
      <c r="H1436" s="22" t="s">
        <v>1729</v>
      </c>
      <c r="I1436" s="7"/>
      <c r="J1436" s="7" t="str">
        <f>IFERROR(LET(_xlpm.v,
VLOOKUP($I1436,'用語辞書'!$A:$B,COLUMN('用語辞書'!B$1),FALSE),
IF(_xlpm.v=0,"",_xlpm.v)
),"")</f>
        <v/>
      </c>
      <c r="K1436" s="17"/>
      <c r="L1436" s="17" t="b">
        <f>IF(OR(COUNTIF('クラス'!$A$1:$A$1267,$B1436)&gt;0,$B1436="",$M1436=""),"",True)</f>
        <v>1</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26">
        <v>10.0</v>
      </c>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2">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hidden="1" customHeight="1" outlineLevel="1" collapsed="1">
      <c r="A1439" s="1"/>
      <c r="B1439" s="1"/>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1">
      <c r="A1440" s="1"/>
      <c r="B1440" s="26" t="s">
        <v>1730</v>
      </c>
      <c r="C1440" s="1"/>
      <c r="D1440" s="1"/>
      <c r="E1440" s="14"/>
      <c r="F1440" s="15"/>
      <c r="G1440" s="16"/>
      <c r="H1440" s="11"/>
      <c r="I1440" s="7"/>
      <c r="J1440" s="7" t="str">
        <f>IFERROR(LET(_xlpm.v,
VLOOKUP($I1440,'用語辞書'!$A:$B,COLUMN('用語辞書'!B$1),FALSE),
IF(_xlpm.v=0,"",_xlpm.v)
),"")</f>
        <v/>
      </c>
      <c r="K1440" s="17"/>
      <c r="L1440" s="17" t="str">
        <f>IF(OR(COUNTIF('クラス'!$A$1:$A$1267,$B1440)&gt;0,$B1440="",$M1440=""),"",True)</f>
        <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1731</v>
      </c>
      <c r="B1441" s="26" t="s">
        <v>1732</v>
      </c>
      <c r="C1441" s="1"/>
      <c r="D1441" s="1"/>
      <c r="E1441" s="29" t="s">
        <v>33</v>
      </c>
      <c r="F1441" s="15"/>
      <c r="G1441" s="30">
        <v>40.0</v>
      </c>
      <c r="H1441" s="22" t="s">
        <v>1733</v>
      </c>
      <c r="I1441" s="7"/>
      <c r="J1441" s="32" t="s">
        <v>1734</v>
      </c>
      <c r="K1441" s="17"/>
      <c r="L1441" s="17" t="b">
        <f>IF(OR(COUNTIF('クラス'!$A$1:$A$1267,$B1441)&gt;0,$B1441="",$M1441=""),"",True)</f>
        <v>1</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1735</v>
      </c>
      <c r="B1442" s="1"/>
      <c r="C1442" s="1"/>
      <c r="D1442" s="1"/>
      <c r="E1442" s="14"/>
      <c r="F1442" s="15"/>
      <c r="G1442" s="16"/>
      <c r="H1442" s="11"/>
      <c r="I1442" s="7"/>
      <c r="J1442" s="7" t="str">
        <f>IFERROR(LET(_xlpm.v,
VLOOKUP($I1442,'用語辞書'!$A:$B,COLUMN('用語辞書'!B$1),FALSE),
IF(_xlpm.v=0,"",_xlpm.v)
),"")</f>
        <v/>
      </c>
      <c r="K1442" s="17"/>
      <c r="L1442" s="17" t="str">
        <f>IF(OR(COUNTIF('クラス'!$A$1:$A$1267,$B1442)&gt;0,$B1442="",$M1442=""),"",True)</f>
        <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1736</v>
      </c>
      <c r="B1443" s="26" t="s">
        <v>1737</v>
      </c>
      <c r="C1443" s="1"/>
      <c r="D1443" s="1"/>
      <c r="E1443" s="29" t="s">
        <v>55</v>
      </c>
      <c r="F1443" s="15"/>
      <c r="G1443" s="16"/>
      <c r="H1443" s="22" t="s">
        <v>1738</v>
      </c>
      <c r="I1443" s="7"/>
      <c r="J1443" s="32" t="s">
        <v>1739</v>
      </c>
      <c r="K1443" s="17"/>
      <c r="L1443" s="17" t="b">
        <f>IF(OR(COUNTIF('クラス'!$A$1:$A$1267,$B1443)&gt;0,$B1443="",$M1443=""),"",True)</f>
        <v>1</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1740</v>
      </c>
      <c r="B1444" s="26"/>
      <c r="C1444" s="1"/>
      <c r="D1444" s="1"/>
      <c r="E1444" s="29"/>
      <c r="F1444" s="15"/>
      <c r="G1444" s="30"/>
      <c r="H1444" s="22"/>
      <c r="I1444" s="7"/>
      <c r="J1444" s="7" t="str">
        <f>IFERROR(LET(_xlpm.v,
VLOOKUP($I1444,'用語辞書'!$A:$B,COLUMN('用語辞書'!B$1),FALSE),
IF(_xlpm.v=0,"",_xlpm.v)
),"")</f>
        <v/>
      </c>
      <c r="K1444" s="17"/>
      <c r="L1444" s="17" t="str">
        <f>IF(OR(COUNTIF('クラス'!$A$1:$A$1267,$B1444)&gt;0,$B1444="",$M1444=""),"",True)</f>
        <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1741</v>
      </c>
      <c r="B1445" s="26" t="s">
        <v>1742</v>
      </c>
      <c r="C1445" s="1"/>
      <c r="D1445" s="1"/>
      <c r="E1445" s="29" t="s">
        <v>33</v>
      </c>
      <c r="F1445" s="15"/>
      <c r="G1445" s="30">
        <v>60.0</v>
      </c>
      <c r="H1445" s="22" t="s">
        <v>1743</v>
      </c>
      <c r="I1445" s="7"/>
      <c r="J1445" s="32" t="s">
        <v>1744</v>
      </c>
      <c r="K1445" s="17"/>
      <c r="L1445" s="17" t="b">
        <f>IF(OR(COUNTIF('クラス'!$A$1:$A$1267,$B1445)&gt;0,$B1445="",$M1445=""),"",True)</f>
        <v>1</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1745</v>
      </c>
      <c r="B1446" s="26"/>
      <c r="C1446" s="1"/>
      <c r="D1446" s="1"/>
      <c r="E1446" s="14"/>
      <c r="F1446" s="15"/>
      <c r="G1446" s="16"/>
      <c r="H1446" s="11"/>
      <c r="I1446" s="7"/>
      <c r="J1446" s="7" t="str">
        <f>IFERROR(LET(_xlpm.v,
VLOOKUP($I1446,'用語辞書'!$A:$B,COLUMN('用語辞書'!B$1),FALSE),
IF(_xlpm.v=0,"",_xlpm.v)
),"")</f>
        <v/>
      </c>
      <c r="K1446" s="17"/>
      <c r="L1446" s="17" t="str">
        <f>IF(OR(COUNTIF('クラス'!$A$1:$A$1267,$B1446)&gt;0,$B1446="",$M1446=""),"",True)</f>
        <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1746</v>
      </c>
      <c r="B1447" s="26" t="s">
        <v>1747</v>
      </c>
      <c r="C1447" s="1"/>
      <c r="D1447" s="1"/>
      <c r="E1447" s="29" t="s">
        <v>55</v>
      </c>
      <c r="F1447" s="15"/>
      <c r="G1447" s="16"/>
      <c r="H1447" s="22" t="s">
        <v>1748</v>
      </c>
      <c r="I1447" s="7"/>
      <c r="J1447" s="32" t="s">
        <v>1749</v>
      </c>
      <c r="K1447" s="17"/>
      <c r="L1447" s="17" t="b">
        <f>IF(OR(COUNTIF('クラス'!$A$1:$A$1267,$B1447)&gt;0,$B1447="",$M1447=""),"",True)</f>
        <v>1</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1750</v>
      </c>
      <c r="B1448" s="1"/>
      <c r="C1448" s="1"/>
      <c r="D1448" s="1"/>
      <c r="E1448" s="14"/>
      <c r="F1448" s="15"/>
      <c r="G1448" s="16"/>
      <c r="H1448" s="11"/>
      <c r="I1448" s="7"/>
      <c r="J1448" s="7" t="str">
        <f>IFERROR(LET(_xlpm.v,
VLOOKUP($I1448,'用語辞書'!$A:$B,COLUMN('用語辞書'!B$1),FALSE),
IF(_xlpm.v=0,"",_xlpm.v)
),"")</f>
        <v/>
      </c>
      <c r="K1448" s="17"/>
      <c r="L1448" s="17" t="str">
        <f>IF(OR(COUNTIF('クラス'!$A$1:$A$1267,$B1448)&gt;0,$B1448="",$M1448=""),"",True)</f>
        <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1751</v>
      </c>
      <c r="B1449" s="26" t="s">
        <v>1752</v>
      </c>
      <c r="C1449" s="1"/>
      <c r="D1449" s="1"/>
      <c r="E1449" s="29" t="s">
        <v>33</v>
      </c>
      <c r="F1449" s="15"/>
      <c r="G1449" s="30">
        <v>60.0</v>
      </c>
      <c r="H1449" s="22" t="s">
        <v>1753</v>
      </c>
      <c r="I1449" s="7"/>
      <c r="J1449" s="32" t="s">
        <v>1754</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2">
      <c r="A1450" s="27" t="s">
        <v>1755</v>
      </c>
      <c r="B1450" s="26" t="s">
        <v>1756</v>
      </c>
      <c r="C1450" s="1"/>
      <c r="D1450" s="1"/>
      <c r="E1450" s="29" t="s">
        <v>55</v>
      </c>
      <c r="F1450" s="15"/>
      <c r="G1450" s="30"/>
      <c r="H1450" s="22" t="s">
        <v>1757</v>
      </c>
      <c r="I1450" s="7"/>
      <c r="J1450" s="32" t="s">
        <v>1758</v>
      </c>
      <c r="K1450" s="17"/>
      <c r="L1450" s="17" t="b">
        <f>IF(OR(COUNTIF('クラス'!$A$1:$A$1267,$B1450)&gt;0,$B1450="",$M1450=""),"",True)</f>
        <v>1</v>
      </c>
      <c r="M1450" s="1" t="str">
        <f t="shared" si="25"/>
        <v>存在しない</v>
      </c>
      <c r="N1450" s="1" t="s">
        <v>29</v>
      </c>
      <c r="O1450" s="1"/>
      <c r="P1450" s="11"/>
      <c r="Q1450" s="11"/>
      <c r="R1450" s="11"/>
      <c r="S1450" s="11"/>
      <c r="T1450" s="1"/>
      <c r="U1450" s="1"/>
      <c r="V1450" s="1"/>
      <c r="W1450" s="1"/>
      <c r="X1450" s="1"/>
      <c r="Y1450" s="1"/>
      <c r="Z1450" s="1"/>
    </row>
    <row r="1451" ht="18.0" customHeight="1" outlineLevel="1" collapsed="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outlineLevel="1">
      <c r="A1452" s="1"/>
      <c r="B1452" s="1"/>
      <c r="C1452" s="1"/>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 t="shared" si="25"/>
        <v>存在しない</v>
      </c>
      <c r="N1452" s="1" t="s">
        <v>29</v>
      </c>
      <c r="O1452" s="1"/>
      <c r="P1452" s="11"/>
      <c r="Q1452" s="11"/>
      <c r="R1452" s="11"/>
      <c r="S1452" s="11"/>
      <c r="T1452" s="1"/>
      <c r="U1452" s="1"/>
      <c r="V1452" s="1"/>
      <c r="W1452" s="1"/>
      <c r="X1452" s="1"/>
      <c r="Y1452" s="1"/>
      <c r="Z1452" s="1"/>
    </row>
    <row r="1453" ht="18.0" customHeight="1" collapsed="1">
      <c r="A1453" s="1"/>
      <c r="B1453" s="1"/>
      <c r="C1453" s="26" t="s">
        <v>1759</v>
      </c>
      <c r="D1453" s="1"/>
      <c r="E1453" s="14"/>
      <c r="F1453" s="15"/>
      <c r="G1453" s="16"/>
      <c r="H1453" s="11"/>
      <c r="I1453" s="7"/>
      <c r="J1453" s="7" t="str">
        <f>IFERROR(LET(_xlpm.v,
VLOOKUP($I1453,'用語辞書'!$A:$B,COLUMN('用語辞書'!B$1),FALSE),
IF(_xlpm.v=0,"",_xlpm.v)
),"")</f>
        <v/>
      </c>
      <c r="K1453" s="17"/>
      <c r="L1453" s="17" t="str">
        <f>IF(OR(COUNTIF('クラス'!$A$1:$A$1267,$B1453)&gt;0,$B1453="",$M1453=""),"",True)</f>
        <v/>
      </c>
      <c r="M1453" s="1" t="str">
        <f>IF(COUNTIF($B$1:$C1151, $B1453), "", "存在しない")</f>
        <v>存在しない</v>
      </c>
      <c r="N1453" s="1" t="s">
        <v>29</v>
      </c>
      <c r="O1453" s="1"/>
      <c r="P1453" s="11"/>
      <c r="Q1453" s="11"/>
      <c r="R1453" s="11"/>
      <c r="S1453" s="11"/>
      <c r="T1453" s="1"/>
      <c r="U1453" s="1"/>
      <c r="V1453" s="1"/>
      <c r="W1453" s="1"/>
      <c r="X1453" s="1"/>
      <c r="Y1453" s="1"/>
      <c r="Z1453" s="1"/>
    </row>
    <row r="1454" ht="18.0" customHeight="1" outlineLevel="1">
      <c r="A1454" s="1"/>
      <c r="B1454" s="37" t="s">
        <v>1760</v>
      </c>
      <c r="C1454" s="1"/>
      <c r="D1454" s="38" t="s">
        <v>284</v>
      </c>
      <c r="E1454" s="14" t="s">
        <v>282</v>
      </c>
      <c r="F1454" s="15"/>
      <c r="G1454" s="16"/>
      <c r="H1454" s="11"/>
      <c r="I1454" s="7"/>
      <c r="J1454" s="7" t="str">
        <f>IFERROR(LET(_xlpm.v,
VLOOKUP($I1454,'用語辞書'!$A:$B,COLUMN('用語辞書'!B$1),FALSE),
IF(_xlpm.v=0,"",_xlpm.v)
),"")</f>
        <v/>
      </c>
      <c r="K1454" s="17"/>
      <c r="L1454" s="17" t="str">
        <f>IF(OR(COUNTIF('クラス'!$A$1:$A$1267,$B1454)&gt;0,$B1454="",$M1454=""),"",True)</f>
        <v/>
      </c>
      <c r="M1454" s="1" t="str">
        <f t="shared" ref="M1454:M1531" si="26">IF(COUNTIF($B$1:$C1453, $B1454), "", "存在しない")</f>
        <v>存在しない</v>
      </c>
      <c r="N1454" s="1" t="s">
        <v>29</v>
      </c>
      <c r="O1454" s="1"/>
      <c r="P1454" s="11"/>
      <c r="Q1454" s="11"/>
      <c r="R1454" s="11"/>
      <c r="S1454" s="11"/>
      <c r="T1454" s="1"/>
      <c r="U1454" s="1"/>
      <c r="V1454" s="1"/>
      <c r="W1454" s="1"/>
      <c r="X1454" s="1"/>
      <c r="Y1454" s="1"/>
      <c r="Z1454" s="1"/>
    </row>
    <row r="1455" ht="18.0" hidden="1" customHeight="1" outlineLevel="2">
      <c r="A1455" s="1">
        <v>1.0</v>
      </c>
      <c r="B1455" s="1" t="str">
        <f>D1454&amp;"の適用"</f>
        <v>炎の適用</v>
      </c>
      <c r="C1455" s="1"/>
      <c r="D1455" s="38"/>
      <c r="E1455" s="14" t="s">
        <v>55</v>
      </c>
      <c r="F1455" s="15"/>
      <c r="G1455" s="16"/>
      <c r="H1455" s="11" t="str">
        <f>D1454&amp;"耐性+30"</f>
        <v>炎耐性+30</v>
      </c>
      <c r="I1455" s="7"/>
      <c r="J1455" s="7" t="str">
        <f>IFERROR(LET(_xlpm.v,
VLOOKUP($I1455,'用語辞書'!$A:$B,COLUMN('用語辞書'!B$1),FALSE),
IF(_xlpm.v=0,"",_xlpm.v)
),"")</f>
        <v/>
      </c>
      <c r="K1455" s="17"/>
      <c r="L1455" s="17" t="b">
        <f>IF(OR(COUNTIF('クラス'!$A$1:$A$1267,$B1455)&gt;0,$B1455="",$M1455=""),"",True)</f>
        <v>1</v>
      </c>
      <c r="M1455" s="1" t="str">
        <f t="shared" si="26"/>
        <v>存在しない</v>
      </c>
      <c r="N1455" s="1" t="e">
        <v>#VALUE!</v>
      </c>
      <c r="O1455" s="1"/>
      <c r="P1455" s="11"/>
      <c r="Q1455" s="11"/>
      <c r="R1455" s="11"/>
      <c r="S1455" s="11"/>
      <c r="T1455" s="1"/>
      <c r="U1455" s="1"/>
      <c r="V1455" s="1"/>
      <c r="W1455" s="1"/>
      <c r="X1455" s="1"/>
      <c r="Y1455" s="1"/>
      <c r="Z1455" s="1"/>
    </row>
    <row r="1456" ht="18.0" hidden="1" customHeight="1" outlineLevel="2">
      <c r="A1456" s="1">
        <v>2.0</v>
      </c>
      <c r="B1456" s="26" t="s">
        <v>282</v>
      </c>
      <c r="C1456" s="1"/>
      <c r="D1456" s="38"/>
      <c r="E1456" s="14"/>
      <c r="F1456" s="15"/>
      <c r="G1456" s="16"/>
      <c r="H1456" s="11"/>
      <c r="I1456" s="7"/>
      <c r="J1456" s="7" t="str">
        <f>IFERROR(LET(_xlpm.v,
VLOOKUP($I1456,'用語辞書'!$A:$B,COLUMN('用語辞書'!B$1),FALSE),
IF(_xlpm.v=0,"",_xlpm.v)
),"")</f>
        <v/>
      </c>
      <c r="K1456" s="17"/>
      <c r="L1456" s="17" t="str">
        <f>IF(OR(COUNTIF('クラス'!$A$1:$A$1267,$B1456)&gt;0,$B1456="",$M1456=""),"",True)</f>
        <v/>
      </c>
      <c r="M1456" s="1" t="str">
        <f t="shared" si="26"/>
        <v/>
      </c>
      <c r="N1456" s="1" t="s">
        <v>29</v>
      </c>
      <c r="O1456" s="1"/>
      <c r="P1456" s="11"/>
      <c r="Q1456" s="11"/>
      <c r="R1456" s="11"/>
      <c r="S1456" s="11"/>
      <c r="T1456" s="1"/>
      <c r="U1456" s="1"/>
      <c r="V1456" s="1"/>
      <c r="W1456" s="1"/>
      <c r="X1456" s="1"/>
      <c r="Y1456" s="1"/>
      <c r="Z1456" s="1"/>
    </row>
    <row r="1457" ht="18.0" hidden="1" customHeight="1" outlineLevel="2">
      <c r="A1457" s="1">
        <v>3.0</v>
      </c>
      <c r="B1457" s="1" t="str">
        <f>D1454&amp;"の体"</f>
        <v>炎の体</v>
      </c>
      <c r="C1457" s="1"/>
      <c r="D1457" s="38"/>
      <c r="E1457" s="14" t="s">
        <v>33</v>
      </c>
      <c r="F1457" s="15">
        <v>5.0</v>
      </c>
      <c r="G1457" s="16">
        <v>20.0</v>
      </c>
      <c r="H1457" s="11" t="str">
        <f>"効果時間6t 攻撃手段:肉体 "&amp;D1454&amp;"+15 判定:攻撃"</f>
        <v>効果時間6t 攻撃手段:肉体 炎+15 判定:攻撃</v>
      </c>
      <c r="I1457" s="7"/>
      <c r="J1457" s="7" t="str">
        <f>IFERROR(LET(_xlpm.v,
VLOOKUP($I1457,'用語辞書'!$A:$B,COLUMN('用語辞書'!B$1),FALSE),
IF(_xlpm.v=0,"",_xlpm.v)
),"")</f>
        <v/>
      </c>
      <c r="K1457" s="17"/>
      <c r="L1457" s="17" t="b">
        <f>IF(OR(COUNTIF('クラス'!$A$1:$A$1267,$B1457)&gt;0,$B1457="",$M1457=""),"",True)</f>
        <v>1</v>
      </c>
      <c r="M1457" s="1" t="str">
        <f t="shared" si="26"/>
        <v>存在しない</v>
      </c>
      <c r="N1457" s="1" t="e">
        <v>#VALUE!</v>
      </c>
      <c r="O1457" s="1"/>
      <c r="P1457" s="11"/>
      <c r="Q1457" s="11"/>
      <c r="R1457" s="11"/>
      <c r="S1457" s="11"/>
      <c r="T1457" s="1"/>
      <c r="U1457" s="1"/>
      <c r="V1457" s="1"/>
      <c r="W1457" s="1"/>
      <c r="X1457" s="1"/>
      <c r="Y1457" s="1"/>
      <c r="Z1457" s="1"/>
    </row>
    <row r="1458" ht="18.0" hidden="1" customHeight="1" outlineLevel="2">
      <c r="A1458" s="1">
        <v>4.0</v>
      </c>
      <c r="B1458" s="1"/>
      <c r="C1458" s="1"/>
      <c r="D1458" s="38"/>
      <c r="E1458" s="14"/>
      <c r="F1458" s="15"/>
      <c r="G1458" s="16"/>
      <c r="H1458" s="11"/>
      <c r="I1458" s="7"/>
      <c r="J1458" s="7" t="str">
        <f>IFERROR(LET(_xlpm.v,
VLOOKUP($I1458,'用語辞書'!$A:$B,COLUMN('用語辞書'!B$1),FALSE),
IF(_xlpm.v=0,"",_xlpm.v)
),"")</f>
        <v/>
      </c>
      <c r="K1458" s="17"/>
      <c r="L1458" s="17" t="str">
        <f>IF(OR(COUNTIF('クラス'!$A$1:$A$1267,$B1458)&gt;0,$B1458="",$M1458=""),"",True)</f>
        <v/>
      </c>
      <c r="M1458" s="1" t="str">
        <f t="shared" si="26"/>
        <v>存在しない</v>
      </c>
      <c r="N1458" s="1" t="s">
        <v>29</v>
      </c>
      <c r="O1458" s="1"/>
      <c r="P1458" s="11"/>
      <c r="Q1458" s="11"/>
      <c r="R1458" s="11"/>
      <c r="S1458" s="11"/>
      <c r="T1458" s="1"/>
      <c r="U1458" s="1"/>
      <c r="V1458" s="1"/>
      <c r="W1458" s="1"/>
      <c r="X1458" s="1"/>
      <c r="Y1458" s="1"/>
      <c r="Z1458" s="1"/>
    </row>
    <row r="1459" ht="18.0" hidden="1" customHeight="1" outlineLevel="2">
      <c r="A1459" s="1">
        <v>5.0</v>
      </c>
      <c r="B1459" s="26" t="s">
        <v>1500</v>
      </c>
      <c r="C1459" s="1"/>
      <c r="D1459" s="38"/>
      <c r="E1459" s="29" t="s">
        <v>55</v>
      </c>
      <c r="F1459" s="15"/>
      <c r="G1459" s="16"/>
      <c r="H1459" s="22" t="s">
        <v>1761</v>
      </c>
      <c r="I1459" s="32"/>
      <c r="J1459" s="7" t="str">
        <f>IFERROR(LET(_xlpm.v,
VLOOKUP($I1459,'用語辞書'!$A:$B,COLUMN('用語辞書'!B$1),FALSE),
IF(_xlpm.v=0,"",_xlpm.v)
),"")</f>
        <v/>
      </c>
      <c r="K1459" s="17"/>
      <c r="L1459" s="17" t="str">
        <f>IF(OR(COUNTIF('クラス'!$A$1:$A$1267,$B1459)&gt;0,$B1459="",$M1459=""),"",True)</f>
        <v/>
      </c>
      <c r="M1459" s="1" t="str">
        <f t="shared" si="26"/>
        <v/>
      </c>
      <c r="N1459" s="1" t="s">
        <v>29</v>
      </c>
      <c r="O1459" s="1"/>
      <c r="P1459" s="11"/>
      <c r="Q1459" s="11"/>
      <c r="R1459" s="11"/>
      <c r="S1459" s="11"/>
      <c r="T1459" s="1"/>
      <c r="U1459" s="1"/>
      <c r="V1459" s="1"/>
      <c r="W1459" s="1"/>
      <c r="X1459" s="1"/>
      <c r="Y1459" s="1"/>
      <c r="Z1459" s="1"/>
    </row>
    <row r="1460" ht="18.0" hidden="1" customHeight="1" outlineLevel="2">
      <c r="A1460" s="1">
        <v>6.0</v>
      </c>
      <c r="B1460" s="1"/>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存在しない</v>
      </c>
      <c r="N1460" s="1" t="e">
        <v>#VALUE!</v>
      </c>
      <c r="O1460" s="1"/>
      <c r="P1460" s="11"/>
      <c r="Q1460" s="11"/>
      <c r="R1460" s="11"/>
      <c r="S1460" s="11"/>
      <c r="T1460" s="1"/>
      <c r="U1460" s="1"/>
      <c r="V1460" s="1"/>
      <c r="W1460" s="1"/>
      <c r="X1460" s="1"/>
      <c r="Y1460" s="1"/>
      <c r="Z1460" s="1"/>
    </row>
    <row r="1461" ht="18.0" hidden="1" customHeight="1" outlineLevel="2">
      <c r="A1461" s="1">
        <v>7.0</v>
      </c>
      <c r="B1461" s="26" t="s">
        <v>297</v>
      </c>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
      </c>
      <c r="N1461" s="1" t="s">
        <v>29</v>
      </c>
      <c r="O1461" s="1"/>
      <c r="P1461" s="11"/>
      <c r="Q1461" s="11"/>
      <c r="R1461" s="11"/>
      <c r="S1461" s="11"/>
      <c r="T1461" s="1"/>
      <c r="U1461" s="1"/>
      <c r="V1461" s="1"/>
      <c r="W1461" s="1"/>
      <c r="X1461" s="1"/>
      <c r="Y1461" s="1"/>
      <c r="Z1461" s="1"/>
    </row>
    <row r="1462" ht="18.0" hidden="1" customHeight="1" outlineLevel="2">
      <c r="A1462" s="1">
        <v>8.0</v>
      </c>
      <c r="B1462" s="1"/>
      <c r="C1462" s="1"/>
      <c r="D1462" s="38"/>
      <c r="E1462" s="14"/>
      <c r="F1462" s="15"/>
      <c r="G1462" s="16"/>
      <c r="H1462" s="11"/>
      <c r="I1462" s="7"/>
      <c r="J1462" s="7" t="str">
        <f>IFERROR(LET(_xlpm.v,
VLOOKUP($I1462,'用語辞書'!$A:$B,COLUMN('用語辞書'!B$1),FALSE),
IF(_xlpm.v=0,"",_xlpm.v)
),"")</f>
        <v/>
      </c>
      <c r="K1462" s="17"/>
      <c r="L1462" s="17" t="str">
        <f>IF(OR(COUNTIF('クラス'!$A$1:$A$1267,$B1462)&gt;0,$B1462="",$M1462=""),"",True)</f>
        <v/>
      </c>
      <c r="M1462" s="1" t="str">
        <f t="shared" si="26"/>
        <v>存在しない</v>
      </c>
      <c r="N1462" s="1" t="s">
        <v>29</v>
      </c>
      <c r="O1462" s="1"/>
      <c r="P1462" s="11"/>
      <c r="Q1462" s="11"/>
      <c r="R1462" s="11"/>
      <c r="S1462" s="11"/>
      <c r="T1462" s="1"/>
      <c r="U1462" s="1"/>
      <c r="V1462" s="1"/>
      <c r="W1462" s="1"/>
      <c r="X1462" s="1"/>
      <c r="Y1462" s="1"/>
      <c r="Z1462" s="1"/>
    </row>
    <row r="1463" ht="18.0" hidden="1" customHeight="1" outlineLevel="2">
      <c r="A1463" s="1">
        <v>9.0</v>
      </c>
      <c r="B1463" s="1" t="str">
        <f>D1454&amp;"強化"</f>
        <v>炎強化</v>
      </c>
      <c r="C1463" s="1"/>
      <c r="D1463" s="38"/>
      <c r="E1463" s="14" t="s">
        <v>55</v>
      </c>
      <c r="F1463" s="15"/>
      <c r="G1463" s="16"/>
      <c r="H1463" s="11" t="str">
        <f>"条件系統:"&amp;D1454&amp;" 全威力+10"</f>
        <v>条件系統:炎 全威力+10</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v>10.0</v>
      </c>
      <c r="B1464" s="1" t="str">
        <f>D1454&amp;"の唾"</f>
        <v>炎の唾</v>
      </c>
      <c r="C1464" s="1"/>
      <c r="D1464" s="38" t="str">
        <f>D1454</f>
        <v>炎</v>
      </c>
      <c r="E1464" s="14" t="s">
        <v>33</v>
      </c>
      <c r="F1464" s="15"/>
      <c r="G1464" s="30">
        <v>30.0</v>
      </c>
      <c r="H1464" s="22" t="s">
        <v>1762</v>
      </c>
      <c r="I1464" s="7"/>
      <c r="J1464" s="7" t="str">
        <f>IFERROR(LET(_xlpm.v,
VLOOKUP($I1464,'用語辞書'!$A:$B,COLUMN('用語辞書'!B$1),FALSE),
IF(_xlpm.v=0,"",_xlpm.v)
),"")</f>
        <v/>
      </c>
      <c r="K1464" s="17"/>
      <c r="L1464" s="17" t="b">
        <f>IF(OR(COUNTIF('クラス'!$A$1:$A$1267,$B1464)&gt;0,$B1464="",$M1464=""),"",True)</f>
        <v>1</v>
      </c>
      <c r="M1464" s="1" t="str">
        <f t="shared" si="26"/>
        <v>存在しない</v>
      </c>
      <c r="N1464" s="1" t="e">
        <v>#VALUE!</v>
      </c>
      <c r="O1464" s="1"/>
      <c r="P1464" s="11"/>
      <c r="Q1464" s="11"/>
      <c r="R1464" s="11"/>
      <c r="S1464" s="11"/>
      <c r="T1464" s="1"/>
      <c r="U1464" s="1"/>
      <c r="V1464" s="1"/>
      <c r="W1464" s="1"/>
      <c r="X1464" s="1"/>
      <c r="Y1464" s="1"/>
      <c r="Z1464" s="1"/>
    </row>
    <row r="1465" ht="18.0" hidden="1" customHeight="1" outlineLevel="2">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ollapsed="1">
      <c r="A1466" s="1"/>
      <c r="B1466" s="1"/>
      <c r="C1466" s="1"/>
      <c r="D1466" s="1"/>
      <c r="E1466" s="14"/>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customHeight="1" outlineLevel="1">
      <c r="A1467" s="1"/>
      <c r="B1467" s="37" t="s">
        <v>1763</v>
      </c>
      <c r="C1467" s="1"/>
      <c r="D1467" s="1" t="s">
        <v>370</v>
      </c>
      <c r="E1467" s="14" t="s">
        <v>1764</v>
      </c>
      <c r="F1467" s="15"/>
      <c r="G1467" s="16"/>
      <c r="H1467" s="11"/>
      <c r="I1467" s="7"/>
      <c r="J1467" s="7" t="str">
        <f>IFERROR(LET(_xlpm.v,
VLOOKUP($I1467,'用語辞書'!$A:$B,COLUMN('用語辞書'!B$1),FALSE),
IF(_xlpm.v=0,"",_xlpm.v)
),"")</f>
        <v/>
      </c>
      <c r="K1467" s="17"/>
      <c r="L1467" s="17" t="str">
        <f>IF(OR(COUNTIF('クラス'!$A$1:$A$1267,$B1467)&gt;0,$B1467="",$M1467=""),"",True)</f>
        <v/>
      </c>
      <c r="M1467" s="1" t="str">
        <f t="shared" si="26"/>
        <v>存在しない</v>
      </c>
      <c r="N1467" s="1" t="s">
        <v>29</v>
      </c>
      <c r="O1467" s="1"/>
      <c r="P1467" s="11"/>
      <c r="Q1467" s="11"/>
      <c r="R1467" s="11"/>
      <c r="S1467" s="11"/>
      <c r="T1467" s="1"/>
      <c r="U1467" s="1"/>
      <c r="V1467" s="1"/>
      <c r="W1467" s="1"/>
      <c r="X1467" s="1"/>
      <c r="Y1467" s="1"/>
      <c r="Z1467" s="1"/>
    </row>
    <row r="1468" ht="18.0" hidden="1" customHeight="1" outlineLevel="2">
      <c r="A1468" s="1">
        <v>1.0</v>
      </c>
      <c r="B1468" s="1" t="str">
        <f>D1467&amp;"の適用"</f>
        <v>氷の適用</v>
      </c>
      <c r="C1468" s="1"/>
      <c r="D1468" s="38"/>
      <c r="E1468" s="14" t="s">
        <v>55</v>
      </c>
      <c r="F1468" s="15"/>
      <c r="G1468" s="16"/>
      <c r="H1468" s="11" t="str">
        <f>D1467&amp;"耐性+30"</f>
        <v>氷耐性+30</v>
      </c>
      <c r="I1468" s="7"/>
      <c r="J1468" s="7" t="str">
        <f>IFERROR(LET(_xlpm.v,
VLOOKUP($I1468,'用語辞書'!$A:$B,COLUMN('用語辞書'!B$1),FALSE),
IF(_xlpm.v=0,"",_xlpm.v)
),"")</f>
        <v/>
      </c>
      <c r="K1468" s="17"/>
      <c r="L1468" s="17" t="b">
        <f>IF(OR(COUNTIF('クラス'!$A$1:$A$1267,$B1468)&gt;0,$B1468="",$M1468=""),"",True)</f>
        <v>1</v>
      </c>
      <c r="M1468" s="1" t="str">
        <f t="shared" si="26"/>
        <v>存在しない</v>
      </c>
      <c r="N1468" s="1" t="e">
        <v>#VALUE!</v>
      </c>
      <c r="O1468" s="1"/>
      <c r="P1468" s="11"/>
      <c r="Q1468" s="11"/>
      <c r="R1468" s="11"/>
      <c r="S1468" s="11"/>
      <c r="T1468" s="1"/>
      <c r="U1468" s="1"/>
      <c r="V1468" s="1"/>
      <c r="W1468" s="1"/>
      <c r="X1468" s="1"/>
      <c r="Y1468" s="1"/>
      <c r="Z1468" s="1"/>
    </row>
    <row r="1469" ht="18.0" hidden="1" customHeight="1" outlineLevel="2">
      <c r="A1469" s="1">
        <v>2.0</v>
      </c>
      <c r="B1469" s="26" t="s">
        <v>372</v>
      </c>
      <c r="C1469" s="1"/>
      <c r="D1469" s="38"/>
      <c r="E1469" s="14"/>
      <c r="F1469" s="15"/>
      <c r="G1469" s="16"/>
      <c r="H1469" s="11"/>
      <c r="I1469" s="7"/>
      <c r="J1469" s="7" t="str">
        <f>IFERROR(LET(_xlpm.v,
VLOOKUP($I1469,'用語辞書'!$A:$B,COLUMN('用語辞書'!B$1),FALSE),
IF(_xlpm.v=0,"",_xlpm.v)
),"")</f>
        <v/>
      </c>
      <c r="K1469" s="17"/>
      <c r="L1469" s="17" t="str">
        <f>IF(OR(COUNTIF('クラス'!$A$1:$A$1267,$B1469)&gt;0,$B1469="",$M1469=""),"",True)</f>
        <v/>
      </c>
      <c r="M1469" s="1" t="str">
        <f t="shared" si="26"/>
        <v/>
      </c>
      <c r="N1469" s="1" t="s">
        <v>29</v>
      </c>
      <c r="O1469" s="1"/>
      <c r="P1469" s="11"/>
      <c r="Q1469" s="11"/>
      <c r="R1469" s="11"/>
      <c r="S1469" s="11"/>
      <c r="T1469" s="1"/>
      <c r="U1469" s="1"/>
      <c r="V1469" s="1"/>
      <c r="W1469" s="1"/>
      <c r="X1469" s="1"/>
      <c r="Y1469" s="1"/>
      <c r="Z1469" s="1"/>
    </row>
    <row r="1470" ht="18.0" hidden="1" customHeight="1" outlineLevel="2">
      <c r="A1470" s="1">
        <v>3.0</v>
      </c>
      <c r="B1470" s="1" t="str">
        <f>D1467&amp;"の体"</f>
        <v>氷の体</v>
      </c>
      <c r="C1470" s="1"/>
      <c r="D1470" s="38"/>
      <c r="E1470" s="14" t="s">
        <v>33</v>
      </c>
      <c r="F1470" s="15">
        <v>5.0</v>
      </c>
      <c r="G1470" s="16">
        <v>20.0</v>
      </c>
      <c r="H1470" s="11" t="str">
        <f>"効果時間6t 攻撃手段:肉体 "&amp;D1467&amp;"+15 判定:攻撃"</f>
        <v>効果時間6t 攻撃手段:肉体 氷+15 判定:攻撃</v>
      </c>
      <c r="I1470" s="7"/>
      <c r="J1470" s="7" t="str">
        <f>IFERROR(LET(_xlpm.v,
VLOOKUP($I1470,'用語辞書'!$A:$B,COLUMN('用語辞書'!B$1),FALSE),
IF(_xlpm.v=0,"",_xlpm.v)
),"")</f>
        <v/>
      </c>
      <c r="K1470" s="17"/>
      <c r="L1470" s="17" t="b">
        <f>IF(OR(COUNTIF('クラス'!$A$1:$A$1267,$B1470)&gt;0,$B1470="",$M1470=""),"",True)</f>
        <v>1</v>
      </c>
      <c r="M1470" s="1" t="str">
        <f t="shared" si="26"/>
        <v>存在しない</v>
      </c>
      <c r="N1470" s="1" t="e">
        <v>#VALUE!</v>
      </c>
      <c r="O1470" s="1"/>
      <c r="P1470" s="11"/>
      <c r="Q1470" s="11"/>
      <c r="R1470" s="11"/>
      <c r="S1470" s="11"/>
      <c r="T1470" s="1"/>
      <c r="U1470" s="1"/>
      <c r="V1470" s="1"/>
      <c r="W1470" s="1"/>
      <c r="X1470" s="1"/>
      <c r="Y1470" s="1"/>
      <c r="Z1470" s="1"/>
    </row>
    <row r="1471" ht="18.0" hidden="1" customHeight="1" outlineLevel="2">
      <c r="A1471" s="1">
        <v>4.0</v>
      </c>
      <c r="B1471" s="1"/>
      <c r="C1471" s="1"/>
      <c r="D1471" s="38"/>
      <c r="E1471" s="14"/>
      <c r="F1471" s="15"/>
      <c r="G1471" s="16"/>
      <c r="H1471" s="11"/>
      <c r="I1471" s="7"/>
      <c r="J1471" s="7" t="str">
        <f>IFERROR(LET(_xlpm.v,
VLOOKUP($I1471,'用語辞書'!$A:$B,COLUMN('用語辞書'!B$1),FALSE),
IF(_xlpm.v=0,"",_xlpm.v)
),"")</f>
        <v/>
      </c>
      <c r="K1471" s="17"/>
      <c r="L1471" s="17" t="str">
        <f>IF(OR(COUNTIF('クラス'!$A$1:$A$1267,$B1471)&gt;0,$B1471="",$M1471=""),"",True)</f>
        <v/>
      </c>
      <c r="M1471" s="1" t="str">
        <f t="shared" si="26"/>
        <v>存在しない</v>
      </c>
      <c r="N1471" s="1" t="s">
        <v>29</v>
      </c>
      <c r="O1471" s="1"/>
      <c r="P1471" s="11"/>
      <c r="Q1471" s="11"/>
      <c r="R1471" s="11"/>
      <c r="S1471" s="11"/>
      <c r="T1471" s="1"/>
      <c r="U1471" s="1"/>
      <c r="V1471" s="1"/>
      <c r="W1471" s="1"/>
      <c r="X1471" s="1"/>
      <c r="Y1471" s="1"/>
      <c r="Z1471" s="1"/>
    </row>
    <row r="1472" ht="18.0" hidden="1" customHeight="1" outlineLevel="2">
      <c r="A1472" s="1">
        <v>5.0</v>
      </c>
      <c r="B1472" s="26" t="s">
        <v>1500</v>
      </c>
      <c r="C1472" s="1"/>
      <c r="D1472" s="38"/>
      <c r="E1472" s="29" t="s">
        <v>55</v>
      </c>
      <c r="F1472" s="15"/>
      <c r="G1472" s="16"/>
      <c r="H1472" s="22" t="s">
        <v>1761</v>
      </c>
      <c r="I1472" s="7"/>
      <c r="J1472" s="7" t="str">
        <f>IFERROR(LET(_xlpm.v,
VLOOKUP($I1472,'用語辞書'!$A:$B,COLUMN('用語辞書'!B$1),FALSE),
IF(_xlpm.v=0,"",_xlpm.v)
),"")</f>
        <v/>
      </c>
      <c r="K1472" s="17"/>
      <c r="L1472" s="17" t="str">
        <f>IF(OR(COUNTIF('クラス'!$A$1:$A$1267,$B1472)&gt;0,$B1472="",$M1472=""),"",True)</f>
        <v/>
      </c>
      <c r="M1472" s="1" t="str">
        <f t="shared" si="26"/>
        <v/>
      </c>
      <c r="N1472" s="1" t="s">
        <v>29</v>
      </c>
      <c r="O1472" s="1"/>
      <c r="P1472" s="11"/>
      <c r="Q1472" s="11"/>
      <c r="R1472" s="11"/>
      <c r="S1472" s="11"/>
      <c r="T1472" s="1"/>
      <c r="U1472" s="1"/>
      <c r="V1472" s="1"/>
      <c r="W1472" s="1"/>
      <c r="X1472" s="1"/>
      <c r="Y1472" s="1"/>
      <c r="Z1472" s="1"/>
    </row>
    <row r="1473" ht="18.0" hidden="1" customHeight="1" outlineLevel="2">
      <c r="A1473" s="1">
        <v>6.0</v>
      </c>
      <c r="B1473" s="1"/>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存在しない</v>
      </c>
      <c r="N1473" s="1" t="e">
        <v>#VALUE!</v>
      </c>
      <c r="O1473" s="1"/>
      <c r="P1473" s="11"/>
      <c r="Q1473" s="11"/>
      <c r="R1473" s="11"/>
      <c r="S1473" s="11"/>
      <c r="T1473" s="1"/>
      <c r="U1473" s="1"/>
      <c r="V1473" s="1"/>
      <c r="W1473" s="1"/>
      <c r="X1473" s="1"/>
      <c r="Y1473" s="1"/>
      <c r="Z1473" s="1"/>
    </row>
    <row r="1474" ht="18.0" hidden="1" customHeight="1" outlineLevel="2">
      <c r="A1474" s="1">
        <v>7.0</v>
      </c>
      <c r="B1474" s="26" t="s">
        <v>388</v>
      </c>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
      </c>
      <c r="N1474" s="1" t="s">
        <v>29</v>
      </c>
      <c r="O1474" s="1"/>
      <c r="P1474" s="11"/>
      <c r="Q1474" s="11"/>
      <c r="R1474" s="11"/>
      <c r="S1474" s="11"/>
      <c r="T1474" s="1"/>
      <c r="U1474" s="1"/>
      <c r="V1474" s="1"/>
      <c r="W1474" s="1"/>
      <c r="X1474" s="1"/>
      <c r="Y1474" s="1"/>
      <c r="Z1474" s="1"/>
    </row>
    <row r="1475" ht="18.0" hidden="1" customHeight="1" outlineLevel="2">
      <c r="A1475" s="1">
        <v>8.0</v>
      </c>
      <c r="B1475" s="1"/>
      <c r="C1475" s="1"/>
      <c r="D1475" s="38"/>
      <c r="E1475" s="14"/>
      <c r="F1475" s="15"/>
      <c r="G1475" s="16"/>
      <c r="H1475" s="11"/>
      <c r="I1475" s="7"/>
      <c r="J1475" s="7" t="str">
        <f>IFERROR(LET(_xlpm.v,
VLOOKUP($I1475,'用語辞書'!$A:$B,COLUMN('用語辞書'!B$1),FALSE),
IF(_xlpm.v=0,"",_xlpm.v)
),"")</f>
        <v/>
      </c>
      <c r="K1475" s="17"/>
      <c r="L1475" s="17" t="str">
        <f>IF(OR(COUNTIF('クラス'!$A$1:$A$1267,$B1475)&gt;0,$B1475="",$M1475=""),"",True)</f>
        <v/>
      </c>
      <c r="M1475" s="1" t="str">
        <f t="shared" si="26"/>
        <v>存在しない</v>
      </c>
      <c r="N1475" s="1" t="s">
        <v>29</v>
      </c>
      <c r="O1475" s="1"/>
      <c r="P1475" s="11"/>
      <c r="Q1475" s="11"/>
      <c r="R1475" s="11"/>
      <c r="S1475" s="11"/>
      <c r="T1475" s="1"/>
      <c r="U1475" s="1"/>
      <c r="V1475" s="1"/>
      <c r="W1475" s="1"/>
      <c r="X1475" s="1"/>
      <c r="Y1475" s="1"/>
      <c r="Z1475" s="1"/>
    </row>
    <row r="1476" ht="18.0" hidden="1" customHeight="1" outlineLevel="2">
      <c r="A1476" s="1">
        <v>9.0</v>
      </c>
      <c r="B1476" s="1" t="str">
        <f>D1467&amp;"強化"</f>
        <v>氷強化</v>
      </c>
      <c r="C1476" s="1"/>
      <c r="D1476" s="38"/>
      <c r="E1476" s="14" t="s">
        <v>55</v>
      </c>
      <c r="F1476" s="15"/>
      <c r="G1476" s="16"/>
      <c r="H1476" s="11" t="str">
        <f>"条件系統:"&amp;D1467&amp;" 全威力+10"</f>
        <v>条件系統:氷 全威力+10</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v>10.0</v>
      </c>
      <c r="B1477" s="1" t="str">
        <f>D1467&amp;"の唾"</f>
        <v>氷の唾</v>
      </c>
      <c r="C1477" s="1"/>
      <c r="D1477" s="38" t="str">
        <f>D1467</f>
        <v>氷</v>
      </c>
      <c r="E1477" s="14" t="s">
        <v>33</v>
      </c>
      <c r="F1477" s="15"/>
      <c r="G1477" s="30">
        <v>30.0</v>
      </c>
      <c r="H1477" s="22" t="s">
        <v>1765</v>
      </c>
      <c r="I1477" s="7"/>
      <c r="J1477" s="7" t="str">
        <f>IFERROR(LET(_xlpm.v,
VLOOKUP($I1477,'用語辞書'!$A:$B,COLUMN('用語辞書'!B$1),FALSE),
IF(_xlpm.v=0,"",_xlpm.v)
),"")</f>
        <v/>
      </c>
      <c r="K1477" s="17"/>
      <c r="L1477" s="17" t="b">
        <f>IF(OR(COUNTIF('クラス'!$A$1:$A$1267,$B1477)&gt;0,$B1477="",$M1477=""),"",True)</f>
        <v>1</v>
      </c>
      <c r="M1477" s="1" t="str">
        <f t="shared" si="26"/>
        <v>存在しない</v>
      </c>
      <c r="N1477" s="1" t="e">
        <v>#VALUE!</v>
      </c>
      <c r="O1477" s="1"/>
      <c r="P1477" s="11"/>
      <c r="Q1477" s="11"/>
      <c r="R1477" s="11"/>
      <c r="S1477" s="11"/>
      <c r="T1477" s="1"/>
      <c r="U1477" s="1"/>
      <c r="V1477" s="1"/>
      <c r="W1477" s="1"/>
      <c r="X1477" s="1"/>
      <c r="Y1477" s="1"/>
      <c r="Z1477" s="1"/>
    </row>
    <row r="1478" ht="18.0" hidden="1" customHeight="1" outlineLevel="2">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ollapsed="1">
      <c r="A1479" s="1"/>
      <c r="B1479" s="1"/>
      <c r="C1479" s="1"/>
      <c r="D1479" s="1"/>
      <c r="E1479" s="14"/>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customHeight="1" outlineLevel="1">
      <c r="A1480" s="1"/>
      <c r="B1480" s="37" t="s">
        <v>1766</v>
      </c>
      <c r="C1480" s="1"/>
      <c r="D1480" s="1" t="s">
        <v>1490</v>
      </c>
      <c r="E1480" s="14" t="s">
        <v>1767</v>
      </c>
      <c r="F1480" s="15"/>
      <c r="G1480" s="16"/>
      <c r="H1480" s="11"/>
      <c r="I1480" s="7"/>
      <c r="J1480" s="7" t="str">
        <f>IFERROR(LET(_xlpm.v,
VLOOKUP($I1480,'用語辞書'!$A:$B,COLUMN('用語辞書'!B$1),FALSE),
IF(_xlpm.v=0,"",_xlpm.v)
),"")</f>
        <v/>
      </c>
      <c r="K1480" s="17"/>
      <c r="L1480" s="17" t="str">
        <f>IF(OR(COUNTIF('クラス'!$A$1:$A$1267,$B1480)&gt;0,$B1480="",$M1480=""),"",True)</f>
        <v/>
      </c>
      <c r="M1480" s="1" t="str">
        <f t="shared" si="26"/>
        <v>存在しない</v>
      </c>
      <c r="N1480" s="1" t="s">
        <v>29</v>
      </c>
      <c r="O1480" s="1"/>
      <c r="P1480" s="11"/>
      <c r="Q1480" s="11"/>
      <c r="R1480" s="11"/>
      <c r="S1480" s="11"/>
      <c r="T1480" s="1"/>
      <c r="U1480" s="1"/>
      <c r="V1480" s="1"/>
      <c r="W1480" s="1"/>
      <c r="X1480" s="1"/>
      <c r="Y1480" s="1"/>
      <c r="Z1480" s="1"/>
    </row>
    <row r="1481" ht="18.0" hidden="1" customHeight="1" outlineLevel="2">
      <c r="A1481" s="1">
        <v>1.0</v>
      </c>
      <c r="B1481" s="1" t="s">
        <v>1768</v>
      </c>
      <c r="C1481" s="1"/>
      <c r="D1481" s="38"/>
      <c r="E1481" s="14" t="s">
        <v>55</v>
      </c>
      <c r="F1481" s="15"/>
      <c r="G1481" s="16"/>
      <c r="H1481" s="11" t="s">
        <v>1769</v>
      </c>
      <c r="I1481" s="7"/>
      <c r="J1481" s="7" t="str">
        <f>IFERROR(LET(_xlpm.v,
VLOOKUP($I1481,'用語辞書'!$A:$B,COLUMN('用語辞書'!B$1),FALSE),
IF(_xlpm.v=0,"",_xlpm.v)
),"")</f>
        <v/>
      </c>
      <c r="K1481" s="17"/>
      <c r="L1481" s="17" t="b">
        <f>IF(OR(COUNTIF('クラス'!$A$1:$A$1267,$B1481)&gt;0,$B1481="",$M1481=""),"",True)</f>
        <v>1</v>
      </c>
      <c r="M1481" s="1" t="str">
        <f t="shared" si="26"/>
        <v>存在しない</v>
      </c>
      <c r="N1481" s="1" t="e">
        <v>#VALUE!</v>
      </c>
      <c r="O1481" s="1"/>
      <c r="P1481" s="11"/>
      <c r="Q1481" s="11"/>
      <c r="R1481" s="11"/>
      <c r="S1481" s="11"/>
      <c r="T1481" s="1"/>
      <c r="U1481" s="1"/>
      <c r="V1481" s="1"/>
      <c r="W1481" s="1"/>
      <c r="X1481" s="1"/>
      <c r="Y1481" s="1"/>
      <c r="Z1481" s="1"/>
    </row>
    <row r="1482" ht="18.0" hidden="1" customHeight="1" outlineLevel="2">
      <c r="A1482" s="1">
        <v>2.0</v>
      </c>
      <c r="B1482" s="26" t="s">
        <v>898</v>
      </c>
      <c r="C1482" s="1"/>
      <c r="D1482" s="38"/>
      <c r="E1482" s="14"/>
      <c r="F1482" s="15"/>
      <c r="G1482" s="16"/>
      <c r="H1482" s="11"/>
      <c r="I1482" s="7"/>
      <c r="J1482" s="7" t="str">
        <f>IFERROR(LET(_xlpm.v,
VLOOKUP($I1482,'用語辞書'!$A:$B,COLUMN('用語辞書'!B$1),FALSE),
IF(_xlpm.v=0,"",_xlpm.v)
),"")</f>
        <v/>
      </c>
      <c r="K1482" s="17"/>
      <c r="L1482" s="17" t="str">
        <f>IF(OR(COUNTIF('クラス'!$A$1:$A$1267,$B1482)&gt;0,$B1482="",$M1482=""),"",True)</f>
        <v/>
      </c>
      <c r="M1482" s="1" t="str">
        <f t="shared" si="26"/>
        <v/>
      </c>
      <c r="N1482" s="1" t="s">
        <v>29</v>
      </c>
      <c r="O1482" s="1"/>
      <c r="P1482" s="11"/>
      <c r="Q1482" s="11"/>
      <c r="R1482" s="11"/>
      <c r="S1482" s="11"/>
      <c r="T1482" s="1"/>
      <c r="U1482" s="1"/>
      <c r="V1482" s="1"/>
      <c r="W1482" s="1"/>
      <c r="X1482" s="1"/>
      <c r="Y1482" s="1"/>
      <c r="Z1482" s="1"/>
    </row>
    <row r="1483" ht="18.0" hidden="1" customHeight="1" outlineLevel="2">
      <c r="A1483" s="1">
        <v>3.0</v>
      </c>
      <c r="B1483" s="1" t="s">
        <v>1770</v>
      </c>
      <c r="C1483" s="1"/>
      <c r="D1483" s="38"/>
      <c r="E1483" s="14" t="s">
        <v>33</v>
      </c>
      <c r="F1483" s="15">
        <v>5.0</v>
      </c>
      <c r="G1483" s="16">
        <v>20.0</v>
      </c>
      <c r="H1483" s="11" t="s">
        <v>1771</v>
      </c>
      <c r="I1483" s="7" t="s">
        <v>1296</v>
      </c>
      <c r="J1483" s="7" t="str">
        <f>IFERROR(LET(_xlpm.v,
VLOOKUP($I1483,'用語辞書'!$A:$B,COLUMN('用語辞書'!B$1),FALSE),
IF(_xlpm.v=0,"",_xlpm.v)
),"")</f>
        <v>地形効果を無視する</v>
      </c>
      <c r="K1483" s="17"/>
      <c r="L1483" s="17" t="b">
        <f>IF(OR(COUNTIF('クラス'!$A$1:$A$1267,$B1483)&gt;0,$B1483="",$M1483=""),"",True)</f>
        <v>1</v>
      </c>
      <c r="M1483" s="1" t="str">
        <f t="shared" si="26"/>
        <v>存在しない</v>
      </c>
      <c r="N1483" s="1" t="e">
        <v>#VALUE!</v>
      </c>
      <c r="O1483" s="1"/>
      <c r="P1483" s="11"/>
      <c r="Q1483" s="11"/>
      <c r="R1483" s="11"/>
      <c r="S1483" s="11"/>
      <c r="T1483" s="1"/>
      <c r="U1483" s="1"/>
      <c r="V1483" s="1"/>
      <c r="W1483" s="1"/>
      <c r="X1483" s="1"/>
      <c r="Y1483" s="1"/>
      <c r="Z1483" s="1"/>
    </row>
    <row r="1484" ht="18.0" hidden="1" customHeight="1" outlineLevel="2">
      <c r="A1484" s="1">
        <v>4.0</v>
      </c>
      <c r="B1484" s="1"/>
      <c r="C1484" s="1"/>
      <c r="D1484" s="38"/>
      <c r="E1484" s="14"/>
      <c r="F1484" s="15"/>
      <c r="G1484" s="16"/>
      <c r="H1484" s="11"/>
      <c r="I1484" s="7"/>
      <c r="J1484" s="7" t="str">
        <f>IFERROR(LET(_xlpm.v,
VLOOKUP($I1484,'用語辞書'!$A:$B,COLUMN('用語辞書'!B$1),FALSE),
IF(_xlpm.v=0,"",_xlpm.v)
),"")</f>
        <v/>
      </c>
      <c r="K1484" s="17"/>
      <c r="L1484" s="17" t="str">
        <f>IF(OR(COUNTIF('クラス'!$A$1:$A$1267,$B1484)&gt;0,$B1484="",$M1484=""),"",True)</f>
        <v/>
      </c>
      <c r="M1484" s="1" t="str">
        <f t="shared" si="26"/>
        <v>存在しない</v>
      </c>
      <c r="N1484" s="1" t="s">
        <v>29</v>
      </c>
      <c r="O1484" s="1"/>
      <c r="P1484" s="11"/>
      <c r="Q1484" s="11"/>
      <c r="R1484" s="11"/>
      <c r="S1484" s="11"/>
      <c r="T1484" s="1"/>
      <c r="U1484" s="1"/>
      <c r="V1484" s="1"/>
      <c r="W1484" s="1"/>
      <c r="X1484" s="1"/>
      <c r="Y1484" s="1"/>
      <c r="Z1484" s="1"/>
    </row>
    <row r="1485" ht="18.0" hidden="1" customHeight="1" outlineLevel="2">
      <c r="A1485" s="1">
        <v>5.0</v>
      </c>
      <c r="B1485" s="26" t="s">
        <v>1500</v>
      </c>
      <c r="C1485" s="1"/>
      <c r="D1485" s="38"/>
      <c r="E1485" s="29" t="s">
        <v>55</v>
      </c>
      <c r="F1485" s="15"/>
      <c r="G1485" s="16"/>
      <c r="H1485" s="22" t="s">
        <v>1761</v>
      </c>
      <c r="I1485" s="7"/>
      <c r="J1485" s="7" t="str">
        <f>IFERROR(LET(_xlpm.v,
VLOOKUP($I1485,'用語辞書'!$A:$B,COLUMN('用語辞書'!B$1),FALSE),
IF(_xlpm.v=0,"",_xlpm.v)
),"")</f>
        <v/>
      </c>
      <c r="K1485" s="17"/>
      <c r="L1485" s="17" t="str">
        <f>IF(OR(COUNTIF('クラス'!$A$1:$A$1267,$B1485)&gt;0,$B1485="",$M1485=""),"",True)</f>
        <v/>
      </c>
      <c r="M1485" s="1" t="str">
        <f t="shared" si="26"/>
        <v/>
      </c>
      <c r="N1485" s="1" t="s">
        <v>29</v>
      </c>
      <c r="O1485" s="1"/>
      <c r="P1485" s="11"/>
      <c r="Q1485" s="11"/>
      <c r="R1485" s="11"/>
      <c r="S1485" s="11"/>
      <c r="T1485" s="1"/>
      <c r="U1485" s="1"/>
      <c r="V1485" s="1"/>
      <c r="W1485" s="1"/>
      <c r="X1485" s="1"/>
      <c r="Y1485" s="1"/>
      <c r="Z1485" s="1"/>
    </row>
    <row r="1486" ht="18.0" hidden="1" customHeight="1" outlineLevel="2">
      <c r="A1486" s="1">
        <v>6.0</v>
      </c>
      <c r="B1486" s="1"/>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存在しない</v>
      </c>
      <c r="N1486" s="1" t="e">
        <v>#VALUE!</v>
      </c>
      <c r="O1486" s="1"/>
      <c r="P1486" s="11"/>
      <c r="Q1486" s="11"/>
      <c r="R1486" s="11"/>
      <c r="S1486" s="11"/>
      <c r="T1486" s="1"/>
      <c r="U1486" s="1"/>
      <c r="V1486" s="1"/>
      <c r="W1486" s="1"/>
      <c r="X1486" s="1"/>
      <c r="Y1486" s="1"/>
      <c r="Z1486" s="1"/>
    </row>
    <row r="1487" ht="18.0" hidden="1" customHeight="1" outlineLevel="2">
      <c r="A1487" s="1">
        <v>7.0</v>
      </c>
      <c r="B1487" s="26" t="s">
        <v>902</v>
      </c>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
      </c>
      <c r="N1487" s="1" t="s">
        <v>29</v>
      </c>
      <c r="O1487" s="1"/>
      <c r="P1487" s="11"/>
      <c r="Q1487" s="11"/>
      <c r="R1487" s="11"/>
      <c r="S1487" s="11"/>
      <c r="T1487" s="1"/>
      <c r="U1487" s="1"/>
      <c r="V1487" s="1"/>
      <c r="W1487" s="1"/>
      <c r="X1487" s="1"/>
      <c r="Y1487" s="1"/>
      <c r="Z1487" s="1"/>
    </row>
    <row r="1488" ht="18.0" hidden="1" customHeight="1" outlineLevel="2">
      <c r="A1488" s="1">
        <v>8.0</v>
      </c>
      <c r="B1488" s="1"/>
      <c r="C1488" s="1"/>
      <c r="D1488" s="38"/>
      <c r="E1488" s="14"/>
      <c r="F1488" s="15"/>
      <c r="G1488" s="16"/>
      <c r="H1488" s="11"/>
      <c r="I1488" s="7"/>
      <c r="J1488" s="7" t="str">
        <f>IFERROR(LET(_xlpm.v,
VLOOKUP($I1488,'用語辞書'!$A:$B,COLUMN('用語辞書'!B$1),FALSE),
IF(_xlpm.v=0,"",_xlpm.v)
),"")</f>
        <v/>
      </c>
      <c r="K1488" s="17"/>
      <c r="L1488" s="17" t="str">
        <f>IF(OR(COUNTIF('クラス'!$A$1:$A$1267,$B1488)&gt;0,$B1488="",$M1488=""),"",True)</f>
        <v/>
      </c>
      <c r="M1488" s="1" t="str">
        <f t="shared" si="26"/>
        <v>存在しない</v>
      </c>
      <c r="N1488" s="1" t="s">
        <v>29</v>
      </c>
      <c r="O1488" s="1"/>
      <c r="P1488" s="11"/>
      <c r="Q1488" s="11"/>
      <c r="R1488" s="11"/>
      <c r="S1488" s="11"/>
      <c r="T1488" s="1"/>
      <c r="U1488" s="1"/>
      <c r="V1488" s="1"/>
      <c r="W1488" s="1"/>
      <c r="X1488" s="1"/>
      <c r="Y1488" s="1"/>
      <c r="Z1488" s="1"/>
    </row>
    <row r="1489" ht="18.0" hidden="1" customHeight="1" outlineLevel="2">
      <c r="A1489" s="1">
        <v>9.0</v>
      </c>
      <c r="B1489" s="1" t="s">
        <v>1772</v>
      </c>
      <c r="C1489" s="1"/>
      <c r="D1489" s="38"/>
      <c r="E1489" s="14" t="s">
        <v>55</v>
      </c>
      <c r="F1489" s="15"/>
      <c r="G1489" s="16"/>
      <c r="H1489" s="11" t="str">
        <f>"条件系統:"&amp;"風"&amp;" 全威力+10"</f>
        <v>条件系統:風 全威力+10</v>
      </c>
      <c r="I1489" s="7"/>
      <c r="J1489" s="7" t="str">
        <f>IFERROR(LET(_xlpm.v,
VLOOKUP($I1489,'用語辞書'!$A:$B,COLUMN('用語辞書'!B$1),FALSE),
IF(_xlpm.v=0,"",_xlpm.v)
),"")</f>
        <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v>10.0</v>
      </c>
      <c r="B1490" s="1" t="s">
        <v>1773</v>
      </c>
      <c r="C1490" s="1"/>
      <c r="D1490" s="38" t="s">
        <v>908</v>
      </c>
      <c r="E1490" s="14" t="s">
        <v>33</v>
      </c>
      <c r="F1490" s="15"/>
      <c r="G1490" s="30">
        <v>30.0</v>
      </c>
      <c r="H1490" s="22" t="s">
        <v>1774</v>
      </c>
      <c r="I1490" s="7" t="s">
        <v>1249</v>
      </c>
      <c r="J1490" s="7" t="str">
        <f>IFERROR(LET(_xlpm.v,
VLOOKUP($I1490,'用語辞書'!$A:$B,COLUMN('用語辞書'!B$1),FALSE),
IF(_xlpm.v=0,"",_xlpm.v)
),"")</f>
        <v>対象を後方へ移動させる</v>
      </c>
      <c r="K1490" s="17"/>
      <c r="L1490" s="17" t="b">
        <f>IF(OR(COUNTIF('クラス'!$A$1:$A$1267,$B1490)&gt;0,$B1490="",$M1490=""),"",True)</f>
        <v>1</v>
      </c>
      <c r="M1490" s="1" t="str">
        <f t="shared" si="26"/>
        <v>存在しない</v>
      </c>
      <c r="N1490" s="1" t="e">
        <v>#VALUE!</v>
      </c>
      <c r="O1490" s="1"/>
      <c r="P1490" s="11"/>
      <c r="Q1490" s="11"/>
      <c r="R1490" s="11"/>
      <c r="S1490" s="11"/>
      <c r="T1490" s="1"/>
      <c r="U1490" s="1"/>
      <c r="V1490" s="1"/>
      <c r="W1490" s="1"/>
      <c r="X1490" s="1"/>
      <c r="Y1490" s="1"/>
      <c r="Z1490" s="1"/>
    </row>
    <row r="1491" ht="18.0" hidden="1" customHeight="1" outlineLevel="2">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ollapsed="1">
      <c r="A1492" s="1"/>
      <c r="B1492" s="1"/>
      <c r="C1492" s="1"/>
      <c r="D1492" s="1"/>
      <c r="E1492" s="14"/>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customHeight="1" outlineLevel="1">
      <c r="A1493" s="1"/>
      <c r="B1493" s="37" t="s">
        <v>1775</v>
      </c>
      <c r="C1493" s="1"/>
      <c r="D1493" s="1" t="s">
        <v>518</v>
      </c>
      <c r="E1493" s="14" t="s">
        <v>1776</v>
      </c>
      <c r="F1493" s="15"/>
      <c r="G1493" s="16"/>
      <c r="H1493" s="11"/>
      <c r="I1493" s="7"/>
      <c r="J1493" s="7" t="str">
        <f>IFERROR(LET(_xlpm.v,
VLOOKUP($I1493,'用語辞書'!$A:$B,COLUMN('用語辞書'!B$1),FALSE),
IF(_xlpm.v=0,"",_xlpm.v)
),"")</f>
        <v/>
      </c>
      <c r="K1493" s="17"/>
      <c r="L1493" s="17" t="str">
        <f>IF(OR(COUNTIF('クラス'!$A$1:$A$1267,$B1493)&gt;0,$B1493="",$M1493=""),"",True)</f>
        <v/>
      </c>
      <c r="M1493" s="1" t="str">
        <f t="shared" si="26"/>
        <v>存在しない</v>
      </c>
      <c r="N1493" s="1" t="s">
        <v>29</v>
      </c>
      <c r="O1493" s="1"/>
      <c r="P1493" s="11"/>
      <c r="Q1493" s="11"/>
      <c r="R1493" s="11"/>
      <c r="S1493" s="11"/>
      <c r="T1493" s="1"/>
      <c r="U1493" s="1"/>
      <c r="V1493" s="1"/>
      <c r="W1493" s="1"/>
      <c r="X1493" s="1"/>
      <c r="Y1493" s="1"/>
      <c r="Z1493" s="1"/>
    </row>
    <row r="1494" ht="18.0" hidden="1" customHeight="1" outlineLevel="2">
      <c r="A1494" s="1">
        <v>1.0</v>
      </c>
      <c r="B1494" s="1" t="str">
        <f>D1493&amp;"の適用"</f>
        <v>雷の適用</v>
      </c>
      <c r="C1494" s="1"/>
      <c r="D1494" s="38"/>
      <c r="E1494" s="14" t="s">
        <v>55</v>
      </c>
      <c r="F1494" s="15"/>
      <c r="G1494" s="16"/>
      <c r="H1494" s="11" t="str">
        <f>D1493&amp;"耐性+30"</f>
        <v>雷耐性+30</v>
      </c>
      <c r="I1494" s="7"/>
      <c r="J1494" s="7" t="str">
        <f>IFERROR(LET(_xlpm.v,
VLOOKUP($I1494,'用語辞書'!$A:$B,COLUMN('用語辞書'!B$1),FALSE),
IF(_xlpm.v=0,"",_xlpm.v)
),"")</f>
        <v/>
      </c>
      <c r="K1494" s="17"/>
      <c r="L1494" s="17" t="b">
        <f>IF(OR(COUNTIF('クラス'!$A$1:$A$1267,$B1494)&gt;0,$B1494="",$M1494=""),"",True)</f>
        <v>1</v>
      </c>
      <c r="M1494" s="1" t="str">
        <f t="shared" si="26"/>
        <v>存在しない</v>
      </c>
      <c r="N1494" s="1" t="e">
        <v>#VALUE!</v>
      </c>
      <c r="O1494" s="1"/>
      <c r="P1494" s="11"/>
      <c r="Q1494" s="11"/>
      <c r="R1494" s="11"/>
      <c r="S1494" s="11"/>
      <c r="T1494" s="1"/>
      <c r="U1494" s="1"/>
      <c r="V1494" s="1"/>
      <c r="W1494" s="1"/>
      <c r="X1494" s="1"/>
      <c r="Y1494" s="1"/>
      <c r="Z1494" s="1"/>
    </row>
    <row r="1495" ht="18.0" hidden="1" customHeight="1" outlineLevel="2">
      <c r="A1495" s="1">
        <v>2.0</v>
      </c>
      <c r="B1495" s="26" t="s">
        <v>516</v>
      </c>
      <c r="C1495" s="1"/>
      <c r="D1495" s="38"/>
      <c r="E1495" s="14"/>
      <c r="F1495" s="15"/>
      <c r="G1495" s="16"/>
      <c r="H1495" s="11"/>
      <c r="I1495" s="7"/>
      <c r="J1495" s="7" t="str">
        <f>IFERROR(LET(_xlpm.v,
VLOOKUP($I1495,'用語辞書'!$A:$B,COLUMN('用語辞書'!B$1),FALSE),
IF(_xlpm.v=0,"",_xlpm.v)
),"")</f>
        <v/>
      </c>
      <c r="K1495" s="17"/>
      <c r="L1495" s="17" t="str">
        <f>IF(OR(COUNTIF('クラス'!$A$1:$A$1267,$B1495)&gt;0,$B1495="",$M1495=""),"",True)</f>
        <v/>
      </c>
      <c r="M1495" s="1" t="str">
        <f t="shared" si="26"/>
        <v/>
      </c>
      <c r="N1495" s="1" t="s">
        <v>29</v>
      </c>
      <c r="O1495" s="1"/>
      <c r="P1495" s="11"/>
      <c r="Q1495" s="11"/>
      <c r="R1495" s="11"/>
      <c r="S1495" s="11"/>
      <c r="T1495" s="1"/>
      <c r="U1495" s="1"/>
      <c r="V1495" s="1"/>
      <c r="W1495" s="1"/>
      <c r="X1495" s="1"/>
      <c r="Y1495" s="1"/>
      <c r="Z1495" s="1"/>
    </row>
    <row r="1496" ht="18.0" hidden="1" customHeight="1" outlineLevel="2">
      <c r="A1496" s="1">
        <v>3.0</v>
      </c>
      <c r="B1496" s="1" t="str">
        <f>D1493&amp;"の体"</f>
        <v>雷の体</v>
      </c>
      <c r="C1496" s="1"/>
      <c r="D1496" s="38"/>
      <c r="E1496" s="14" t="s">
        <v>33</v>
      </c>
      <c r="F1496" s="15">
        <v>5.0</v>
      </c>
      <c r="G1496" s="16">
        <v>20.0</v>
      </c>
      <c r="H1496" s="11" t="str">
        <f>"効果時間6t 攻撃手段:肉体 "&amp;D1493&amp;"+15 判定:攻撃"</f>
        <v>効果時間6t 攻撃手段:肉体 雷+15 判定:攻撃</v>
      </c>
      <c r="I1496" s="7"/>
      <c r="J1496" s="7" t="str">
        <f>IFERROR(LET(_xlpm.v,
VLOOKUP($I1496,'用語辞書'!$A:$B,COLUMN('用語辞書'!B$1),FALSE),
IF(_xlpm.v=0,"",_xlpm.v)
),"")</f>
        <v/>
      </c>
      <c r="K1496" s="17"/>
      <c r="L1496" s="17" t="b">
        <f>IF(OR(COUNTIF('クラス'!$A$1:$A$1267,$B1496)&gt;0,$B1496="",$M1496=""),"",True)</f>
        <v>1</v>
      </c>
      <c r="M1496" s="1" t="str">
        <f t="shared" si="26"/>
        <v>存在しない</v>
      </c>
      <c r="N1496" s="1" t="e">
        <v>#VALUE!</v>
      </c>
      <c r="O1496" s="1"/>
      <c r="P1496" s="11"/>
      <c r="Q1496" s="11"/>
      <c r="R1496" s="11"/>
      <c r="S1496" s="11"/>
      <c r="T1496" s="1"/>
      <c r="U1496" s="1"/>
      <c r="V1496" s="1"/>
      <c r="W1496" s="1"/>
      <c r="X1496" s="1"/>
      <c r="Y1496" s="1"/>
      <c r="Z1496" s="1"/>
    </row>
    <row r="1497" ht="18.0" hidden="1" customHeight="1" outlineLevel="2">
      <c r="A1497" s="1">
        <v>4.0</v>
      </c>
      <c r="B1497" s="1"/>
      <c r="C1497" s="1"/>
      <c r="D1497" s="38"/>
      <c r="E1497" s="14"/>
      <c r="F1497" s="15"/>
      <c r="G1497" s="16"/>
      <c r="H1497" s="11"/>
      <c r="I1497" s="7"/>
      <c r="J1497" s="7" t="str">
        <f>IFERROR(LET(_xlpm.v,
VLOOKUP($I1497,'用語辞書'!$A:$B,COLUMN('用語辞書'!B$1),FALSE),
IF(_xlpm.v=0,"",_xlpm.v)
),"")</f>
        <v/>
      </c>
      <c r="K1497" s="17"/>
      <c r="L1497" s="17" t="str">
        <f>IF(OR(COUNTIF('クラス'!$A$1:$A$1267,$B1497)&gt;0,$B1497="",$M1497=""),"",True)</f>
        <v/>
      </c>
      <c r="M1497" s="1" t="str">
        <f t="shared" si="26"/>
        <v>存在しない</v>
      </c>
      <c r="N1497" s="1" t="s">
        <v>29</v>
      </c>
      <c r="O1497" s="1"/>
      <c r="P1497" s="11"/>
      <c r="Q1497" s="11"/>
      <c r="R1497" s="11"/>
      <c r="S1497" s="11"/>
      <c r="T1497" s="1"/>
      <c r="U1497" s="1"/>
      <c r="V1497" s="1"/>
      <c r="W1497" s="1"/>
      <c r="X1497" s="1"/>
      <c r="Y1497" s="1"/>
      <c r="Z1497" s="1"/>
    </row>
    <row r="1498" ht="18.0" hidden="1" customHeight="1" outlineLevel="2">
      <c r="A1498" s="1">
        <v>5.0</v>
      </c>
      <c r="B1498" s="26" t="s">
        <v>1500</v>
      </c>
      <c r="C1498" s="1"/>
      <c r="D1498" s="38"/>
      <c r="E1498" s="29" t="s">
        <v>55</v>
      </c>
      <c r="F1498" s="15"/>
      <c r="G1498" s="16"/>
      <c r="H1498" s="22" t="s">
        <v>1761</v>
      </c>
      <c r="I1498" s="7"/>
      <c r="J1498" s="7" t="str">
        <f>IFERROR(LET(_xlpm.v,
VLOOKUP($I1498,'用語辞書'!$A:$B,COLUMN('用語辞書'!B$1),FALSE),
IF(_xlpm.v=0,"",_xlpm.v)
),"")</f>
        <v/>
      </c>
      <c r="K1498" s="17"/>
      <c r="L1498" s="17" t="str">
        <f>IF(OR(COUNTIF('クラス'!$A$1:$A$1267,$B1498)&gt;0,$B1498="",$M1498=""),"",True)</f>
        <v/>
      </c>
      <c r="M1498" s="1" t="str">
        <f t="shared" si="26"/>
        <v/>
      </c>
      <c r="N1498" s="1" t="s">
        <v>29</v>
      </c>
      <c r="O1498" s="1"/>
      <c r="P1498" s="11"/>
      <c r="Q1498" s="11"/>
      <c r="R1498" s="11"/>
      <c r="S1498" s="11"/>
      <c r="T1498" s="1"/>
      <c r="U1498" s="1"/>
      <c r="V1498" s="1"/>
      <c r="W1498" s="1"/>
      <c r="X1498" s="1"/>
      <c r="Y1498" s="1"/>
      <c r="Z1498" s="1"/>
    </row>
    <row r="1499" ht="18.0" hidden="1" customHeight="1" outlineLevel="2">
      <c r="A1499" s="1">
        <v>6.0</v>
      </c>
      <c r="B1499" s="1"/>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存在しない</v>
      </c>
      <c r="N1499" s="1" t="e">
        <v>#VALUE!</v>
      </c>
      <c r="O1499" s="1"/>
      <c r="P1499" s="11"/>
      <c r="Q1499" s="11"/>
      <c r="R1499" s="11"/>
      <c r="S1499" s="11"/>
      <c r="T1499" s="1"/>
      <c r="U1499" s="1"/>
      <c r="V1499" s="1"/>
      <c r="W1499" s="1"/>
      <c r="X1499" s="1"/>
      <c r="Y1499" s="1"/>
      <c r="Z1499" s="1"/>
    </row>
    <row r="1500" ht="18.0" hidden="1" customHeight="1" outlineLevel="2">
      <c r="A1500" s="1">
        <v>7.0</v>
      </c>
      <c r="B1500" s="26" t="s">
        <v>526</v>
      </c>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
      </c>
      <c r="N1500" s="1" t="s">
        <v>29</v>
      </c>
      <c r="O1500" s="1"/>
      <c r="P1500" s="11"/>
      <c r="Q1500" s="11"/>
      <c r="R1500" s="11"/>
      <c r="S1500" s="11"/>
      <c r="T1500" s="1"/>
      <c r="U1500" s="1"/>
      <c r="V1500" s="1"/>
      <c r="W1500" s="1"/>
      <c r="X1500" s="1"/>
      <c r="Y1500" s="1"/>
      <c r="Z1500" s="1"/>
    </row>
    <row r="1501" ht="18.0" hidden="1" customHeight="1" outlineLevel="2">
      <c r="A1501" s="1">
        <v>8.0</v>
      </c>
      <c r="B1501" s="1"/>
      <c r="C1501" s="1"/>
      <c r="D1501" s="38"/>
      <c r="E1501" s="14"/>
      <c r="F1501" s="15"/>
      <c r="G1501" s="16"/>
      <c r="H1501" s="11"/>
      <c r="I1501" s="7"/>
      <c r="J1501" s="7" t="str">
        <f>IFERROR(LET(_xlpm.v,
VLOOKUP($I1501,'用語辞書'!$A:$B,COLUMN('用語辞書'!B$1),FALSE),
IF(_xlpm.v=0,"",_xlpm.v)
),"")</f>
        <v/>
      </c>
      <c r="K1501" s="17"/>
      <c r="L1501" s="17" t="str">
        <f>IF(OR(COUNTIF('クラス'!$A$1:$A$1267,$B1501)&gt;0,$B1501="",$M1501=""),"",True)</f>
        <v/>
      </c>
      <c r="M1501" s="1" t="str">
        <f t="shared" si="26"/>
        <v>存在しない</v>
      </c>
      <c r="N1501" s="1" t="s">
        <v>29</v>
      </c>
      <c r="O1501" s="1"/>
      <c r="P1501" s="11"/>
      <c r="Q1501" s="11"/>
      <c r="R1501" s="11"/>
      <c r="S1501" s="11"/>
      <c r="T1501" s="1"/>
      <c r="U1501" s="1"/>
      <c r="V1501" s="1"/>
      <c r="W1501" s="1"/>
      <c r="X1501" s="1"/>
      <c r="Y1501" s="1"/>
      <c r="Z1501" s="1"/>
    </row>
    <row r="1502" ht="18.0" hidden="1" customHeight="1" outlineLevel="2">
      <c r="A1502" s="1">
        <v>9.0</v>
      </c>
      <c r="B1502" s="1" t="str">
        <f>D1493&amp;"強化"</f>
        <v>雷強化</v>
      </c>
      <c r="C1502" s="1"/>
      <c r="D1502" s="38"/>
      <c r="E1502" s="14" t="s">
        <v>55</v>
      </c>
      <c r="F1502" s="15"/>
      <c r="G1502" s="16"/>
      <c r="H1502" s="11" t="str">
        <f>"条件系統:"&amp;D1493&amp;" 全威力+10"</f>
        <v>条件系統:雷 全威力+10</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v>10.0</v>
      </c>
      <c r="B1503" s="1" t="str">
        <f>D1493&amp;"の唾"</f>
        <v>雷の唾</v>
      </c>
      <c r="C1503" s="1"/>
      <c r="D1503" s="38" t="str">
        <f>D1493</f>
        <v>雷</v>
      </c>
      <c r="E1503" s="14" t="s">
        <v>33</v>
      </c>
      <c r="F1503" s="15"/>
      <c r="G1503" s="30">
        <v>30.0</v>
      </c>
      <c r="H1503" s="22" t="s">
        <v>1777</v>
      </c>
      <c r="I1503" s="7"/>
      <c r="J1503" s="7" t="str">
        <f>IFERROR(LET(_xlpm.v,
VLOOKUP($I1503,'用語辞書'!$A:$B,COLUMN('用語辞書'!B$1),FALSE),
IF(_xlpm.v=0,"",_xlpm.v)
),"")</f>
        <v/>
      </c>
      <c r="K1503" s="17"/>
      <c r="L1503" s="17" t="b">
        <f>IF(OR(COUNTIF('クラス'!$A$1:$A$1267,$B1503)&gt;0,$B1503="",$M1503=""),"",True)</f>
        <v>1</v>
      </c>
      <c r="M1503" s="1" t="str">
        <f t="shared" si="26"/>
        <v>存在しない</v>
      </c>
      <c r="N1503" s="1" t="e">
        <v>#VALUE!</v>
      </c>
      <c r="O1503" s="1"/>
      <c r="P1503" s="11"/>
      <c r="Q1503" s="11"/>
      <c r="R1503" s="11"/>
      <c r="S1503" s="11"/>
      <c r="T1503" s="1"/>
      <c r="U1503" s="1"/>
      <c r="V1503" s="1"/>
      <c r="W1503" s="1"/>
      <c r="X1503" s="1"/>
      <c r="Y1503" s="1"/>
      <c r="Z1503" s="1"/>
    </row>
    <row r="1504" ht="18.0" hidden="1" customHeight="1" outlineLevel="2">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ollapsed="1">
      <c r="A1505" s="1"/>
      <c r="B1505" s="1"/>
      <c r="C1505" s="1"/>
      <c r="D1505" s="1"/>
      <c r="E1505" s="14"/>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customHeight="1" outlineLevel="1">
      <c r="A1506" s="1"/>
      <c r="B1506" s="37" t="s">
        <v>1778</v>
      </c>
      <c r="C1506" s="1"/>
      <c r="D1506" s="1" t="s">
        <v>644</v>
      </c>
      <c r="E1506" s="14" t="s">
        <v>1779</v>
      </c>
      <c r="F1506" s="15"/>
      <c r="G1506" s="16"/>
      <c r="H1506" s="11"/>
      <c r="I1506" s="7"/>
      <c r="J1506" s="7" t="str">
        <f>IFERROR(LET(_xlpm.v,
VLOOKUP($I1506,'用語辞書'!$A:$B,COLUMN('用語辞書'!B$1),FALSE),
IF(_xlpm.v=0,"",_xlpm.v)
),"")</f>
        <v/>
      </c>
      <c r="K1506" s="17"/>
      <c r="L1506" s="17" t="str">
        <f>IF(OR(COUNTIF('クラス'!$A$1:$A$1267,$B1506)&gt;0,$B1506="",$M1506=""),"",True)</f>
        <v/>
      </c>
      <c r="M1506" s="1" t="str">
        <f t="shared" si="26"/>
        <v>存在しない</v>
      </c>
      <c r="N1506" s="1" t="s">
        <v>29</v>
      </c>
      <c r="O1506" s="1"/>
      <c r="P1506" s="11"/>
      <c r="Q1506" s="11"/>
      <c r="R1506" s="11"/>
      <c r="S1506" s="11"/>
      <c r="T1506" s="1"/>
      <c r="U1506" s="1"/>
      <c r="V1506" s="1"/>
      <c r="W1506" s="1"/>
      <c r="X1506" s="1"/>
      <c r="Y1506" s="1"/>
      <c r="Z1506" s="1"/>
    </row>
    <row r="1507" ht="18.0" hidden="1" customHeight="1" outlineLevel="2">
      <c r="A1507" s="1">
        <v>1.0</v>
      </c>
      <c r="B1507" s="1" t="str">
        <f>D1506&amp;"の適用"</f>
        <v>毒の適用</v>
      </c>
      <c r="C1507" s="1"/>
      <c r="D1507" s="38"/>
      <c r="E1507" s="14" t="s">
        <v>55</v>
      </c>
      <c r="F1507" s="15"/>
      <c r="G1507" s="16"/>
      <c r="H1507" s="11" t="str">
        <f>D1506&amp;"耐性+30"</f>
        <v>毒耐性+30</v>
      </c>
      <c r="I1507" s="7"/>
      <c r="J1507" s="7" t="str">
        <f>IFERROR(LET(_xlpm.v,
VLOOKUP($I1507,'用語辞書'!$A:$B,COLUMN('用語辞書'!B$1),FALSE),
IF(_xlpm.v=0,"",_xlpm.v)
),"")</f>
        <v/>
      </c>
      <c r="K1507" s="17"/>
      <c r="L1507" s="17" t="b">
        <f>IF(OR(COUNTIF('クラス'!$A$1:$A$1267,$B1507)&gt;0,$B1507="",$M1507=""),"",True)</f>
        <v>1</v>
      </c>
      <c r="M1507" s="1" t="str">
        <f t="shared" si="26"/>
        <v>存在しない</v>
      </c>
      <c r="N1507" s="1" t="e">
        <v>#VALUE!</v>
      </c>
      <c r="O1507" s="1"/>
      <c r="P1507" s="11"/>
      <c r="Q1507" s="11"/>
      <c r="R1507" s="11"/>
      <c r="S1507" s="11"/>
      <c r="T1507" s="1"/>
      <c r="U1507" s="1"/>
      <c r="V1507" s="1"/>
      <c r="W1507" s="1"/>
      <c r="X1507" s="1"/>
      <c r="Y1507" s="1"/>
      <c r="Z1507" s="1"/>
    </row>
    <row r="1508" ht="18.0" hidden="1" customHeight="1" outlineLevel="2">
      <c r="A1508" s="1">
        <v>2.0</v>
      </c>
      <c r="B1508" s="26" t="s">
        <v>646</v>
      </c>
      <c r="C1508" s="1"/>
      <c r="D1508" s="38"/>
      <c r="E1508" s="14"/>
      <c r="F1508" s="15"/>
      <c r="G1508" s="16"/>
      <c r="H1508" s="11"/>
      <c r="I1508" s="7"/>
      <c r="J1508" s="7" t="str">
        <f>IFERROR(LET(_xlpm.v,
VLOOKUP($I1508,'用語辞書'!$A:$B,COLUMN('用語辞書'!B$1),FALSE),
IF(_xlpm.v=0,"",_xlpm.v)
),"")</f>
        <v/>
      </c>
      <c r="K1508" s="17"/>
      <c r="L1508" s="17" t="str">
        <f>IF(OR(COUNTIF('クラス'!$A$1:$A$1267,$B1508)&gt;0,$B1508="",$M1508=""),"",True)</f>
        <v/>
      </c>
      <c r="M1508" s="1" t="str">
        <f t="shared" si="26"/>
        <v/>
      </c>
      <c r="N1508" s="1" t="s">
        <v>29</v>
      </c>
      <c r="O1508" s="1"/>
      <c r="P1508" s="11"/>
      <c r="Q1508" s="11"/>
      <c r="R1508" s="11"/>
      <c r="S1508" s="11"/>
      <c r="T1508" s="1"/>
      <c r="U1508" s="1"/>
      <c r="V1508" s="1"/>
      <c r="W1508" s="1"/>
      <c r="X1508" s="1"/>
      <c r="Y1508" s="1"/>
      <c r="Z1508" s="1"/>
    </row>
    <row r="1509" ht="18.0" hidden="1" customHeight="1" outlineLevel="2">
      <c r="A1509" s="1">
        <v>3.0</v>
      </c>
      <c r="B1509" s="1" t="str">
        <f>D1506&amp;"の体"</f>
        <v>毒の体</v>
      </c>
      <c r="C1509" s="1"/>
      <c r="D1509" s="38"/>
      <c r="E1509" s="14" t="s">
        <v>33</v>
      </c>
      <c r="F1509" s="15">
        <v>5.0</v>
      </c>
      <c r="G1509" s="16">
        <v>20.0</v>
      </c>
      <c r="H1509" s="11" t="str">
        <f>"効果時間6t 攻撃手段:肉体 "&amp;D1506&amp;"+15 判定:攻撃"</f>
        <v>効果時間6t 攻撃手段:肉体 毒+15 判定:攻撃</v>
      </c>
      <c r="I1509" s="7"/>
      <c r="J1509" s="7" t="str">
        <f>IFERROR(LET(_xlpm.v,
VLOOKUP($I1509,'用語辞書'!$A:$B,COLUMN('用語辞書'!B$1),FALSE),
IF(_xlpm.v=0,"",_xlpm.v)
),"")</f>
        <v/>
      </c>
      <c r="K1509" s="17"/>
      <c r="L1509" s="17" t="b">
        <f>IF(OR(COUNTIF('クラス'!$A$1:$A$1267,$B1509)&gt;0,$B1509="",$M1509=""),"",True)</f>
        <v>1</v>
      </c>
      <c r="M1509" s="1" t="str">
        <f t="shared" si="26"/>
        <v>存在しない</v>
      </c>
      <c r="N1509" s="1" t="e">
        <v>#VALUE!</v>
      </c>
      <c r="O1509" s="1"/>
      <c r="P1509" s="11"/>
      <c r="Q1509" s="11"/>
      <c r="R1509" s="11"/>
      <c r="S1509" s="11"/>
      <c r="T1509" s="1"/>
      <c r="U1509" s="1"/>
      <c r="V1509" s="1"/>
      <c r="W1509" s="1"/>
      <c r="X1509" s="1"/>
      <c r="Y1509" s="1"/>
      <c r="Z1509" s="1"/>
    </row>
    <row r="1510" ht="18.0" hidden="1" customHeight="1" outlineLevel="2">
      <c r="A1510" s="1">
        <v>4.0</v>
      </c>
      <c r="B1510" s="1"/>
      <c r="C1510" s="1"/>
      <c r="D1510" s="38"/>
      <c r="E1510" s="14"/>
      <c r="F1510" s="15"/>
      <c r="G1510" s="16"/>
      <c r="H1510" s="11"/>
      <c r="I1510" s="7"/>
      <c r="J1510" s="7" t="str">
        <f>IFERROR(LET(_xlpm.v,
VLOOKUP($I1510,'用語辞書'!$A:$B,COLUMN('用語辞書'!B$1),FALSE),
IF(_xlpm.v=0,"",_xlpm.v)
),"")</f>
        <v/>
      </c>
      <c r="K1510" s="17"/>
      <c r="L1510" s="17" t="str">
        <f>IF(OR(COUNTIF('クラス'!$A$1:$A$1267,$B1510)&gt;0,$B1510="",$M1510=""),"",True)</f>
        <v/>
      </c>
      <c r="M1510" s="1" t="str">
        <f t="shared" si="26"/>
        <v>存在しない</v>
      </c>
      <c r="N1510" s="1" t="s">
        <v>29</v>
      </c>
      <c r="O1510" s="1"/>
      <c r="P1510" s="11"/>
      <c r="Q1510" s="11"/>
      <c r="R1510" s="11"/>
      <c r="S1510" s="11"/>
      <c r="T1510" s="1"/>
      <c r="U1510" s="1"/>
      <c r="V1510" s="1"/>
      <c r="W1510" s="1"/>
      <c r="X1510" s="1"/>
      <c r="Y1510" s="1"/>
      <c r="Z1510" s="1"/>
    </row>
    <row r="1511" ht="18.0" hidden="1" customHeight="1" outlineLevel="2">
      <c r="A1511" s="1">
        <v>5.0</v>
      </c>
      <c r="B1511" s="26" t="s">
        <v>1500</v>
      </c>
      <c r="C1511" s="1"/>
      <c r="D1511" s="38"/>
      <c r="E1511" s="29" t="s">
        <v>55</v>
      </c>
      <c r="F1511" s="15"/>
      <c r="G1511" s="16"/>
      <c r="H1511" s="22" t="s">
        <v>1761</v>
      </c>
      <c r="I1511" s="7"/>
      <c r="J1511" s="7" t="str">
        <f>IFERROR(LET(_xlpm.v,
VLOOKUP($I1511,'用語辞書'!$A:$B,COLUMN('用語辞書'!B$1),FALSE),
IF(_xlpm.v=0,"",_xlpm.v)
),"")</f>
        <v/>
      </c>
      <c r="K1511" s="17"/>
      <c r="L1511" s="17" t="str">
        <f>IF(OR(COUNTIF('クラス'!$A$1:$A$1267,$B1511)&gt;0,$B1511="",$M1511=""),"",True)</f>
        <v/>
      </c>
      <c r="M1511" s="1" t="str">
        <f t="shared" si="26"/>
        <v/>
      </c>
      <c r="N1511" s="1" t="s">
        <v>29</v>
      </c>
      <c r="O1511" s="1"/>
      <c r="P1511" s="11"/>
      <c r="Q1511" s="11"/>
      <c r="R1511" s="11"/>
      <c r="S1511" s="11"/>
      <c r="T1511" s="1"/>
      <c r="U1511" s="1"/>
      <c r="V1511" s="1"/>
      <c r="W1511" s="1"/>
      <c r="X1511" s="1"/>
      <c r="Y1511" s="1"/>
      <c r="Z1511" s="1"/>
    </row>
    <row r="1512" ht="18.0" hidden="1" customHeight="1" outlineLevel="2">
      <c r="A1512" s="1">
        <v>6.0</v>
      </c>
      <c r="B1512" s="1"/>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存在しない</v>
      </c>
      <c r="N1512" s="1" t="e">
        <v>#VALUE!</v>
      </c>
      <c r="O1512" s="1"/>
      <c r="P1512" s="11"/>
      <c r="Q1512" s="11"/>
      <c r="R1512" s="11"/>
      <c r="S1512" s="11"/>
      <c r="T1512" s="1"/>
      <c r="U1512" s="1"/>
      <c r="V1512" s="1"/>
      <c r="W1512" s="1"/>
      <c r="X1512" s="1"/>
      <c r="Y1512" s="1"/>
      <c r="Z1512" s="1"/>
    </row>
    <row r="1513" ht="18.0" hidden="1" customHeight="1" outlineLevel="2">
      <c r="A1513" s="1">
        <v>7.0</v>
      </c>
      <c r="B1513" s="26" t="s">
        <v>649</v>
      </c>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
      </c>
      <c r="N1513" s="1" t="s">
        <v>29</v>
      </c>
      <c r="O1513" s="1"/>
      <c r="P1513" s="11"/>
      <c r="Q1513" s="11"/>
      <c r="R1513" s="11"/>
      <c r="S1513" s="11"/>
      <c r="T1513" s="1"/>
      <c r="U1513" s="1"/>
      <c r="V1513" s="1"/>
      <c r="W1513" s="1"/>
      <c r="X1513" s="1"/>
      <c r="Y1513" s="1"/>
      <c r="Z1513" s="1"/>
    </row>
    <row r="1514" ht="18.0" hidden="1" customHeight="1" outlineLevel="2">
      <c r="A1514" s="1">
        <v>8.0</v>
      </c>
      <c r="B1514" s="1"/>
      <c r="C1514" s="1"/>
      <c r="D1514" s="38"/>
      <c r="E1514" s="14"/>
      <c r="F1514" s="15"/>
      <c r="G1514" s="16"/>
      <c r="H1514" s="11"/>
      <c r="I1514" s="7"/>
      <c r="J1514" s="7" t="str">
        <f>IFERROR(LET(_xlpm.v,
VLOOKUP($I1514,'用語辞書'!$A:$B,COLUMN('用語辞書'!B$1),FALSE),
IF(_xlpm.v=0,"",_xlpm.v)
),"")</f>
        <v/>
      </c>
      <c r="K1514" s="17"/>
      <c r="L1514" s="17" t="str">
        <f>IF(OR(COUNTIF('クラス'!$A$1:$A$1267,$B1514)&gt;0,$B1514="",$M1514=""),"",True)</f>
        <v/>
      </c>
      <c r="M1514" s="1" t="str">
        <f t="shared" si="26"/>
        <v>存在しない</v>
      </c>
      <c r="N1514" s="1" t="s">
        <v>29</v>
      </c>
      <c r="O1514" s="1"/>
      <c r="P1514" s="11"/>
      <c r="Q1514" s="11"/>
      <c r="R1514" s="11"/>
      <c r="S1514" s="11"/>
      <c r="T1514" s="1"/>
      <c r="U1514" s="1"/>
      <c r="V1514" s="1"/>
      <c r="W1514" s="1"/>
      <c r="X1514" s="1"/>
      <c r="Y1514" s="1"/>
      <c r="Z1514" s="1"/>
    </row>
    <row r="1515" ht="18.0" hidden="1" customHeight="1" outlineLevel="2">
      <c r="A1515" s="1">
        <v>9.0</v>
      </c>
      <c r="B1515" s="1" t="str">
        <f>D1506&amp;"強化"</f>
        <v>毒強化</v>
      </c>
      <c r="C1515" s="1"/>
      <c r="D1515" s="38"/>
      <c r="E1515" s="14" t="s">
        <v>55</v>
      </c>
      <c r="F1515" s="15"/>
      <c r="G1515" s="16"/>
      <c r="H1515" s="11" t="str">
        <f>"条件系統:"&amp;D1506&amp;" 全威力+10"</f>
        <v>条件系統:毒 全威力+10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v>10.0</v>
      </c>
      <c r="B1516" s="1" t="str">
        <f>D1506&amp;"の唾"</f>
        <v>毒の唾</v>
      </c>
      <c r="C1516" s="1"/>
      <c r="D1516" s="38" t="str">
        <f>D1506</f>
        <v>毒</v>
      </c>
      <c r="E1516" s="14" t="s">
        <v>33</v>
      </c>
      <c r="F1516" s="15"/>
      <c r="G1516" s="30">
        <v>30.0</v>
      </c>
      <c r="H1516" s="22" t="s">
        <v>1780</v>
      </c>
      <c r="I1516" s="7"/>
      <c r="J1516" s="7" t="str">
        <f>IFERROR(LET(_xlpm.v,
VLOOKUP($I1516,'用語辞書'!$A:$B,COLUMN('用語辞書'!B$1),FALSE),
IF(_xlpm.v=0,"",_xlpm.v)
),"")</f>
        <v/>
      </c>
      <c r="K1516" s="17"/>
      <c r="L1516" s="17" t="b">
        <f>IF(OR(COUNTIF('クラス'!$A$1:$A$1267,$B1516)&gt;0,$B1516="",$M1516=""),"",True)</f>
        <v>1</v>
      </c>
      <c r="M1516" s="1" t="str">
        <f t="shared" si="26"/>
        <v>存在しない</v>
      </c>
      <c r="N1516" s="1" t="e">
        <v>#VALUE!</v>
      </c>
      <c r="O1516" s="1"/>
      <c r="P1516" s="11"/>
      <c r="Q1516" s="11"/>
      <c r="R1516" s="11"/>
      <c r="S1516" s="11"/>
      <c r="T1516" s="1"/>
      <c r="U1516" s="1"/>
      <c r="V1516" s="1"/>
      <c r="W1516" s="1"/>
      <c r="X1516" s="1"/>
      <c r="Y1516" s="1"/>
      <c r="Z1516" s="1"/>
    </row>
    <row r="1517" ht="18.0" hidden="1" customHeight="1" outlineLevel="2">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ollapsed="1">
      <c r="A1518" s="1"/>
      <c r="B1518" s="1"/>
      <c r="C1518" s="1"/>
      <c r="D1518" s="1"/>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customHeight="1" outlineLevel="1">
      <c r="A1519" s="1"/>
      <c r="B1519" s="37" t="s">
        <v>1781</v>
      </c>
      <c r="C1519" s="1"/>
      <c r="D1519" s="1" t="s">
        <v>1782</v>
      </c>
      <c r="E1519" s="14"/>
      <c r="F1519" s="15"/>
      <c r="G1519" s="16"/>
      <c r="H1519" s="11"/>
      <c r="I1519" s="7"/>
      <c r="J1519" s="7" t="str">
        <f>IFERROR(LET(_xlpm.v,
VLOOKUP($I1519,'用語辞書'!$A:$B,COLUMN('用語辞書'!B$1),FALSE),
IF(_xlpm.v=0,"",_xlpm.v)
),"")</f>
        <v/>
      </c>
      <c r="K1519" s="17"/>
      <c r="L1519" s="17" t="str">
        <f>IF(OR(COUNTIF('クラス'!$A$1:$A$1267,$B1519)&gt;0,$B1519="",$M1519=""),"",True)</f>
        <v/>
      </c>
      <c r="M1519" s="1" t="str">
        <f t="shared" si="26"/>
        <v>存在しない</v>
      </c>
      <c r="N1519" s="1" t="s">
        <v>29</v>
      </c>
      <c r="O1519" s="1"/>
      <c r="P1519" s="11"/>
      <c r="Q1519" s="11"/>
      <c r="R1519" s="11"/>
      <c r="S1519" s="11"/>
      <c r="T1519" s="1"/>
      <c r="U1519" s="1"/>
      <c r="V1519" s="1"/>
      <c r="W1519" s="1"/>
      <c r="X1519" s="1"/>
      <c r="Y1519" s="1"/>
      <c r="Z1519" s="1"/>
    </row>
    <row r="1520" ht="18.0" hidden="1" customHeight="1" outlineLevel="2">
      <c r="A1520" s="1">
        <v>1.0</v>
      </c>
      <c r="B1520" s="1" t="s">
        <v>1783</v>
      </c>
      <c r="C1520" s="1"/>
      <c r="D1520" s="38"/>
      <c r="E1520" s="14" t="s">
        <v>55</v>
      </c>
      <c r="F1520" s="15"/>
      <c r="G1520" s="16"/>
      <c r="H1520" s="11" t="str">
        <f>D1519&amp;"耐性+30"</f>
        <v>打撃耐性+30</v>
      </c>
      <c r="I1520" s="7"/>
      <c r="J1520" s="7" t="str">
        <f>IFERROR(LET(_xlpm.v,
VLOOKUP($I1520,'用語辞書'!$A:$B,COLUMN('用語辞書'!B$1),FALSE),
IF(_xlpm.v=0,"",_xlpm.v)
),"")</f>
        <v/>
      </c>
      <c r="K1520" s="17"/>
      <c r="L1520" s="17" t="b">
        <f>IF(OR(COUNTIF('クラス'!$A$1:$A$1267,$B1520)&gt;0,$B1520="",$M1520=""),"",True)</f>
        <v>1</v>
      </c>
      <c r="M1520" s="1" t="str">
        <f t="shared" si="26"/>
        <v>存在しない</v>
      </c>
      <c r="N1520" s="1" t="e">
        <v>#VALUE!</v>
      </c>
      <c r="O1520" s="1"/>
      <c r="P1520" s="11"/>
      <c r="Q1520" s="11"/>
      <c r="R1520" s="11"/>
      <c r="S1520" s="11"/>
      <c r="T1520" s="1"/>
      <c r="U1520" s="1"/>
      <c r="V1520" s="1"/>
      <c r="W1520" s="1"/>
      <c r="X1520" s="1"/>
      <c r="Y1520" s="1"/>
      <c r="Z1520" s="1"/>
    </row>
    <row r="1521" ht="18.0" hidden="1" customHeight="1" outlineLevel="2">
      <c r="A1521" s="1">
        <v>2.0</v>
      </c>
      <c r="B1521" s="26" t="s">
        <v>458</v>
      </c>
      <c r="C1521" s="1"/>
      <c r="D1521" s="38"/>
      <c r="E1521" s="14"/>
      <c r="F1521" s="15"/>
      <c r="G1521" s="16"/>
      <c r="H1521" s="11"/>
      <c r="I1521" s="7"/>
      <c r="J1521" s="7" t="str">
        <f>IFERROR(LET(_xlpm.v,
VLOOKUP($I1521,'用語辞書'!$A:$B,COLUMN('用語辞書'!B$1),FALSE),
IF(_xlpm.v=0,"",_xlpm.v)
),"")</f>
        <v/>
      </c>
      <c r="K1521" s="17"/>
      <c r="L1521" s="17" t="str">
        <f>IF(OR(COUNTIF('クラス'!$A$1:$A$1267,$B1521)&gt;0,$B1521="",$M1521=""),"",True)</f>
        <v/>
      </c>
      <c r="M1521" s="1" t="str">
        <f t="shared" si="26"/>
        <v/>
      </c>
      <c r="N1521" s="1" t="s">
        <v>29</v>
      </c>
      <c r="O1521" s="1"/>
      <c r="P1521" s="11"/>
      <c r="Q1521" s="11"/>
      <c r="R1521" s="11"/>
      <c r="S1521" s="11"/>
      <c r="T1521" s="1"/>
      <c r="U1521" s="1"/>
      <c r="V1521" s="1"/>
      <c r="W1521" s="1"/>
      <c r="X1521" s="1"/>
      <c r="Y1521" s="1"/>
      <c r="Z1521" s="1"/>
    </row>
    <row r="1522" ht="18.0" hidden="1" customHeight="1" outlineLevel="2">
      <c r="A1522" s="1">
        <v>3.0</v>
      </c>
      <c r="B1522" s="1" t="s">
        <v>1784</v>
      </c>
      <c r="C1522" s="1"/>
      <c r="D1522" s="38"/>
      <c r="E1522" s="14" t="s">
        <v>33</v>
      </c>
      <c r="F1522" s="15">
        <v>5.0</v>
      </c>
      <c r="G1522" s="16">
        <v>20.0</v>
      </c>
      <c r="H1522" s="11" t="str">
        <f>"効果時間6t 攻撃手段:肉体 "&amp;D1519&amp;"+15 判定:攻撃"</f>
        <v>効果時間6t 攻撃手段:肉体 打撃+15 判定:攻撃</v>
      </c>
      <c r="I1522" s="7"/>
      <c r="J1522" s="7" t="str">
        <f>IFERROR(LET(_xlpm.v,
VLOOKUP($I1522,'用語辞書'!$A:$B,COLUMN('用語辞書'!B$1),FALSE),
IF(_xlpm.v=0,"",_xlpm.v)
),"")</f>
        <v/>
      </c>
      <c r="K1522" s="17"/>
      <c r="L1522" s="17" t="b">
        <f>IF(OR(COUNTIF('クラス'!$A$1:$A$1267,$B1522)&gt;0,$B1522="",$M1522=""),"",True)</f>
        <v>1</v>
      </c>
      <c r="M1522" s="1" t="str">
        <f t="shared" si="26"/>
        <v>存在しない</v>
      </c>
      <c r="N1522" s="1" t="e">
        <v>#VALUE!</v>
      </c>
      <c r="O1522" s="1"/>
      <c r="P1522" s="11"/>
      <c r="Q1522" s="11"/>
      <c r="R1522" s="11"/>
      <c r="S1522" s="11"/>
      <c r="T1522" s="1"/>
      <c r="U1522" s="1"/>
      <c r="V1522" s="1"/>
      <c r="W1522" s="1"/>
      <c r="X1522" s="1"/>
      <c r="Y1522" s="1"/>
      <c r="Z1522" s="1"/>
    </row>
    <row r="1523" ht="18.0" hidden="1" customHeight="1" outlineLevel="2">
      <c r="A1523" s="1">
        <v>4.0</v>
      </c>
      <c r="B1523" s="1"/>
      <c r="C1523" s="1"/>
      <c r="D1523" s="38"/>
      <c r="E1523" s="14"/>
      <c r="F1523" s="15"/>
      <c r="G1523" s="16"/>
      <c r="H1523" s="11"/>
      <c r="I1523" s="7"/>
      <c r="J1523" s="7" t="str">
        <f>IFERROR(LET(_xlpm.v,
VLOOKUP($I1523,'用語辞書'!$A:$B,COLUMN('用語辞書'!B$1),FALSE),
IF(_xlpm.v=0,"",_xlpm.v)
),"")</f>
        <v/>
      </c>
      <c r="K1523" s="17"/>
      <c r="L1523" s="17" t="str">
        <f>IF(OR(COUNTIF('クラス'!$A$1:$A$1267,$B1523)&gt;0,$B1523="",$M1523=""),"",True)</f>
        <v/>
      </c>
      <c r="M1523" s="1" t="str">
        <f t="shared" si="26"/>
        <v>存在しない</v>
      </c>
      <c r="N1523" s="1" t="s">
        <v>29</v>
      </c>
      <c r="O1523" s="1"/>
      <c r="P1523" s="11"/>
      <c r="Q1523" s="11"/>
      <c r="R1523" s="11"/>
      <c r="S1523" s="11"/>
      <c r="T1523" s="1"/>
      <c r="U1523" s="1"/>
      <c r="V1523" s="1"/>
      <c r="W1523" s="1"/>
      <c r="X1523" s="1"/>
      <c r="Y1523" s="1"/>
      <c r="Z1523" s="1"/>
    </row>
    <row r="1524" ht="18.0" hidden="1" customHeight="1" outlineLevel="2">
      <c r="A1524" s="1">
        <v>5.0</v>
      </c>
      <c r="B1524" s="26" t="s">
        <v>1500</v>
      </c>
      <c r="C1524" s="1"/>
      <c r="D1524" s="38"/>
      <c r="E1524" s="29" t="s">
        <v>55</v>
      </c>
      <c r="F1524" s="15"/>
      <c r="G1524" s="16"/>
      <c r="H1524" s="22" t="s">
        <v>1761</v>
      </c>
      <c r="I1524" s="7"/>
      <c r="J1524" s="7" t="str">
        <f>IFERROR(LET(_xlpm.v,
VLOOKUP($I1524,'用語辞書'!$A:$B,COLUMN('用語辞書'!B$1),FALSE),
IF(_xlpm.v=0,"",_xlpm.v)
),"")</f>
        <v/>
      </c>
      <c r="K1524" s="17"/>
      <c r="L1524" s="17" t="str">
        <f>IF(OR(COUNTIF('クラス'!$A$1:$A$1267,$B1524)&gt;0,$B1524="",$M1524=""),"",True)</f>
        <v/>
      </c>
      <c r="M1524" s="1" t="str">
        <f t="shared" si="26"/>
        <v/>
      </c>
      <c r="N1524" s="1" t="s">
        <v>29</v>
      </c>
      <c r="O1524" s="1"/>
      <c r="P1524" s="11"/>
      <c r="Q1524" s="11"/>
      <c r="R1524" s="11"/>
      <c r="S1524" s="11"/>
      <c r="T1524" s="1"/>
      <c r="U1524" s="1"/>
      <c r="V1524" s="1"/>
      <c r="W1524" s="1"/>
      <c r="X1524" s="1"/>
      <c r="Y1524" s="1"/>
      <c r="Z1524" s="1"/>
    </row>
    <row r="1525" ht="18.0" hidden="1" customHeight="1" outlineLevel="2">
      <c r="A1525" s="1">
        <v>6.0</v>
      </c>
      <c r="B1525" s="1"/>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存在しない</v>
      </c>
      <c r="N1525" s="1" t="s">
        <v>29</v>
      </c>
      <c r="O1525" s="1"/>
      <c r="P1525" s="11"/>
      <c r="Q1525" s="11"/>
      <c r="R1525" s="11"/>
      <c r="S1525" s="11"/>
      <c r="T1525" s="1"/>
      <c r="U1525" s="1"/>
      <c r="V1525" s="1"/>
      <c r="W1525" s="1"/>
      <c r="X1525" s="1"/>
      <c r="Y1525" s="1"/>
      <c r="Z1525" s="1"/>
    </row>
    <row r="1526" ht="18.0" hidden="1" customHeight="1" outlineLevel="2">
      <c r="A1526" s="1">
        <v>7.0</v>
      </c>
      <c r="B1526" s="26" t="s">
        <v>465</v>
      </c>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
      </c>
      <c r="N1526" s="1" t="s">
        <v>29</v>
      </c>
      <c r="O1526" s="1"/>
      <c r="P1526" s="11"/>
      <c r="Q1526" s="11"/>
      <c r="R1526" s="11"/>
      <c r="S1526" s="11"/>
      <c r="T1526" s="1"/>
      <c r="U1526" s="1"/>
      <c r="V1526" s="1"/>
      <c r="W1526" s="1"/>
      <c r="X1526" s="1"/>
      <c r="Y1526" s="1"/>
      <c r="Z1526" s="1"/>
    </row>
    <row r="1527" ht="18.0" hidden="1" customHeight="1" outlineLevel="2">
      <c r="A1527" s="1">
        <v>8.0</v>
      </c>
      <c r="B1527" s="1"/>
      <c r="C1527" s="1"/>
      <c r="D1527" s="38"/>
      <c r="E1527" s="14"/>
      <c r="F1527" s="15"/>
      <c r="G1527" s="16"/>
      <c r="H1527" s="11"/>
      <c r="I1527" s="7"/>
      <c r="J1527" s="7" t="str">
        <f>IFERROR(LET(_xlpm.v,
VLOOKUP($I1527,'用語辞書'!$A:$B,COLUMN('用語辞書'!B$1),FALSE),
IF(_xlpm.v=0,"",_xlpm.v)
),"")</f>
        <v/>
      </c>
      <c r="K1527" s="17"/>
      <c r="L1527" s="17" t="str">
        <f>IF(OR(COUNTIF('クラス'!$A$1:$A$1267,$B1527)&gt;0,$B1527="",$M1527=""),"",True)</f>
        <v/>
      </c>
      <c r="M1527" s="1" t="str">
        <f t="shared" si="26"/>
        <v>存在しない</v>
      </c>
      <c r="N1527" s="1" t="s">
        <v>29</v>
      </c>
      <c r="O1527" s="1"/>
      <c r="P1527" s="11"/>
      <c r="Q1527" s="11"/>
      <c r="R1527" s="11"/>
      <c r="S1527" s="11"/>
      <c r="T1527" s="1"/>
      <c r="U1527" s="1"/>
      <c r="V1527" s="1"/>
      <c r="W1527" s="1"/>
      <c r="X1527" s="1"/>
      <c r="Y1527" s="1"/>
      <c r="Z1527" s="1"/>
    </row>
    <row r="1528" ht="18.0" hidden="1" customHeight="1" outlineLevel="2">
      <c r="A1528" s="1">
        <v>9.0</v>
      </c>
      <c r="B1528" s="1" t="s">
        <v>1785</v>
      </c>
      <c r="C1528" s="1"/>
      <c r="D1528" s="38"/>
      <c r="E1528" s="14" t="s">
        <v>55</v>
      </c>
      <c r="F1528" s="15"/>
      <c r="G1528" s="16"/>
      <c r="H1528" s="11" t="str">
        <f>"条件系統:"&amp;D1519&amp;" 全威力+10"</f>
        <v>条件系統:打撃 全威力+10</v>
      </c>
      <c r="I1528" s="7"/>
      <c r="J1528" s="7" t="str">
        <f>IFERROR(LET(_xlpm.v,
VLOOKUP($I1528,'用語辞書'!$A:$B,COLUMN('用語辞書'!B$1),FALSE),
IF(_xlpm.v=0,"",_xlpm.v)
),"")</f>
        <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hidden="1" customHeight="1" outlineLevel="2">
      <c r="A1529" s="1">
        <v>10.0</v>
      </c>
      <c r="B1529" s="1" t="s">
        <v>1786</v>
      </c>
      <c r="C1529" s="1"/>
      <c r="D1529" s="38" t="s">
        <v>453</v>
      </c>
      <c r="E1529" s="14" t="s">
        <v>33</v>
      </c>
      <c r="F1529" s="15"/>
      <c r="G1529" s="30">
        <v>30.0</v>
      </c>
      <c r="H1529" s="22" t="s">
        <v>1787</v>
      </c>
      <c r="I1529" s="7" t="s">
        <v>1249</v>
      </c>
      <c r="J1529" s="7" t="str">
        <f>IFERROR(LET(_xlpm.v,
VLOOKUP($I1529,'用語辞書'!$A:$B,COLUMN('用語辞書'!B$1),FALSE),
IF(_xlpm.v=0,"",_xlpm.v)
),"")</f>
        <v>対象を後方へ移動させる</v>
      </c>
      <c r="K1529" s="17"/>
      <c r="L1529" s="17" t="b">
        <f>IF(OR(COUNTIF('クラス'!$A$1:$A$1267,$B1529)&gt;0,$B1529="",$M1529=""),"",True)</f>
        <v>1</v>
      </c>
      <c r="M1529" s="1" t="str">
        <f t="shared" si="26"/>
        <v>存在しない</v>
      </c>
      <c r="N1529" s="1" t="e">
        <v>#VALUE!</v>
      </c>
      <c r="O1529" s="1"/>
      <c r="P1529" s="11"/>
      <c r="Q1529" s="11"/>
      <c r="R1529" s="11"/>
      <c r="S1529" s="11"/>
      <c r="T1529" s="1"/>
      <c r="U1529" s="1"/>
      <c r="V1529" s="1"/>
      <c r="W1529" s="1"/>
      <c r="X1529" s="1"/>
      <c r="Y1529" s="1"/>
      <c r="Z1529" s="1"/>
    </row>
    <row r="1530" ht="18.0" customHeight="1" outlineLevel="1" collapsed="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1"/>
      <c r="C1531" s="1"/>
      <c r="D1531" s="1"/>
      <c r="E1531" s="14"/>
      <c r="F1531" s="15"/>
      <c r="G1531" s="16"/>
      <c r="H1531" s="11"/>
      <c r="I1531" s="7"/>
      <c r="J1531" s="7" t="str">
        <f>IFERROR(LET(_xlpm.v,
VLOOKUP($I1531,'用語辞書'!$A:$B,COLUMN('用語辞書'!B$1),FALSE),
IF(_xlpm.v=0,"",_xlpm.v)
),"")</f>
        <v/>
      </c>
      <c r="K1531" s="17"/>
      <c r="L1531" s="17" t="str">
        <f>IF(OR(COUNTIF('クラス'!$A$1:$A$1267,$B1531)&gt;0,$B1531="",$M1531=""),"",True)</f>
        <v/>
      </c>
      <c r="M1531" s="1" t="str">
        <f t="shared" si="26"/>
        <v>存在しない</v>
      </c>
      <c r="N1531" s="1" t="s">
        <v>29</v>
      </c>
      <c r="O1531" s="1"/>
      <c r="P1531" s="11"/>
      <c r="Q1531" s="11"/>
      <c r="R1531" s="11"/>
      <c r="S1531" s="11"/>
      <c r="T1531" s="1"/>
      <c r="U1531" s="1"/>
      <c r="V1531" s="1"/>
      <c r="W1531" s="1"/>
      <c r="X1531" s="1"/>
      <c r="Y1531" s="1"/>
      <c r="Z1531" s="1"/>
    </row>
    <row r="1532" ht="18.0" customHeight="1" outlineLevel="1">
      <c r="A1532" s="1"/>
      <c r="B1532" s="37" t="s">
        <v>1788</v>
      </c>
      <c r="C1532" s="1"/>
      <c r="D1532" s="1"/>
      <c r="E1532" s="14"/>
      <c r="F1532" s="15"/>
      <c r="G1532" s="16"/>
      <c r="H1532" s="11"/>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1.0</v>
      </c>
      <c r="B1533" s="1" t="s">
        <v>1789</v>
      </c>
      <c r="C1533" s="1"/>
      <c r="D1533" s="38" t="s">
        <v>965</v>
      </c>
      <c r="E1533" s="14" t="s">
        <v>55</v>
      </c>
      <c r="F1533" s="15"/>
      <c r="G1533" s="16"/>
      <c r="H1533" s="11" t="s">
        <v>1790</v>
      </c>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2.0</v>
      </c>
      <c r="B1534" s="26" t="s">
        <v>966</v>
      </c>
      <c r="C1534" s="1"/>
      <c r="D1534" s="38"/>
      <c r="E1534" s="14"/>
      <c r="F1534" s="15"/>
      <c r="G1534" s="16"/>
      <c r="H1534" s="11"/>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3.0</v>
      </c>
      <c r="B1535" s="1" t="s">
        <v>1791</v>
      </c>
      <c r="C1535" s="1"/>
      <c r="D1535" s="38" t="s">
        <v>965</v>
      </c>
      <c r="E1535" s="14" t="s">
        <v>33</v>
      </c>
      <c r="F1535" s="15">
        <v>5.0</v>
      </c>
      <c r="G1535" s="16">
        <v>20.0</v>
      </c>
      <c r="H1535" s="11" t="s">
        <v>1792</v>
      </c>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4.0</v>
      </c>
      <c r="B1536" s="1"/>
      <c r="C1536" s="1"/>
      <c r="D1536" s="38"/>
      <c r="E1536" s="14"/>
      <c r="F1536" s="15"/>
      <c r="G1536" s="16"/>
      <c r="H1536" s="11"/>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5.0</v>
      </c>
      <c r="B1537" s="26" t="s">
        <v>1500</v>
      </c>
      <c r="C1537" s="1"/>
      <c r="D1537" s="38"/>
      <c r="E1537" s="29" t="s">
        <v>55</v>
      </c>
      <c r="F1537" s="15"/>
      <c r="G1537" s="16"/>
      <c r="H1537" s="22" t="s">
        <v>1761</v>
      </c>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6.0</v>
      </c>
      <c r="B1538" s="1"/>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7.0</v>
      </c>
      <c r="B1539" s="26" t="s">
        <v>978</v>
      </c>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8.0</v>
      </c>
      <c r="B1540" s="1"/>
      <c r="C1540" s="1"/>
      <c r="D1540" s="38"/>
      <c r="E1540" s="14"/>
      <c r="F1540" s="15"/>
      <c r="G1540" s="16"/>
      <c r="H1540" s="11"/>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9.0</v>
      </c>
      <c r="B1541" s="1" t="s">
        <v>1793</v>
      </c>
      <c r="C1541" s="1"/>
      <c r="D1541" s="38"/>
      <c r="E1541" s="14" t="s">
        <v>55</v>
      </c>
      <c r="F1541" s="15"/>
      <c r="G1541" s="16"/>
      <c r="H1541" s="11" t="s">
        <v>1794</v>
      </c>
      <c r="I1541" s="7"/>
      <c r="J1541" s="7"/>
      <c r="K1541" s="17"/>
      <c r="L1541" s="17"/>
      <c r="M1541" s="1"/>
      <c r="N1541" s="1"/>
      <c r="O1541" s="1"/>
      <c r="P1541" s="11"/>
      <c r="Q1541" s="11"/>
      <c r="R1541" s="11"/>
      <c r="S1541" s="11"/>
      <c r="T1541" s="1"/>
      <c r="U1541" s="1"/>
      <c r="V1541" s="1"/>
      <c r="W1541" s="1"/>
      <c r="X1541" s="1"/>
      <c r="Y1541" s="1"/>
      <c r="Z1541" s="1"/>
    </row>
    <row r="1542" ht="18.0" hidden="1" customHeight="1" outlineLevel="2">
      <c r="A1542" s="1">
        <v>10.0</v>
      </c>
      <c r="B1542" s="1" t="s">
        <v>1795</v>
      </c>
      <c r="C1542" s="1"/>
      <c r="D1542" s="38" t="s">
        <v>965</v>
      </c>
      <c r="E1542" s="14" t="s">
        <v>33</v>
      </c>
      <c r="F1542" s="15"/>
      <c r="G1542" s="30">
        <v>60.0</v>
      </c>
      <c r="H1542" s="22" t="s">
        <v>1796</v>
      </c>
      <c r="I1542" s="7"/>
      <c r="J1542" s="7"/>
      <c r="K1542" s="17"/>
      <c r="L1542" s="17"/>
      <c r="M1542" s="1"/>
      <c r="N1542" s="1"/>
      <c r="O1542" s="1"/>
      <c r="P1542" s="11"/>
      <c r="Q1542" s="11"/>
      <c r="R1542" s="11"/>
      <c r="S1542" s="11"/>
      <c r="T1542" s="1"/>
      <c r="U1542" s="1"/>
      <c r="V1542" s="1"/>
      <c r="W1542" s="1"/>
      <c r="X1542" s="1"/>
      <c r="Y1542" s="1"/>
      <c r="Z1542" s="1"/>
    </row>
    <row r="1543" ht="18.0" customHeight="1" outlineLevel="1" collapsed="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1"/>
      <c r="C1544" s="1"/>
      <c r="D1544" s="1"/>
      <c r="E1544" s="14"/>
      <c r="F1544" s="15"/>
      <c r="G1544" s="16"/>
      <c r="H1544" s="11"/>
      <c r="I1544" s="7"/>
      <c r="J1544" s="7"/>
      <c r="K1544" s="17"/>
      <c r="L1544" s="17"/>
      <c r="M1544" s="1"/>
      <c r="N1544" s="1"/>
      <c r="O1544" s="1"/>
      <c r="P1544" s="11"/>
      <c r="Q1544" s="11"/>
      <c r="R1544" s="11"/>
      <c r="S1544" s="11"/>
      <c r="T1544" s="1"/>
      <c r="U1544" s="1"/>
      <c r="V1544" s="1"/>
      <c r="W1544" s="1"/>
      <c r="X1544" s="1"/>
      <c r="Y1544" s="1"/>
      <c r="Z1544" s="1"/>
    </row>
    <row r="1545" ht="18.0" customHeight="1" outlineLevel="1">
      <c r="A1545" s="1"/>
      <c r="B1545" s="39" t="s">
        <v>1797</v>
      </c>
      <c r="C1545" s="1"/>
      <c r="D1545" s="1" t="s">
        <v>1782</v>
      </c>
      <c r="E1545" s="14"/>
      <c r="F1545" s="15"/>
      <c r="G1545" s="16"/>
      <c r="H1545" s="11"/>
      <c r="I1545" s="7"/>
      <c r="J1545" s="7" t="s">
        <v>29</v>
      </c>
      <c r="K1545" s="17"/>
      <c r="L1545" s="17" t="s">
        <v>29</v>
      </c>
      <c r="M1545" s="1" t="s">
        <v>1798</v>
      </c>
      <c r="N1545" s="1" t="s">
        <v>29</v>
      </c>
      <c r="O1545" s="1"/>
      <c r="P1545" s="11"/>
      <c r="Q1545" s="11"/>
      <c r="R1545" s="11"/>
      <c r="S1545" s="11"/>
      <c r="T1545" s="1"/>
      <c r="U1545" s="1"/>
      <c r="V1545" s="1"/>
      <c r="W1545" s="1"/>
      <c r="X1545" s="1"/>
      <c r="Y1545" s="1"/>
      <c r="Z1545" s="1"/>
    </row>
    <row r="1546" ht="18.0" hidden="1" customHeight="1" outlineLevel="2">
      <c r="A1546" s="26">
        <v>1.0</v>
      </c>
      <c r="B1546" s="26" t="s">
        <v>1799</v>
      </c>
      <c r="C1546" s="1"/>
      <c r="D1546" s="38"/>
      <c r="E1546" s="29" t="s">
        <v>55</v>
      </c>
      <c r="F1546" s="15"/>
      <c r="G1546" s="16"/>
      <c r="H1546" s="22" t="s">
        <v>1800</v>
      </c>
      <c r="I1546" s="7"/>
      <c r="J1546" s="32" t="s">
        <v>1801</v>
      </c>
      <c r="K1546" s="17"/>
      <c r="L1546" s="17" t="b">
        <v>1</v>
      </c>
      <c r="M1546" s="1" t="s">
        <v>1798</v>
      </c>
      <c r="N1546" s="1" t="e">
        <v>#VALUE!</v>
      </c>
      <c r="O1546" s="1"/>
      <c r="P1546" s="11"/>
      <c r="Q1546" s="11"/>
      <c r="R1546" s="11"/>
      <c r="S1546" s="11"/>
      <c r="T1546" s="1"/>
      <c r="U1546" s="1"/>
      <c r="V1546" s="1"/>
      <c r="W1546" s="1"/>
      <c r="X1546" s="1"/>
      <c r="Y1546" s="1"/>
      <c r="Z1546" s="1"/>
    </row>
    <row r="1547" ht="18.0" hidden="1" customHeight="1" outlineLevel="2">
      <c r="A1547" s="26">
        <v>2.0</v>
      </c>
      <c r="B1547" s="26" t="s">
        <v>788</v>
      </c>
      <c r="C1547" s="1"/>
      <c r="D1547" s="38"/>
      <c r="E1547" s="14"/>
      <c r="F1547" s="15"/>
      <c r="G1547" s="16"/>
      <c r="H1547" s="11"/>
      <c r="I1547" s="7"/>
      <c r="J1547" s="7" t="s">
        <v>29</v>
      </c>
      <c r="K1547" s="17"/>
      <c r="L1547" s="17" t="s">
        <v>29</v>
      </c>
      <c r="M1547" s="1" t="s">
        <v>29</v>
      </c>
      <c r="N1547" s="1" t="s">
        <v>29</v>
      </c>
      <c r="O1547" s="1"/>
      <c r="P1547" s="11"/>
      <c r="Q1547" s="11"/>
      <c r="R1547" s="11"/>
      <c r="S1547" s="11"/>
      <c r="T1547" s="1"/>
      <c r="U1547" s="1"/>
      <c r="V1547" s="1"/>
      <c r="W1547" s="1"/>
      <c r="X1547" s="1"/>
      <c r="Y1547" s="1"/>
      <c r="Z1547" s="1"/>
    </row>
    <row r="1548" ht="18.0" hidden="1" customHeight="1" outlineLevel="2">
      <c r="A1548" s="26">
        <v>3.0</v>
      </c>
      <c r="B1548" s="26" t="s">
        <v>1802</v>
      </c>
      <c r="C1548" s="1"/>
      <c r="D1548" s="40" t="s">
        <v>1803</v>
      </c>
      <c r="E1548" s="29" t="s">
        <v>33</v>
      </c>
      <c r="F1548" s="34">
        <v>5.0</v>
      </c>
      <c r="G1548" s="30">
        <v>20.0</v>
      </c>
      <c r="H1548" s="22" t="s">
        <v>1804</v>
      </c>
      <c r="I1548" s="7"/>
      <c r="J1548" s="32" t="s">
        <v>1805</v>
      </c>
      <c r="K1548" s="17"/>
      <c r="L1548" s="17" t="b">
        <v>1</v>
      </c>
      <c r="M1548" s="1" t="s">
        <v>1798</v>
      </c>
      <c r="N1548" s="1" t="e">
        <v>#VALUE!</v>
      </c>
      <c r="O1548" s="1"/>
      <c r="P1548" s="11"/>
      <c r="Q1548" s="11"/>
      <c r="R1548" s="11"/>
      <c r="S1548" s="11"/>
      <c r="T1548" s="1"/>
      <c r="U1548" s="1"/>
      <c r="V1548" s="1"/>
      <c r="W1548" s="1"/>
      <c r="X1548" s="1"/>
      <c r="Y1548" s="1"/>
      <c r="Z1548" s="1"/>
    </row>
    <row r="1549" ht="18.0" hidden="1" customHeight="1" outlineLevel="2">
      <c r="A1549" s="26">
        <v>4.0</v>
      </c>
      <c r="B1549" s="1"/>
      <c r="C1549" s="1"/>
      <c r="D1549" s="38"/>
      <c r="E1549" s="14"/>
      <c r="F1549" s="15"/>
      <c r="G1549" s="16"/>
      <c r="H1549" s="11"/>
      <c r="I1549" s="7"/>
      <c r="J1549" s="7" t="s">
        <v>29</v>
      </c>
      <c r="K1549" s="17"/>
      <c r="L1549" s="17" t="s">
        <v>29</v>
      </c>
      <c r="M1549" s="1" t="s">
        <v>1798</v>
      </c>
      <c r="N1549" s="1" t="s">
        <v>29</v>
      </c>
      <c r="O1549" s="1"/>
      <c r="P1549" s="11"/>
      <c r="Q1549" s="11"/>
      <c r="R1549" s="11"/>
      <c r="S1549" s="11"/>
      <c r="T1549" s="1"/>
      <c r="U1549" s="1"/>
      <c r="V1549" s="1"/>
      <c r="W1549" s="1"/>
      <c r="X1549" s="1"/>
      <c r="Y1549" s="1"/>
      <c r="Z1549" s="1"/>
    </row>
    <row r="1550" ht="18.0" hidden="1" customHeight="1" outlineLevel="2">
      <c r="A1550" s="26">
        <v>5.0</v>
      </c>
      <c r="B1550" s="26" t="s">
        <v>1500</v>
      </c>
      <c r="C1550" s="1"/>
      <c r="D1550" s="38"/>
      <c r="E1550" s="29" t="s">
        <v>55</v>
      </c>
      <c r="F1550" s="15"/>
      <c r="G1550" s="16"/>
      <c r="H1550" s="22" t="s">
        <v>1761</v>
      </c>
      <c r="I1550" s="7"/>
      <c r="J1550" s="7" t="s">
        <v>29</v>
      </c>
      <c r="K1550" s="17"/>
      <c r="L1550" s="17" t="s">
        <v>29</v>
      </c>
      <c r="M1550" s="1" t="s">
        <v>29</v>
      </c>
      <c r="N1550" s="1" t="s">
        <v>29</v>
      </c>
      <c r="O1550" s="1"/>
      <c r="P1550" s="11"/>
      <c r="Q1550" s="11"/>
      <c r="R1550" s="11"/>
      <c r="S1550" s="11"/>
      <c r="T1550" s="1"/>
      <c r="U1550" s="1"/>
      <c r="V1550" s="1"/>
      <c r="W1550" s="1"/>
      <c r="X1550" s="1"/>
      <c r="Y1550" s="1"/>
      <c r="Z1550" s="1"/>
    </row>
    <row r="1551" ht="18.0" hidden="1" customHeight="1" outlineLevel="2">
      <c r="A1551" s="26">
        <v>6.0</v>
      </c>
      <c r="B1551" s="1"/>
      <c r="C1551" s="1"/>
      <c r="D1551" s="38"/>
      <c r="E1551" s="14"/>
      <c r="F1551" s="15"/>
      <c r="G1551" s="16"/>
      <c r="H1551" s="11"/>
      <c r="I1551" s="7"/>
      <c r="J1551" s="7" t="s">
        <v>29</v>
      </c>
      <c r="K1551" s="17"/>
      <c r="L1551" s="17" t="s">
        <v>29</v>
      </c>
      <c r="M1551" s="1" t="s">
        <v>1798</v>
      </c>
      <c r="N1551" s="1" t="s">
        <v>29</v>
      </c>
      <c r="O1551" s="1"/>
      <c r="P1551" s="11"/>
      <c r="Q1551" s="11"/>
      <c r="R1551" s="11"/>
      <c r="S1551" s="11"/>
      <c r="T1551" s="1"/>
      <c r="U1551" s="1"/>
      <c r="V1551" s="1"/>
      <c r="W1551" s="1"/>
      <c r="X1551" s="1"/>
      <c r="Y1551" s="1"/>
      <c r="Z1551" s="1"/>
    </row>
    <row r="1552" ht="18.0" hidden="1" customHeight="1" outlineLevel="2">
      <c r="A1552" s="26">
        <v>7.0</v>
      </c>
      <c r="B1552" s="26" t="s">
        <v>297</v>
      </c>
      <c r="C1552" s="1"/>
      <c r="D1552" s="38"/>
      <c r="E1552" s="14"/>
      <c r="F1552" s="15"/>
      <c r="G1552" s="16"/>
      <c r="H1552" s="11"/>
      <c r="I1552" s="7"/>
      <c r="J1552" s="7" t="s">
        <v>29</v>
      </c>
      <c r="K1552" s="17"/>
      <c r="L1552" s="17" t="s">
        <v>29</v>
      </c>
      <c r="M1552" s="1" t="s">
        <v>29</v>
      </c>
      <c r="N1552" s="1" t="s">
        <v>29</v>
      </c>
      <c r="O1552" s="1"/>
      <c r="P1552" s="11"/>
      <c r="Q1552" s="11"/>
      <c r="R1552" s="11"/>
      <c r="S1552" s="11"/>
      <c r="T1552" s="1"/>
      <c r="U1552" s="1"/>
      <c r="V1552" s="1"/>
      <c r="W1552" s="1"/>
      <c r="X1552" s="1"/>
      <c r="Y1552" s="1"/>
      <c r="Z1552" s="1"/>
    </row>
    <row r="1553" ht="18.0" hidden="1" customHeight="1" outlineLevel="2">
      <c r="A1553" s="26">
        <v>8.0</v>
      </c>
      <c r="B1553" s="1"/>
      <c r="C1553" s="1"/>
      <c r="D1553" s="38"/>
      <c r="E1553" s="14"/>
      <c r="F1553" s="15"/>
      <c r="G1553" s="16"/>
      <c r="H1553" s="11"/>
      <c r="I1553" s="7"/>
      <c r="J1553" s="7" t="s">
        <v>29</v>
      </c>
      <c r="K1553" s="17"/>
      <c r="L1553" s="17" t="s">
        <v>29</v>
      </c>
      <c r="M1553" s="1" t="s">
        <v>1798</v>
      </c>
      <c r="N1553" s="1" t="s">
        <v>29</v>
      </c>
      <c r="O1553" s="1"/>
      <c r="P1553" s="11"/>
      <c r="Q1553" s="11"/>
      <c r="R1553" s="11"/>
      <c r="S1553" s="11"/>
      <c r="T1553" s="1"/>
      <c r="U1553" s="1"/>
      <c r="V1553" s="1"/>
      <c r="W1553" s="1"/>
      <c r="X1553" s="1"/>
      <c r="Y1553" s="1"/>
      <c r="Z1553" s="1"/>
    </row>
    <row r="1554" ht="18.0" hidden="1" customHeight="1" outlineLevel="2">
      <c r="A1554" s="26">
        <v>9.0</v>
      </c>
      <c r="B1554" s="26" t="s">
        <v>1806</v>
      </c>
      <c r="C1554" s="1"/>
      <c r="D1554" s="38"/>
      <c r="E1554" s="29" t="s">
        <v>55</v>
      </c>
      <c r="F1554" s="15"/>
      <c r="G1554" s="16"/>
      <c r="H1554" s="22" t="s">
        <v>1807</v>
      </c>
      <c r="I1554" s="7"/>
      <c r="J1554" s="32" t="s">
        <v>1808</v>
      </c>
      <c r="K1554" s="17"/>
      <c r="L1554" s="17" t="b">
        <v>1</v>
      </c>
      <c r="M1554" s="1" t="s">
        <v>1798</v>
      </c>
      <c r="N1554" s="1" t="e">
        <v>#VALUE!</v>
      </c>
      <c r="O1554" s="1"/>
      <c r="P1554" s="11"/>
      <c r="Q1554" s="11"/>
      <c r="R1554" s="11"/>
      <c r="S1554" s="11"/>
      <c r="T1554" s="1"/>
      <c r="U1554" s="1"/>
      <c r="V1554" s="1"/>
      <c r="W1554" s="1"/>
      <c r="X1554" s="1"/>
      <c r="Y1554" s="1"/>
      <c r="Z1554" s="1"/>
    </row>
    <row r="1555" ht="18.0" hidden="1" customHeight="1" outlineLevel="2">
      <c r="A1555" s="26">
        <v>10.0</v>
      </c>
      <c r="B1555" s="26" t="s">
        <v>1809</v>
      </c>
      <c r="C1555" s="1"/>
      <c r="D1555" s="40" t="s">
        <v>1803</v>
      </c>
      <c r="E1555" s="29" t="s">
        <v>33</v>
      </c>
      <c r="F1555" s="15"/>
      <c r="G1555" s="30">
        <v>60.0</v>
      </c>
      <c r="H1555" s="22" t="s">
        <v>1810</v>
      </c>
      <c r="I1555" s="7"/>
      <c r="J1555" s="32" t="s">
        <v>1811</v>
      </c>
      <c r="K1555" s="17"/>
      <c r="L1555" s="17" t="b">
        <v>1</v>
      </c>
      <c r="M1555" s="1" t="s">
        <v>1798</v>
      </c>
      <c r="N1555" s="1" t="e">
        <v>#VALUE!</v>
      </c>
      <c r="O1555" s="1"/>
      <c r="P1555" s="11"/>
      <c r="Q1555" s="11"/>
      <c r="R1555" s="11"/>
      <c r="S1555" s="11"/>
      <c r="T1555" s="1"/>
      <c r="U1555" s="1"/>
      <c r="V1555" s="1"/>
      <c r="W1555" s="1"/>
      <c r="X1555" s="1"/>
      <c r="Y1555" s="1"/>
      <c r="Z1555" s="1"/>
    </row>
    <row r="1556" ht="18.0" customHeight="1" outlineLevel="1" collapsed="1">
      <c r="A1556" s="1"/>
      <c r="B1556" s="1"/>
      <c r="C1556" s="1"/>
      <c r="D1556" s="1"/>
      <c r="E1556" s="14"/>
      <c r="F1556" s="15"/>
      <c r="G1556" s="16"/>
      <c r="H1556" s="11"/>
      <c r="I1556" s="7"/>
      <c r="J1556" s="7" t="s">
        <v>29</v>
      </c>
      <c r="K1556" s="17"/>
      <c r="L1556" s="17" t="s">
        <v>29</v>
      </c>
      <c r="M1556" s="1" t="s">
        <v>1798</v>
      </c>
      <c r="N1556" s="1" t="s">
        <v>29</v>
      </c>
      <c r="O1556" s="1"/>
      <c r="P1556" s="11"/>
      <c r="Q1556" s="11"/>
      <c r="R1556" s="11"/>
      <c r="S1556" s="11"/>
      <c r="T1556" s="1"/>
      <c r="U1556" s="1"/>
      <c r="V1556" s="1"/>
      <c r="W1556" s="1"/>
      <c r="X1556" s="1"/>
      <c r="Y1556" s="1"/>
      <c r="Z1556" s="1"/>
    </row>
    <row r="1557" ht="18.0" customHeight="1" outlineLevel="1">
      <c r="A1557" s="1"/>
      <c r="B1557" s="1"/>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customHeight="1" outlineLevel="1">
      <c r="A1558" s="1"/>
      <c r="B1558" s="37" t="s">
        <v>1812</v>
      </c>
      <c r="C1558" s="1"/>
      <c r="D1558" s="1"/>
      <c r="E1558" s="14"/>
      <c r="F1558" s="15"/>
      <c r="G1558" s="16"/>
      <c r="H1558" s="11"/>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1.0</v>
      </c>
      <c r="B1559" s="1" t="s">
        <v>1813</v>
      </c>
      <c r="C1559" s="1"/>
      <c r="D1559" s="38" t="s">
        <v>370</v>
      </c>
      <c r="E1559" s="14" t="s">
        <v>55</v>
      </c>
      <c r="F1559" s="15"/>
      <c r="G1559" s="16"/>
      <c r="H1559" s="11" t="s">
        <v>1814</v>
      </c>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2.0</v>
      </c>
      <c r="B1560" s="26" t="s">
        <v>372</v>
      </c>
      <c r="C1560" s="1"/>
      <c r="D1560" s="38"/>
      <c r="E1560" s="14"/>
      <c r="F1560" s="15"/>
      <c r="G1560" s="16"/>
      <c r="H1560" s="11"/>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3.0</v>
      </c>
      <c r="B1561" s="1" t="s">
        <v>1815</v>
      </c>
      <c r="C1561" s="1"/>
      <c r="D1561" s="38" t="s">
        <v>370</v>
      </c>
      <c r="E1561" s="14" t="s">
        <v>33</v>
      </c>
      <c r="F1561" s="15">
        <v>5.0</v>
      </c>
      <c r="G1561" s="16">
        <v>20.0</v>
      </c>
      <c r="H1561" s="11" t="s">
        <v>1816</v>
      </c>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4.0</v>
      </c>
      <c r="B1562" s="1"/>
      <c r="C1562" s="1"/>
      <c r="D1562" s="38"/>
      <c r="E1562" s="14"/>
      <c r="F1562" s="15"/>
      <c r="G1562" s="16"/>
      <c r="H1562" s="11"/>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5.0</v>
      </c>
      <c r="B1563" s="26" t="s">
        <v>1500</v>
      </c>
      <c r="C1563" s="1"/>
      <c r="D1563" s="38"/>
      <c r="E1563" s="29" t="s">
        <v>55</v>
      </c>
      <c r="F1563" s="15"/>
      <c r="G1563" s="16"/>
      <c r="H1563" s="22" t="s">
        <v>1761</v>
      </c>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6.0</v>
      </c>
      <c r="B1564" s="1"/>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7.0</v>
      </c>
      <c r="B1565" s="26" t="s">
        <v>788</v>
      </c>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8.0</v>
      </c>
      <c r="B1566" s="1"/>
      <c r="C1566" s="1"/>
      <c r="D1566" s="38"/>
      <c r="E1566" s="14"/>
      <c r="F1566" s="15"/>
      <c r="G1566" s="16"/>
      <c r="H1566" s="11"/>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9.0</v>
      </c>
      <c r="B1567" s="1" t="s">
        <v>1817</v>
      </c>
      <c r="C1567" s="1"/>
      <c r="D1567" s="38"/>
      <c r="E1567" s="14" t="s">
        <v>55</v>
      </c>
      <c r="F1567" s="15"/>
      <c r="G1567" s="16"/>
      <c r="H1567" s="11" t="s">
        <v>1807</v>
      </c>
      <c r="I1567" s="7"/>
      <c r="J1567" s="7"/>
      <c r="K1567" s="17"/>
      <c r="L1567" s="17"/>
      <c r="M1567" s="1"/>
      <c r="N1567" s="1"/>
      <c r="O1567" s="1"/>
      <c r="P1567" s="11"/>
      <c r="Q1567" s="11"/>
      <c r="R1567" s="11"/>
      <c r="S1567" s="11"/>
      <c r="T1567" s="1"/>
      <c r="U1567" s="1"/>
      <c r="V1567" s="1"/>
      <c r="W1567" s="1"/>
      <c r="X1567" s="1"/>
      <c r="Y1567" s="1"/>
      <c r="Z1567" s="1"/>
    </row>
    <row r="1568" ht="18.0" hidden="1" customHeight="1" outlineLevel="2">
      <c r="A1568" s="1">
        <v>10.0</v>
      </c>
      <c r="B1568" s="1" t="s">
        <v>1818</v>
      </c>
      <c r="C1568" s="1"/>
      <c r="D1568" s="38" t="s">
        <v>370</v>
      </c>
      <c r="E1568" s="14" t="s">
        <v>33</v>
      </c>
      <c r="F1568" s="15"/>
      <c r="G1568" s="30">
        <v>60.0</v>
      </c>
      <c r="H1568" s="22" t="s">
        <v>1819</v>
      </c>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ht="18.0" customHeight="1" outlineLevel="1">
      <c r="A1570" s="1"/>
      <c r="B1570" s="1"/>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1">
      <c r="A1571" s="1"/>
      <c r="B1571" s="39" t="s">
        <v>1820</v>
      </c>
      <c r="C1571" s="1"/>
      <c r="D1571" s="1"/>
      <c r="E1571" s="14"/>
      <c r="F1571" s="15"/>
      <c r="G1571" s="16"/>
      <c r="H1571" s="11"/>
      <c r="I1571" s="7"/>
      <c r="J1571" s="7"/>
      <c r="K1571" s="17"/>
      <c r="L1571" s="17"/>
      <c r="M1571" s="1"/>
      <c r="N1571" s="1"/>
      <c r="O1571" s="1"/>
      <c r="P1571" s="11"/>
      <c r="Q1571" s="11"/>
      <c r="R1571" s="11"/>
      <c r="S1571" s="11"/>
      <c r="T1571" s="1"/>
      <c r="U1571" s="1"/>
      <c r="V1571" s="1"/>
      <c r="W1571" s="1"/>
      <c r="X1571" s="1"/>
      <c r="Y1571" s="1"/>
      <c r="Z1571" s="1"/>
    </row>
    <row r="1572" outlineLevel="2">
      <c r="A1572" s="26">
        <v>1.0</v>
      </c>
      <c r="B1572" s="26" t="s">
        <v>1821</v>
      </c>
      <c r="C1572" s="1"/>
      <c r="D1572" s="40"/>
      <c r="E1572" s="29" t="s">
        <v>55</v>
      </c>
      <c r="F1572" s="15"/>
      <c r="G1572" s="16"/>
      <c r="H1572" s="22" t="s">
        <v>1822</v>
      </c>
      <c r="I1572" s="7"/>
      <c r="J1572" s="32" t="s">
        <v>1823</v>
      </c>
      <c r="K1572" s="17"/>
      <c r="L1572" s="17"/>
      <c r="M1572" s="1"/>
      <c r="N1572" s="1"/>
      <c r="O1572" s="1"/>
      <c r="P1572" s="11"/>
      <c r="Q1572" s="11"/>
      <c r="R1572" s="11"/>
      <c r="S1572" s="11"/>
      <c r="T1572" s="1"/>
      <c r="U1572" s="1"/>
      <c r="V1572" s="1"/>
      <c r="W1572" s="1"/>
      <c r="X1572" s="1"/>
      <c r="Y1572" s="1"/>
      <c r="Z1572" s="1"/>
    </row>
    <row r="1573" outlineLevel="2">
      <c r="A1573" s="26">
        <v>2.0</v>
      </c>
      <c r="B1573" s="26"/>
      <c r="C1573" s="1"/>
      <c r="D1573" s="38"/>
      <c r="E1573" s="14"/>
      <c r="F1573" s="15"/>
      <c r="G1573" s="16"/>
      <c r="H1573" s="11"/>
      <c r="I1573" s="7"/>
      <c r="J1573" s="7"/>
      <c r="K1573" s="17"/>
      <c r="L1573" s="17"/>
      <c r="M1573" s="1"/>
      <c r="N1573" s="1"/>
      <c r="O1573" s="1"/>
      <c r="P1573" s="11"/>
      <c r="Q1573" s="11"/>
      <c r="R1573" s="11"/>
      <c r="S1573" s="11"/>
      <c r="T1573" s="1"/>
      <c r="U1573" s="1"/>
      <c r="V1573" s="1"/>
      <c r="W1573" s="1"/>
      <c r="X1573" s="1"/>
      <c r="Y1573" s="1"/>
      <c r="Z1573" s="1"/>
    </row>
    <row r="1574" outlineLevel="2">
      <c r="A1574" s="26">
        <v>3.0</v>
      </c>
      <c r="B1574" s="26" t="s">
        <v>1824</v>
      </c>
      <c r="C1574" s="1"/>
      <c r="D1574" s="40"/>
      <c r="E1574" s="29" t="s">
        <v>55</v>
      </c>
      <c r="F1574" s="34"/>
      <c r="G1574" s="30"/>
      <c r="H1574" s="22" t="s">
        <v>1825</v>
      </c>
      <c r="I1574" s="7"/>
      <c r="J1574" s="32" t="s">
        <v>1826</v>
      </c>
      <c r="K1574" s="17"/>
      <c r="L1574" s="17"/>
      <c r="M1574" s="1"/>
      <c r="N1574" s="1"/>
      <c r="O1574" s="1"/>
      <c r="P1574" s="11"/>
      <c r="Q1574" s="11"/>
      <c r="R1574" s="11"/>
      <c r="S1574" s="11"/>
      <c r="T1574" s="1"/>
      <c r="U1574" s="1"/>
      <c r="V1574" s="1"/>
      <c r="W1574" s="1"/>
      <c r="X1574" s="1"/>
      <c r="Y1574" s="1"/>
      <c r="Z1574" s="1"/>
    </row>
    <row r="1575" outlineLevel="2">
      <c r="A1575" s="26">
        <v>4.0</v>
      </c>
      <c r="B1575" s="1"/>
      <c r="C1575" s="1"/>
      <c r="D1575" s="38"/>
      <c r="E1575" s="14"/>
      <c r="F1575" s="15"/>
      <c r="G1575" s="16"/>
      <c r="H1575" s="11"/>
      <c r="I1575" s="7"/>
      <c r="J1575" s="7"/>
      <c r="K1575" s="17"/>
      <c r="L1575" s="17"/>
      <c r="M1575" s="1"/>
      <c r="N1575" s="1"/>
      <c r="O1575" s="1"/>
      <c r="P1575" s="11"/>
      <c r="Q1575" s="11"/>
      <c r="R1575" s="11"/>
      <c r="S1575" s="11"/>
      <c r="T1575" s="1"/>
      <c r="U1575" s="1"/>
      <c r="V1575" s="1"/>
      <c r="W1575" s="1"/>
      <c r="X1575" s="1"/>
      <c r="Y1575" s="1"/>
      <c r="Z1575" s="1"/>
    </row>
    <row r="1576" outlineLevel="2">
      <c r="A1576" s="26">
        <v>5.0</v>
      </c>
      <c r="B1576" s="26" t="s">
        <v>1827</v>
      </c>
      <c r="C1576" s="1"/>
      <c r="D1576" s="38"/>
      <c r="E1576" s="29" t="s">
        <v>55</v>
      </c>
      <c r="F1576" s="15"/>
      <c r="G1576" s="16"/>
      <c r="H1576" s="22" t="s">
        <v>1552</v>
      </c>
      <c r="I1576" s="7"/>
      <c r="J1576" s="32" t="s">
        <v>1828</v>
      </c>
      <c r="K1576" s="17"/>
      <c r="L1576" s="17"/>
      <c r="M1576" s="1"/>
      <c r="N1576" s="1"/>
      <c r="O1576" s="1"/>
      <c r="P1576" s="11"/>
      <c r="Q1576" s="11"/>
      <c r="R1576" s="11"/>
      <c r="S1576" s="11"/>
      <c r="T1576" s="1"/>
      <c r="U1576" s="1"/>
      <c r="V1576" s="1"/>
      <c r="W1576" s="1"/>
      <c r="X1576" s="1"/>
      <c r="Y1576" s="1"/>
      <c r="Z1576" s="1"/>
    </row>
    <row r="1577" outlineLevel="2">
      <c r="A1577" s="26">
        <v>6.0</v>
      </c>
      <c r="B1577" s="26"/>
      <c r="C1577" s="1"/>
      <c r="D1577" s="40"/>
      <c r="E1577" s="29"/>
      <c r="F1577" s="34"/>
      <c r="G1577" s="30"/>
      <c r="H1577" s="22"/>
      <c r="I1577" s="7"/>
      <c r="J1577" s="7"/>
      <c r="K1577" s="17"/>
      <c r="L1577" s="17"/>
      <c r="M1577" s="1"/>
      <c r="N1577" s="1"/>
      <c r="O1577" s="1"/>
      <c r="P1577" s="11"/>
      <c r="Q1577" s="11"/>
      <c r="R1577" s="11"/>
      <c r="S1577" s="11"/>
      <c r="T1577" s="1"/>
      <c r="U1577" s="1"/>
      <c r="V1577" s="1"/>
      <c r="W1577" s="1"/>
      <c r="X1577" s="1"/>
      <c r="Y1577" s="1"/>
      <c r="Z1577" s="1"/>
    </row>
    <row r="1578" outlineLevel="2">
      <c r="A1578" s="26">
        <v>7.0</v>
      </c>
      <c r="B1578" s="26" t="s">
        <v>1829</v>
      </c>
      <c r="C1578" s="1"/>
      <c r="D1578" s="38"/>
      <c r="E1578" s="29" t="s">
        <v>55</v>
      </c>
      <c r="F1578" s="15"/>
      <c r="G1578" s="16"/>
      <c r="H1578" s="22" t="s">
        <v>1830</v>
      </c>
      <c r="I1578" s="7"/>
      <c r="J1578" s="32" t="s">
        <v>1831</v>
      </c>
      <c r="K1578" s="17"/>
      <c r="L1578" s="17"/>
      <c r="M1578" s="1"/>
      <c r="N1578" s="1"/>
      <c r="O1578" s="1"/>
      <c r="P1578" s="11"/>
      <c r="Q1578" s="11"/>
      <c r="R1578" s="11"/>
      <c r="S1578" s="11"/>
      <c r="T1578" s="1"/>
      <c r="U1578" s="1"/>
      <c r="V1578" s="1"/>
      <c r="W1578" s="1"/>
      <c r="X1578" s="1"/>
      <c r="Y1578" s="1"/>
      <c r="Z1578" s="1"/>
    </row>
    <row r="1579" outlineLevel="2">
      <c r="A1579" s="26">
        <v>8.0</v>
      </c>
      <c r="B1579" s="1"/>
      <c r="C1579" s="1"/>
      <c r="D1579" s="38"/>
      <c r="E1579" s="14"/>
      <c r="F1579" s="15"/>
      <c r="G1579" s="16"/>
      <c r="H1579" s="11"/>
      <c r="I1579" s="7"/>
      <c r="J1579" s="7"/>
      <c r="K1579" s="17"/>
      <c r="L1579" s="17"/>
      <c r="M1579" s="1"/>
      <c r="N1579" s="1"/>
      <c r="O1579" s="1"/>
      <c r="P1579" s="11"/>
      <c r="Q1579" s="11"/>
      <c r="R1579" s="11"/>
      <c r="S1579" s="11"/>
      <c r="T1579" s="1"/>
      <c r="U1579" s="1"/>
      <c r="V1579" s="1"/>
      <c r="W1579" s="1"/>
      <c r="X1579" s="1"/>
      <c r="Y1579" s="1"/>
      <c r="Z1579" s="1"/>
    </row>
    <row r="1580" outlineLevel="2">
      <c r="A1580" s="26">
        <v>9.0</v>
      </c>
      <c r="B1580" s="26" t="s">
        <v>1832</v>
      </c>
      <c r="C1580" s="1"/>
      <c r="D1580" s="38"/>
      <c r="E1580" s="29" t="s">
        <v>55</v>
      </c>
      <c r="F1580" s="15"/>
      <c r="G1580" s="16"/>
      <c r="H1580" s="22" t="s">
        <v>1833</v>
      </c>
      <c r="I1580" s="7"/>
      <c r="J1580" s="32" t="s">
        <v>1834</v>
      </c>
      <c r="K1580" s="17"/>
      <c r="L1580" s="17"/>
      <c r="M1580" s="1"/>
      <c r="N1580" s="1"/>
      <c r="O1580" s="1"/>
      <c r="P1580" s="11"/>
      <c r="Q1580" s="11"/>
      <c r="R1580" s="11"/>
      <c r="S1580" s="11"/>
      <c r="T1580" s="1"/>
      <c r="U1580" s="1"/>
      <c r="V1580" s="1"/>
      <c r="W1580" s="1"/>
      <c r="X1580" s="1"/>
      <c r="Y1580" s="1"/>
      <c r="Z1580" s="1"/>
    </row>
    <row r="1581" outlineLevel="2">
      <c r="A1581" s="26">
        <v>10.0</v>
      </c>
      <c r="B1581" s="26" t="s">
        <v>1835</v>
      </c>
      <c r="C1581" s="1"/>
      <c r="D1581" s="40"/>
      <c r="E1581" s="29" t="s">
        <v>33</v>
      </c>
      <c r="F1581" s="15"/>
      <c r="G1581" s="30"/>
      <c r="H1581" s="22" t="s">
        <v>1836</v>
      </c>
      <c r="I1581" s="7"/>
      <c r="J1581" s="32" t="s">
        <v>1837</v>
      </c>
      <c r="K1581" s="17"/>
      <c r="L1581" s="17"/>
      <c r="M1581" s="1"/>
      <c r="N1581" s="1"/>
      <c r="O1581" s="1"/>
      <c r="P1581" s="11"/>
      <c r="Q1581" s="11"/>
      <c r="R1581" s="11"/>
      <c r="S1581" s="11"/>
      <c r="T1581" s="1"/>
      <c r="U1581" s="1"/>
      <c r="V1581" s="1"/>
      <c r="W1581" s="1"/>
      <c r="X1581" s="1"/>
      <c r="Y1581" s="1"/>
      <c r="Z1581" s="1"/>
    </row>
    <row r="1582" outlineLevel="2">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1"/>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1">
      <c r="A1584" s="1"/>
      <c r="B1584" s="39" t="s">
        <v>1838</v>
      </c>
      <c r="C1584" s="1"/>
      <c r="D1584" s="1"/>
      <c r="E1584" s="14"/>
      <c r="F1584" s="15"/>
      <c r="G1584" s="16"/>
      <c r="H1584" s="11"/>
      <c r="I1584" s="7"/>
      <c r="J1584" s="7"/>
      <c r="K1584" s="17"/>
      <c r="L1584" s="17"/>
      <c r="M1584" s="1"/>
      <c r="N1584" s="1"/>
      <c r="O1584" s="1"/>
      <c r="P1584" s="11"/>
      <c r="Q1584" s="11"/>
      <c r="R1584" s="11"/>
      <c r="S1584" s="11"/>
      <c r="T1584" s="1"/>
      <c r="U1584" s="1"/>
      <c r="V1584" s="1"/>
      <c r="W1584" s="1"/>
      <c r="X1584" s="1"/>
      <c r="Y1584" s="1"/>
      <c r="Z1584" s="1"/>
    </row>
    <row r="1585" outlineLevel="2">
      <c r="A1585" s="26">
        <v>1.0</v>
      </c>
      <c r="B1585" s="26" t="s">
        <v>1839</v>
      </c>
      <c r="C1585" s="1"/>
      <c r="D1585" s="40"/>
      <c r="E1585" s="29" t="s">
        <v>33</v>
      </c>
      <c r="F1585" s="15"/>
      <c r="G1585" s="16"/>
      <c r="H1585" s="22" t="s">
        <v>1840</v>
      </c>
      <c r="I1585" s="7"/>
      <c r="J1585" s="32" t="s">
        <v>1841</v>
      </c>
      <c r="K1585" s="17"/>
      <c r="L1585" s="17"/>
      <c r="M1585" s="1"/>
      <c r="N1585" s="1"/>
      <c r="O1585" s="1"/>
      <c r="P1585" s="11"/>
      <c r="Q1585" s="11"/>
      <c r="R1585" s="11"/>
      <c r="S1585" s="11"/>
      <c r="T1585" s="1"/>
      <c r="U1585" s="1"/>
      <c r="V1585" s="1"/>
      <c r="W1585" s="1"/>
      <c r="X1585" s="1"/>
      <c r="Y1585" s="1"/>
      <c r="Z1585" s="1"/>
    </row>
    <row r="1586" outlineLevel="2">
      <c r="A1586" s="26">
        <v>2.0</v>
      </c>
      <c r="B1586" s="26"/>
      <c r="C1586" s="1"/>
      <c r="D1586" s="38"/>
      <c r="E1586" s="14"/>
      <c r="F1586" s="15"/>
      <c r="G1586" s="16"/>
      <c r="H1586" s="11"/>
      <c r="I1586" s="7"/>
      <c r="J1586" s="7"/>
      <c r="K1586" s="17"/>
      <c r="L1586" s="17"/>
      <c r="M1586" s="1"/>
      <c r="N1586" s="1"/>
      <c r="O1586" s="1"/>
      <c r="P1586" s="11"/>
      <c r="Q1586" s="11"/>
      <c r="R1586" s="11"/>
      <c r="S1586" s="11"/>
      <c r="T1586" s="1"/>
      <c r="U1586" s="1"/>
      <c r="V1586" s="1"/>
      <c r="W1586" s="1"/>
      <c r="X1586" s="1"/>
      <c r="Y1586" s="1"/>
      <c r="Z1586" s="1"/>
    </row>
    <row r="1587" outlineLevel="2">
      <c r="A1587" s="26">
        <v>3.0</v>
      </c>
      <c r="B1587" s="26" t="s">
        <v>1842</v>
      </c>
      <c r="C1587" s="1"/>
      <c r="D1587" s="40"/>
      <c r="E1587" s="29" t="s">
        <v>55</v>
      </c>
      <c r="F1587" s="34"/>
      <c r="G1587" s="30"/>
      <c r="H1587" s="22" t="s">
        <v>1843</v>
      </c>
      <c r="I1587" s="7"/>
      <c r="J1587" s="32" t="s">
        <v>1844</v>
      </c>
      <c r="K1587" s="17"/>
      <c r="L1587" s="17"/>
      <c r="M1587" s="1"/>
      <c r="N1587" s="1"/>
      <c r="O1587" s="1"/>
      <c r="P1587" s="11"/>
      <c r="Q1587" s="11"/>
      <c r="R1587" s="11"/>
      <c r="S1587" s="11"/>
      <c r="T1587" s="1"/>
      <c r="U1587" s="1"/>
      <c r="V1587" s="1"/>
      <c r="W1587" s="1"/>
      <c r="X1587" s="1"/>
      <c r="Y1587" s="1"/>
      <c r="Z1587" s="1"/>
    </row>
    <row r="1588" outlineLevel="2">
      <c r="A1588" s="26">
        <v>4.0</v>
      </c>
      <c r="B1588" s="1"/>
      <c r="C1588" s="1"/>
      <c r="D1588" s="38"/>
      <c r="E1588" s="14"/>
      <c r="F1588" s="15"/>
      <c r="G1588" s="16"/>
      <c r="H1588" s="11"/>
      <c r="I1588" s="7"/>
      <c r="J1588" s="7"/>
      <c r="K1588" s="17"/>
      <c r="L1588" s="17"/>
      <c r="M1588" s="1"/>
      <c r="N1588" s="1"/>
      <c r="O1588" s="1"/>
      <c r="P1588" s="11"/>
      <c r="Q1588" s="11"/>
      <c r="R1588" s="11"/>
      <c r="S1588" s="11"/>
      <c r="T1588" s="1"/>
      <c r="U1588" s="1"/>
      <c r="V1588" s="1"/>
      <c r="W1588" s="1"/>
      <c r="X1588" s="1"/>
      <c r="Y1588" s="1"/>
      <c r="Z1588" s="1"/>
    </row>
    <row r="1589" outlineLevel="2">
      <c r="A1589" s="26">
        <v>5.0</v>
      </c>
      <c r="B1589" s="26" t="s">
        <v>1845</v>
      </c>
      <c r="C1589" s="1"/>
      <c r="D1589" s="38"/>
      <c r="E1589" s="29" t="s">
        <v>33</v>
      </c>
      <c r="F1589" s="15"/>
      <c r="G1589" s="16"/>
      <c r="H1589" s="22" t="s">
        <v>1846</v>
      </c>
      <c r="I1589" s="7"/>
      <c r="J1589" s="32" t="s">
        <v>1847</v>
      </c>
      <c r="K1589" s="17"/>
      <c r="L1589" s="17"/>
      <c r="M1589" s="1"/>
      <c r="N1589" s="1"/>
      <c r="O1589" s="1"/>
      <c r="P1589" s="11"/>
      <c r="Q1589" s="11"/>
      <c r="R1589" s="11"/>
      <c r="S1589" s="11"/>
      <c r="T1589" s="1"/>
      <c r="U1589" s="1"/>
      <c r="V1589" s="1"/>
      <c r="W1589" s="1"/>
      <c r="X1589" s="1"/>
      <c r="Y1589" s="1"/>
      <c r="Z1589" s="1"/>
    </row>
    <row r="1590" outlineLevel="2">
      <c r="A1590" s="26">
        <v>6.0</v>
      </c>
      <c r="B1590" s="26"/>
      <c r="C1590" s="1"/>
      <c r="D1590" s="40"/>
      <c r="E1590" s="29"/>
      <c r="F1590" s="34"/>
      <c r="G1590" s="30"/>
      <c r="H1590" s="22"/>
      <c r="I1590" s="7"/>
      <c r="J1590" s="7"/>
      <c r="K1590" s="17"/>
      <c r="L1590" s="17"/>
      <c r="M1590" s="1"/>
      <c r="N1590" s="1"/>
      <c r="O1590" s="1"/>
      <c r="P1590" s="11"/>
      <c r="Q1590" s="11"/>
      <c r="R1590" s="11"/>
      <c r="S1590" s="11"/>
      <c r="T1590" s="1"/>
      <c r="U1590" s="1"/>
      <c r="V1590" s="1"/>
      <c r="W1590" s="1"/>
      <c r="X1590" s="1"/>
      <c r="Y1590" s="1"/>
      <c r="Z1590" s="1"/>
    </row>
    <row r="1591" outlineLevel="2">
      <c r="A1591" s="26">
        <v>7.0</v>
      </c>
      <c r="B1591" s="26" t="s">
        <v>1848</v>
      </c>
      <c r="C1591" s="1"/>
      <c r="D1591" s="38"/>
      <c r="E1591" s="29" t="s">
        <v>55</v>
      </c>
      <c r="F1591" s="15"/>
      <c r="G1591" s="16"/>
      <c r="H1591" s="22" t="s">
        <v>1849</v>
      </c>
      <c r="I1591" s="7"/>
      <c r="J1591" s="32" t="s">
        <v>1850</v>
      </c>
      <c r="K1591" s="17"/>
      <c r="L1591" s="17"/>
      <c r="M1591" s="1"/>
      <c r="N1591" s="1"/>
      <c r="O1591" s="1"/>
      <c r="P1591" s="11"/>
      <c r="Q1591" s="11"/>
      <c r="R1591" s="11"/>
      <c r="S1591" s="11"/>
      <c r="T1591" s="1"/>
      <c r="U1591" s="1"/>
      <c r="V1591" s="1"/>
      <c r="W1591" s="1"/>
      <c r="X1591" s="1"/>
      <c r="Y1591" s="1"/>
      <c r="Z1591" s="1"/>
    </row>
    <row r="1592" outlineLevel="2">
      <c r="A1592" s="26">
        <v>8.0</v>
      </c>
      <c r="B1592" s="1"/>
      <c r="C1592" s="1"/>
      <c r="D1592" s="38"/>
      <c r="E1592" s="14"/>
      <c r="F1592" s="15"/>
      <c r="G1592" s="16"/>
      <c r="H1592" s="11"/>
      <c r="I1592" s="7"/>
      <c r="J1592" s="7"/>
      <c r="K1592" s="17"/>
      <c r="L1592" s="17"/>
      <c r="M1592" s="1"/>
      <c r="N1592" s="1"/>
      <c r="O1592" s="1"/>
      <c r="P1592" s="11"/>
      <c r="Q1592" s="11"/>
      <c r="R1592" s="11"/>
      <c r="S1592" s="11"/>
      <c r="T1592" s="1"/>
      <c r="U1592" s="1"/>
      <c r="V1592" s="1"/>
      <c r="W1592" s="1"/>
      <c r="X1592" s="1"/>
      <c r="Y1592" s="1"/>
      <c r="Z1592" s="1"/>
    </row>
    <row r="1593" outlineLevel="2">
      <c r="A1593" s="26">
        <v>9.0</v>
      </c>
      <c r="B1593" s="26" t="s">
        <v>1851</v>
      </c>
      <c r="C1593" s="1"/>
      <c r="D1593" s="38"/>
      <c r="E1593" s="29" t="s">
        <v>55</v>
      </c>
      <c r="F1593" s="15"/>
      <c r="G1593" s="16"/>
      <c r="H1593" s="22" t="s">
        <v>1852</v>
      </c>
      <c r="I1593" s="7"/>
      <c r="J1593" s="32" t="s">
        <v>1853</v>
      </c>
      <c r="K1593" s="17"/>
      <c r="L1593" s="17"/>
      <c r="M1593" s="1"/>
      <c r="N1593" s="1"/>
      <c r="O1593" s="1"/>
      <c r="P1593" s="11"/>
      <c r="Q1593" s="11"/>
      <c r="R1593" s="11"/>
      <c r="S1593" s="11"/>
      <c r="T1593" s="1"/>
      <c r="U1593" s="1"/>
      <c r="V1593" s="1"/>
      <c r="W1593" s="1"/>
      <c r="X1593" s="1"/>
      <c r="Y1593" s="1"/>
      <c r="Z1593" s="1"/>
    </row>
    <row r="1594" outlineLevel="2">
      <c r="A1594" s="26">
        <v>10.0</v>
      </c>
      <c r="B1594" s="26" t="s">
        <v>1854</v>
      </c>
      <c r="C1594" s="1"/>
      <c r="D1594" s="40"/>
      <c r="E1594" s="29" t="s">
        <v>55</v>
      </c>
      <c r="F1594" s="15"/>
      <c r="G1594" s="30"/>
      <c r="H1594" s="22" t="s">
        <v>1855</v>
      </c>
      <c r="I1594" s="7"/>
      <c r="J1594" s="32" t="s">
        <v>1856</v>
      </c>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1"/>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1">
      <c r="A1597" s="1"/>
      <c r="B1597" s="39" t="s">
        <v>1857</v>
      </c>
      <c r="C1597" s="1"/>
      <c r="D1597" s="1"/>
      <c r="E1597" s="14"/>
      <c r="F1597" s="15"/>
      <c r="G1597" s="16"/>
      <c r="H1597" s="11"/>
      <c r="I1597" s="7"/>
      <c r="J1597" s="7"/>
      <c r="K1597" s="17"/>
      <c r="L1597" s="17"/>
      <c r="M1597" s="1"/>
      <c r="N1597" s="1"/>
      <c r="O1597" s="1"/>
      <c r="P1597" s="11"/>
      <c r="Q1597" s="11"/>
      <c r="R1597" s="11"/>
      <c r="S1597" s="11"/>
      <c r="T1597" s="1"/>
      <c r="U1597" s="1"/>
      <c r="V1597" s="1"/>
      <c r="W1597" s="1"/>
      <c r="X1597" s="1"/>
      <c r="Y1597" s="1"/>
      <c r="Z1597" s="1"/>
    </row>
    <row r="1598" outlineLevel="2">
      <c r="A1598" s="26">
        <v>1.0</v>
      </c>
      <c r="B1598" s="26" t="s">
        <v>1858</v>
      </c>
      <c r="C1598" s="1"/>
      <c r="D1598" s="40"/>
      <c r="E1598" s="29" t="s">
        <v>55</v>
      </c>
      <c r="F1598" s="15"/>
      <c r="G1598" s="16"/>
      <c r="H1598" s="22" t="s">
        <v>1859</v>
      </c>
      <c r="I1598" s="7"/>
      <c r="J1598" s="32" t="s">
        <v>1860</v>
      </c>
      <c r="K1598" s="17"/>
      <c r="L1598" s="17"/>
      <c r="M1598" s="1"/>
      <c r="N1598" s="1"/>
      <c r="O1598" s="1"/>
      <c r="P1598" s="11"/>
      <c r="Q1598" s="11"/>
      <c r="R1598" s="11"/>
      <c r="S1598" s="11"/>
      <c r="T1598" s="1"/>
      <c r="U1598" s="1"/>
      <c r="V1598" s="1"/>
      <c r="W1598" s="1"/>
      <c r="X1598" s="1"/>
      <c r="Y1598" s="1"/>
      <c r="Z1598" s="1"/>
    </row>
    <row r="1599" outlineLevel="2">
      <c r="A1599" s="26">
        <v>2.0</v>
      </c>
      <c r="B1599" s="26"/>
      <c r="C1599" s="1"/>
      <c r="D1599" s="38"/>
      <c r="E1599" s="14"/>
      <c r="F1599" s="15"/>
      <c r="G1599" s="16"/>
      <c r="H1599" s="11"/>
      <c r="I1599" s="7"/>
      <c r="J1599" s="7"/>
      <c r="K1599" s="17"/>
      <c r="L1599" s="17"/>
      <c r="M1599" s="1"/>
      <c r="N1599" s="1"/>
      <c r="O1599" s="1"/>
      <c r="P1599" s="11"/>
      <c r="Q1599" s="11"/>
      <c r="R1599" s="11"/>
      <c r="S1599" s="11"/>
      <c r="T1599" s="1"/>
      <c r="U1599" s="1"/>
      <c r="V1599" s="1"/>
      <c r="W1599" s="1"/>
      <c r="X1599" s="1"/>
      <c r="Y1599" s="1"/>
      <c r="Z1599" s="1"/>
    </row>
    <row r="1600" outlineLevel="2">
      <c r="A1600" s="26">
        <v>3.0</v>
      </c>
      <c r="B1600" s="26" t="s">
        <v>1861</v>
      </c>
      <c r="C1600" s="1"/>
      <c r="D1600" s="40"/>
      <c r="E1600" s="29" t="s">
        <v>33</v>
      </c>
      <c r="F1600" s="34"/>
      <c r="G1600" s="30"/>
      <c r="H1600" s="22" t="s">
        <v>1862</v>
      </c>
      <c r="I1600" s="7"/>
      <c r="J1600" s="32" t="s">
        <v>1863</v>
      </c>
      <c r="K1600" s="17"/>
      <c r="L1600" s="17"/>
      <c r="M1600" s="1"/>
      <c r="N1600" s="1"/>
      <c r="O1600" s="1"/>
      <c r="P1600" s="11"/>
      <c r="Q1600" s="11"/>
      <c r="R1600" s="11"/>
      <c r="S1600" s="11"/>
      <c r="T1600" s="1"/>
      <c r="U1600" s="1"/>
      <c r="V1600" s="1"/>
      <c r="W1600" s="1"/>
      <c r="X1600" s="1"/>
      <c r="Y1600" s="1"/>
      <c r="Z1600" s="1"/>
    </row>
    <row r="1601" outlineLevel="2">
      <c r="A1601" s="26">
        <v>4.0</v>
      </c>
      <c r="B1601" s="1"/>
      <c r="C1601" s="1"/>
      <c r="D1601" s="38"/>
      <c r="E1601" s="14"/>
      <c r="F1601" s="15"/>
      <c r="G1601" s="16"/>
      <c r="H1601" s="11"/>
      <c r="I1601" s="7"/>
      <c r="J1601" s="7"/>
      <c r="K1601" s="17"/>
      <c r="L1601" s="17"/>
      <c r="M1601" s="1"/>
      <c r="N1601" s="1"/>
      <c r="O1601" s="1"/>
      <c r="P1601" s="11"/>
      <c r="Q1601" s="11"/>
      <c r="R1601" s="11"/>
      <c r="S1601" s="11"/>
      <c r="T1601" s="1"/>
      <c r="U1601" s="1"/>
      <c r="V1601" s="1"/>
      <c r="W1601" s="1"/>
      <c r="X1601" s="1"/>
      <c r="Y1601" s="1"/>
      <c r="Z1601" s="1"/>
    </row>
    <row r="1602" outlineLevel="2">
      <c r="A1602" s="26">
        <v>5.0</v>
      </c>
      <c r="B1602" s="26" t="s">
        <v>1864</v>
      </c>
      <c r="C1602" s="1"/>
      <c r="D1602" s="38"/>
      <c r="E1602" s="29" t="s">
        <v>55</v>
      </c>
      <c r="F1602" s="15"/>
      <c r="G1602" s="16"/>
      <c r="H1602" s="22" t="s">
        <v>1865</v>
      </c>
      <c r="I1602" s="7"/>
      <c r="J1602" s="32" t="s">
        <v>1866</v>
      </c>
      <c r="K1602" s="17"/>
      <c r="L1602" s="17"/>
      <c r="M1602" s="1"/>
      <c r="N1602" s="1"/>
      <c r="O1602" s="1"/>
      <c r="P1602" s="11"/>
      <c r="Q1602" s="11"/>
      <c r="R1602" s="11"/>
      <c r="S1602" s="11"/>
      <c r="T1602" s="1"/>
      <c r="U1602" s="1"/>
      <c r="V1602" s="1"/>
      <c r="W1602" s="1"/>
      <c r="X1602" s="1"/>
      <c r="Y1602" s="1"/>
      <c r="Z1602" s="1"/>
    </row>
    <row r="1603" outlineLevel="2">
      <c r="A1603" s="26">
        <v>6.0</v>
      </c>
      <c r="B1603" s="26"/>
      <c r="C1603" s="1"/>
      <c r="D1603" s="40"/>
      <c r="E1603" s="29"/>
      <c r="F1603" s="34"/>
      <c r="G1603" s="30"/>
      <c r="H1603" s="22"/>
      <c r="I1603" s="7"/>
      <c r="J1603" s="7"/>
      <c r="K1603" s="17"/>
      <c r="L1603" s="17"/>
      <c r="M1603" s="1"/>
      <c r="N1603" s="1"/>
      <c r="O1603" s="1"/>
      <c r="P1603" s="11"/>
      <c r="Q1603" s="11"/>
      <c r="R1603" s="11"/>
      <c r="S1603" s="11"/>
      <c r="T1603" s="1"/>
      <c r="U1603" s="1"/>
      <c r="V1603" s="1"/>
      <c r="W1603" s="1"/>
      <c r="X1603" s="1"/>
      <c r="Y1603" s="1"/>
      <c r="Z1603" s="1"/>
    </row>
    <row r="1604" outlineLevel="2">
      <c r="A1604" s="26">
        <v>7.0</v>
      </c>
      <c r="B1604" s="26" t="s">
        <v>1867</v>
      </c>
      <c r="C1604" s="1"/>
      <c r="D1604" s="38"/>
      <c r="E1604" s="29" t="s">
        <v>55</v>
      </c>
      <c r="F1604" s="15"/>
      <c r="G1604" s="16"/>
      <c r="H1604" s="22" t="s">
        <v>1868</v>
      </c>
      <c r="I1604" s="7"/>
      <c r="J1604" s="32" t="s">
        <v>1869</v>
      </c>
      <c r="K1604" s="17"/>
      <c r="L1604" s="17"/>
      <c r="M1604" s="1"/>
      <c r="N1604" s="1"/>
      <c r="O1604" s="1"/>
      <c r="P1604" s="11"/>
      <c r="Q1604" s="11"/>
      <c r="R1604" s="11"/>
      <c r="S1604" s="11"/>
      <c r="T1604" s="1"/>
      <c r="U1604" s="1"/>
      <c r="V1604" s="1"/>
      <c r="W1604" s="1"/>
      <c r="X1604" s="1"/>
      <c r="Y1604" s="1"/>
      <c r="Z1604" s="1"/>
    </row>
    <row r="1605" outlineLevel="2">
      <c r="A1605" s="26">
        <v>8.0</v>
      </c>
      <c r="B1605" s="1"/>
      <c r="C1605" s="1"/>
      <c r="D1605" s="38"/>
      <c r="E1605" s="14"/>
      <c r="F1605" s="15"/>
      <c r="G1605" s="16"/>
      <c r="H1605" s="11"/>
      <c r="I1605" s="7"/>
      <c r="J1605" s="7"/>
      <c r="K1605" s="17"/>
      <c r="L1605" s="17"/>
      <c r="M1605" s="1"/>
      <c r="N1605" s="1"/>
      <c r="O1605" s="1"/>
      <c r="P1605" s="11"/>
      <c r="Q1605" s="11"/>
      <c r="R1605" s="11"/>
      <c r="S1605" s="11"/>
      <c r="T1605" s="1"/>
      <c r="U1605" s="1"/>
      <c r="V1605" s="1"/>
      <c r="W1605" s="1"/>
      <c r="X1605" s="1"/>
      <c r="Y1605" s="1"/>
      <c r="Z1605" s="1"/>
    </row>
    <row r="1606" outlineLevel="2">
      <c r="A1606" s="26">
        <v>9.0</v>
      </c>
      <c r="B1606" s="26" t="s">
        <v>1870</v>
      </c>
      <c r="C1606" s="1"/>
      <c r="D1606" s="38"/>
      <c r="E1606" s="29" t="s">
        <v>55</v>
      </c>
      <c r="F1606" s="15"/>
      <c r="G1606" s="16"/>
      <c r="H1606" s="22" t="s">
        <v>1871</v>
      </c>
      <c r="I1606" s="7"/>
      <c r="J1606" s="32" t="s">
        <v>1872</v>
      </c>
      <c r="K1606" s="17"/>
      <c r="L1606" s="17"/>
      <c r="M1606" s="1"/>
      <c r="N1606" s="1"/>
      <c r="O1606" s="1"/>
      <c r="P1606" s="11"/>
      <c r="Q1606" s="11"/>
      <c r="R1606" s="11"/>
      <c r="S1606" s="11"/>
      <c r="T1606" s="1"/>
      <c r="U1606" s="1"/>
      <c r="V1606" s="1"/>
      <c r="W1606" s="1"/>
      <c r="X1606" s="1"/>
      <c r="Y1606" s="1"/>
      <c r="Z1606" s="1"/>
    </row>
    <row r="1607" outlineLevel="2">
      <c r="A1607" s="26">
        <v>10.0</v>
      </c>
      <c r="B1607" s="26" t="s">
        <v>1873</v>
      </c>
      <c r="C1607" s="1"/>
      <c r="D1607" s="40"/>
      <c r="E1607" s="29" t="s">
        <v>55</v>
      </c>
      <c r="F1607" s="15"/>
      <c r="G1607" s="30"/>
      <c r="H1607" s="22" t="s">
        <v>1874</v>
      </c>
      <c r="I1607" s="7"/>
      <c r="J1607" s="32" t="s">
        <v>1875</v>
      </c>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1"/>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1">
      <c r="A1610" s="1"/>
      <c r="B1610" s="41" t="s">
        <v>1876</v>
      </c>
      <c r="C1610" s="1"/>
      <c r="D1610" s="1"/>
      <c r="E1610" s="14"/>
      <c r="F1610" s="15"/>
      <c r="G1610" s="16"/>
      <c r="H1610" s="11"/>
      <c r="I1610" s="7"/>
      <c r="J1610" s="7"/>
      <c r="K1610" s="17"/>
      <c r="L1610" s="17"/>
      <c r="M1610" s="1"/>
      <c r="N1610" s="1"/>
      <c r="O1610" s="1"/>
      <c r="P1610" s="11"/>
      <c r="Q1610" s="11"/>
      <c r="R1610" s="11"/>
      <c r="S1610" s="11"/>
      <c r="T1610" s="1"/>
      <c r="U1610" s="1"/>
      <c r="V1610" s="1"/>
      <c r="W1610" s="1"/>
      <c r="X1610" s="1"/>
      <c r="Y1610" s="1"/>
      <c r="Z1610" s="1"/>
    </row>
    <row r="1611" outlineLevel="2">
      <c r="A1611" s="26">
        <v>1.0</v>
      </c>
      <c r="B1611" s="26" t="s">
        <v>1877</v>
      </c>
      <c r="C1611" s="1"/>
      <c r="D1611" s="40"/>
      <c r="E1611" s="29" t="s">
        <v>55</v>
      </c>
      <c r="F1611" s="15"/>
      <c r="G1611" s="16"/>
      <c r="H1611" s="22" t="s">
        <v>1878</v>
      </c>
      <c r="I1611" s="7"/>
      <c r="J1611" s="32" t="s">
        <v>1879</v>
      </c>
      <c r="K1611" s="17"/>
      <c r="L1611" s="17"/>
      <c r="M1611" s="1"/>
      <c r="N1611" s="1"/>
      <c r="O1611" s="1"/>
      <c r="P1611" s="11"/>
      <c r="Q1611" s="11"/>
      <c r="R1611" s="11"/>
      <c r="S1611" s="11"/>
      <c r="T1611" s="1"/>
      <c r="U1611" s="1"/>
      <c r="V1611" s="1"/>
      <c r="W1611" s="1"/>
      <c r="X1611" s="1"/>
      <c r="Y1611" s="1"/>
      <c r="Z1611" s="1"/>
    </row>
    <row r="1612" outlineLevel="2">
      <c r="A1612" s="26">
        <v>2.0</v>
      </c>
      <c r="B1612" s="26"/>
      <c r="C1612" s="1"/>
      <c r="D1612" s="38"/>
      <c r="E1612" s="14"/>
      <c r="F1612" s="15"/>
      <c r="G1612" s="16"/>
      <c r="H1612" s="11"/>
      <c r="I1612" s="7"/>
      <c r="J1612" s="7"/>
      <c r="K1612" s="17"/>
      <c r="L1612" s="17"/>
      <c r="M1612" s="1"/>
      <c r="N1612" s="1"/>
      <c r="O1612" s="1"/>
      <c r="P1612" s="11"/>
      <c r="Q1612" s="11"/>
      <c r="R1612" s="11"/>
      <c r="S1612" s="11"/>
      <c r="T1612" s="1"/>
      <c r="U1612" s="1"/>
      <c r="V1612" s="1"/>
      <c r="W1612" s="1"/>
      <c r="X1612" s="1"/>
      <c r="Y1612" s="1"/>
      <c r="Z1612" s="1"/>
    </row>
    <row r="1613" outlineLevel="2">
      <c r="A1613" s="26">
        <v>3.0</v>
      </c>
      <c r="B1613" s="26" t="s">
        <v>1880</v>
      </c>
      <c r="C1613" s="1"/>
      <c r="D1613" s="40"/>
      <c r="E1613" s="29" t="s">
        <v>33</v>
      </c>
      <c r="F1613" s="34"/>
      <c r="G1613" s="30"/>
      <c r="H1613" s="22" t="s">
        <v>1881</v>
      </c>
      <c r="I1613" s="7"/>
      <c r="J1613" s="32" t="s">
        <v>1882</v>
      </c>
      <c r="K1613" s="17"/>
      <c r="L1613" s="17"/>
      <c r="M1613" s="1"/>
      <c r="N1613" s="1"/>
      <c r="O1613" s="1"/>
      <c r="P1613" s="11"/>
      <c r="Q1613" s="11"/>
      <c r="R1613" s="11"/>
      <c r="S1613" s="11"/>
      <c r="T1613" s="1"/>
      <c r="U1613" s="1"/>
      <c r="V1613" s="1"/>
      <c r="W1613" s="1"/>
      <c r="X1613" s="1"/>
      <c r="Y1613" s="1"/>
      <c r="Z1613" s="1"/>
    </row>
    <row r="1614" outlineLevel="2">
      <c r="A1614" s="26">
        <v>4.0</v>
      </c>
      <c r="B1614" s="1"/>
      <c r="C1614" s="1"/>
      <c r="D1614" s="38"/>
      <c r="E1614" s="14"/>
      <c r="F1614" s="15"/>
      <c r="G1614" s="16"/>
      <c r="H1614" s="11"/>
      <c r="I1614" s="7"/>
      <c r="J1614" s="7"/>
      <c r="K1614" s="17"/>
      <c r="L1614" s="17"/>
      <c r="M1614" s="1"/>
      <c r="N1614" s="1"/>
      <c r="O1614" s="1"/>
      <c r="P1614" s="11"/>
      <c r="Q1614" s="11"/>
      <c r="R1614" s="11"/>
      <c r="S1614" s="11"/>
      <c r="T1614" s="1"/>
      <c r="U1614" s="1"/>
      <c r="V1614" s="1"/>
      <c r="W1614" s="1"/>
      <c r="X1614" s="1"/>
      <c r="Y1614" s="1"/>
      <c r="Z1614" s="1"/>
    </row>
    <row r="1615" outlineLevel="2">
      <c r="A1615" s="26">
        <v>5.0</v>
      </c>
      <c r="B1615" s="26" t="s">
        <v>1883</v>
      </c>
      <c r="C1615" s="1"/>
      <c r="D1615" s="38"/>
      <c r="E1615" s="29" t="s">
        <v>55</v>
      </c>
      <c r="F1615" s="15"/>
      <c r="G1615" s="16"/>
      <c r="H1615" s="22" t="s">
        <v>1884</v>
      </c>
      <c r="I1615" s="7"/>
      <c r="J1615" s="32" t="s">
        <v>1885</v>
      </c>
      <c r="K1615" s="17"/>
      <c r="L1615" s="17"/>
      <c r="M1615" s="1"/>
      <c r="N1615" s="1"/>
      <c r="O1615" s="1"/>
      <c r="P1615" s="11"/>
      <c r="Q1615" s="11"/>
      <c r="R1615" s="11"/>
      <c r="S1615" s="11"/>
      <c r="T1615" s="1"/>
      <c r="U1615" s="1"/>
      <c r="V1615" s="1"/>
      <c r="W1615" s="1"/>
      <c r="X1615" s="1"/>
      <c r="Y1615" s="1"/>
      <c r="Z1615" s="1"/>
    </row>
    <row r="1616" outlineLevel="2">
      <c r="A1616" s="26">
        <v>6.0</v>
      </c>
      <c r="B1616" s="26"/>
      <c r="C1616" s="1"/>
      <c r="D1616" s="40"/>
      <c r="E1616" s="29"/>
      <c r="F1616" s="34"/>
      <c r="G1616" s="30"/>
      <c r="H1616" s="22"/>
      <c r="I1616" s="7"/>
      <c r="J1616" s="7"/>
      <c r="K1616" s="17"/>
      <c r="L1616" s="17"/>
      <c r="M1616" s="1"/>
      <c r="N1616" s="1"/>
      <c r="O1616" s="1"/>
      <c r="P1616" s="11"/>
      <c r="Q1616" s="11"/>
      <c r="R1616" s="11"/>
      <c r="S1616" s="11"/>
      <c r="T1616" s="1"/>
      <c r="U1616" s="1"/>
      <c r="V1616" s="1"/>
      <c r="W1616" s="1"/>
      <c r="X1616" s="1"/>
      <c r="Y1616" s="1"/>
      <c r="Z1616" s="1"/>
    </row>
    <row r="1617" outlineLevel="2">
      <c r="A1617" s="26">
        <v>7.0</v>
      </c>
      <c r="B1617" s="26" t="s">
        <v>1886</v>
      </c>
      <c r="C1617" s="1"/>
      <c r="D1617" s="38"/>
      <c r="E1617" s="29" t="s">
        <v>33</v>
      </c>
      <c r="F1617" s="15"/>
      <c r="G1617" s="16"/>
      <c r="H1617" s="22" t="s">
        <v>1887</v>
      </c>
      <c r="I1617" s="7"/>
      <c r="J1617" s="32" t="s">
        <v>1888</v>
      </c>
      <c r="K1617" s="17"/>
      <c r="L1617" s="17"/>
      <c r="M1617" s="1"/>
      <c r="N1617" s="1"/>
      <c r="O1617" s="1"/>
      <c r="P1617" s="11"/>
      <c r="Q1617" s="11"/>
      <c r="R1617" s="11"/>
      <c r="S1617" s="11"/>
      <c r="T1617" s="1"/>
      <c r="U1617" s="1"/>
      <c r="V1617" s="1"/>
      <c r="W1617" s="1"/>
      <c r="X1617" s="1"/>
      <c r="Y1617" s="1"/>
      <c r="Z1617" s="1"/>
    </row>
    <row r="1618" outlineLevel="2">
      <c r="A1618" s="26">
        <v>8.0</v>
      </c>
      <c r="B1618" s="1"/>
      <c r="C1618" s="1"/>
      <c r="D1618" s="38"/>
      <c r="E1618" s="14"/>
      <c r="F1618" s="15"/>
      <c r="G1618" s="16"/>
      <c r="H1618" s="11"/>
      <c r="I1618" s="7"/>
      <c r="J1618" s="7"/>
      <c r="K1618" s="17"/>
      <c r="L1618" s="17"/>
      <c r="M1618" s="1"/>
      <c r="N1618" s="1"/>
      <c r="O1618" s="1"/>
      <c r="P1618" s="11"/>
      <c r="Q1618" s="11"/>
      <c r="R1618" s="11"/>
      <c r="S1618" s="11"/>
      <c r="T1618" s="1"/>
      <c r="U1618" s="1"/>
      <c r="V1618" s="1"/>
      <c r="W1618" s="1"/>
      <c r="X1618" s="1"/>
      <c r="Y1618" s="1"/>
      <c r="Z1618" s="1"/>
    </row>
    <row r="1619" outlineLevel="2">
      <c r="A1619" s="26">
        <v>9.0</v>
      </c>
      <c r="B1619" s="26" t="s">
        <v>1889</v>
      </c>
      <c r="C1619" s="1"/>
      <c r="D1619" s="38"/>
      <c r="E1619" s="29" t="s">
        <v>33</v>
      </c>
      <c r="F1619" s="15"/>
      <c r="G1619" s="16"/>
      <c r="H1619" s="22" t="s">
        <v>1890</v>
      </c>
      <c r="I1619" s="7"/>
      <c r="J1619" s="32" t="s">
        <v>1891</v>
      </c>
      <c r="K1619" s="17"/>
      <c r="L1619" s="17"/>
      <c r="M1619" s="1"/>
      <c r="N1619" s="1"/>
      <c r="O1619" s="1"/>
      <c r="P1619" s="11"/>
      <c r="Q1619" s="11"/>
      <c r="R1619" s="11"/>
      <c r="S1619" s="11"/>
      <c r="T1619" s="1"/>
      <c r="U1619" s="1"/>
      <c r="V1619" s="1"/>
      <c r="W1619" s="1"/>
      <c r="X1619" s="1"/>
      <c r="Y1619" s="1"/>
      <c r="Z1619" s="1"/>
    </row>
    <row r="1620" outlineLevel="2">
      <c r="A1620" s="26">
        <v>10.0</v>
      </c>
      <c r="B1620" s="26" t="s">
        <v>1892</v>
      </c>
      <c r="C1620" s="1"/>
      <c r="D1620" s="40"/>
      <c r="E1620" s="29" t="s">
        <v>55</v>
      </c>
      <c r="F1620" s="15"/>
      <c r="G1620" s="30"/>
      <c r="H1620" s="22" t="s">
        <v>1545</v>
      </c>
      <c r="I1620" s="7"/>
      <c r="J1620" s="32" t="s">
        <v>1893</v>
      </c>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1"/>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1">
      <c r="A1623" s="1"/>
      <c r="B1623" s="39" t="s">
        <v>1894</v>
      </c>
      <c r="C1623" s="1"/>
      <c r="D1623" s="1"/>
      <c r="E1623" s="14"/>
      <c r="F1623" s="15"/>
      <c r="G1623" s="16"/>
      <c r="H1623" s="11"/>
      <c r="I1623" s="7"/>
      <c r="J1623" s="7"/>
      <c r="K1623" s="17"/>
      <c r="L1623" s="17"/>
      <c r="M1623" s="1"/>
      <c r="N1623" s="1"/>
      <c r="O1623" s="1"/>
      <c r="P1623" s="11"/>
      <c r="Q1623" s="11"/>
      <c r="R1623" s="11"/>
      <c r="S1623" s="11"/>
      <c r="T1623" s="1"/>
      <c r="U1623" s="1"/>
      <c r="V1623" s="1"/>
      <c r="W1623" s="1"/>
      <c r="X1623" s="1"/>
      <c r="Y1623" s="1"/>
      <c r="Z1623" s="1"/>
    </row>
    <row r="1624" outlineLevel="2">
      <c r="A1624" s="26">
        <v>1.0</v>
      </c>
      <c r="B1624" s="26" t="s">
        <v>1895</v>
      </c>
      <c r="C1624" s="1"/>
      <c r="D1624" s="40"/>
      <c r="E1624" s="29" t="s">
        <v>55</v>
      </c>
      <c r="F1624" s="15"/>
      <c r="G1624" s="16"/>
      <c r="H1624" s="22" t="s">
        <v>1896</v>
      </c>
      <c r="I1624" s="7"/>
      <c r="J1624" s="32" t="s">
        <v>1897</v>
      </c>
      <c r="K1624" s="17"/>
      <c r="L1624" s="17"/>
      <c r="M1624" s="1"/>
      <c r="N1624" s="1"/>
      <c r="O1624" s="1"/>
      <c r="P1624" s="11"/>
      <c r="Q1624" s="11"/>
      <c r="R1624" s="11"/>
      <c r="S1624" s="11"/>
      <c r="T1624" s="1"/>
      <c r="U1624" s="1"/>
      <c r="V1624" s="1"/>
      <c r="W1624" s="1"/>
      <c r="X1624" s="1"/>
      <c r="Y1624" s="1"/>
      <c r="Z1624" s="1"/>
    </row>
    <row r="1625" outlineLevel="2">
      <c r="A1625" s="26">
        <v>2.0</v>
      </c>
      <c r="B1625" s="26"/>
      <c r="C1625" s="1"/>
      <c r="D1625" s="38"/>
      <c r="E1625" s="14"/>
      <c r="F1625" s="15"/>
      <c r="G1625" s="16"/>
      <c r="H1625" s="11"/>
      <c r="I1625" s="7"/>
      <c r="J1625" s="7"/>
      <c r="K1625" s="17"/>
      <c r="L1625" s="17"/>
      <c r="M1625" s="1"/>
      <c r="N1625" s="1"/>
      <c r="O1625" s="1"/>
      <c r="P1625" s="11"/>
      <c r="Q1625" s="11"/>
      <c r="R1625" s="11"/>
      <c r="S1625" s="11"/>
      <c r="T1625" s="1"/>
      <c r="U1625" s="1"/>
      <c r="V1625" s="1"/>
      <c r="W1625" s="1"/>
      <c r="X1625" s="1"/>
      <c r="Y1625" s="1"/>
      <c r="Z1625" s="1"/>
    </row>
    <row r="1626" outlineLevel="2">
      <c r="A1626" s="26">
        <v>3.0</v>
      </c>
      <c r="B1626" s="26" t="s">
        <v>1898</v>
      </c>
      <c r="C1626" s="1"/>
      <c r="D1626" s="40"/>
      <c r="E1626" s="29" t="s">
        <v>55</v>
      </c>
      <c r="F1626" s="34"/>
      <c r="G1626" s="30"/>
      <c r="H1626" s="22" t="s">
        <v>1899</v>
      </c>
      <c r="I1626" s="7"/>
      <c r="J1626" s="32" t="s">
        <v>1900</v>
      </c>
      <c r="K1626" s="17"/>
      <c r="L1626" s="17"/>
      <c r="M1626" s="1"/>
      <c r="N1626" s="1"/>
      <c r="O1626" s="1"/>
      <c r="P1626" s="11"/>
      <c r="Q1626" s="11"/>
      <c r="R1626" s="11"/>
      <c r="S1626" s="11"/>
      <c r="T1626" s="1"/>
      <c r="U1626" s="1"/>
      <c r="V1626" s="1"/>
      <c r="W1626" s="1"/>
      <c r="X1626" s="1"/>
      <c r="Y1626" s="1"/>
      <c r="Z1626" s="1"/>
    </row>
    <row r="1627" outlineLevel="2">
      <c r="A1627" s="26">
        <v>4.0</v>
      </c>
      <c r="B1627" s="1"/>
      <c r="C1627" s="1"/>
      <c r="D1627" s="38"/>
      <c r="E1627" s="14"/>
      <c r="F1627" s="15"/>
      <c r="G1627" s="16"/>
      <c r="H1627" s="11"/>
      <c r="I1627" s="7"/>
      <c r="J1627" s="7"/>
      <c r="K1627" s="17"/>
      <c r="L1627" s="17"/>
      <c r="M1627" s="1"/>
      <c r="N1627" s="1"/>
      <c r="O1627" s="1"/>
      <c r="P1627" s="11"/>
      <c r="Q1627" s="11"/>
      <c r="R1627" s="11"/>
      <c r="S1627" s="11"/>
      <c r="T1627" s="1"/>
      <c r="U1627" s="1"/>
      <c r="V1627" s="1"/>
      <c r="W1627" s="1"/>
      <c r="X1627" s="1"/>
      <c r="Y1627" s="1"/>
      <c r="Z1627" s="1"/>
    </row>
    <row r="1628" outlineLevel="2">
      <c r="A1628" s="26">
        <v>5.0</v>
      </c>
      <c r="B1628" s="26" t="s">
        <v>1901</v>
      </c>
      <c r="C1628" s="1"/>
      <c r="D1628" s="38"/>
      <c r="E1628" s="29" t="s">
        <v>55</v>
      </c>
      <c r="F1628" s="15"/>
      <c r="G1628" s="16"/>
      <c r="H1628" s="22" t="s">
        <v>1902</v>
      </c>
      <c r="I1628" s="7"/>
      <c r="J1628" s="32" t="s">
        <v>1903</v>
      </c>
      <c r="K1628" s="17"/>
      <c r="L1628" s="17"/>
      <c r="M1628" s="1"/>
      <c r="N1628" s="1"/>
      <c r="O1628" s="1"/>
      <c r="P1628" s="11"/>
      <c r="Q1628" s="11"/>
      <c r="R1628" s="11"/>
      <c r="S1628" s="11"/>
      <c r="T1628" s="1"/>
      <c r="U1628" s="1"/>
      <c r="V1628" s="1"/>
      <c r="W1628" s="1"/>
      <c r="X1628" s="1"/>
      <c r="Y1628" s="1"/>
      <c r="Z1628" s="1"/>
    </row>
    <row r="1629" outlineLevel="2">
      <c r="A1629" s="26">
        <v>6.0</v>
      </c>
      <c r="B1629" s="26"/>
      <c r="C1629" s="1"/>
      <c r="D1629" s="40"/>
      <c r="E1629" s="29"/>
      <c r="F1629" s="34"/>
      <c r="G1629" s="30"/>
      <c r="H1629" s="22"/>
      <c r="I1629" s="7"/>
      <c r="J1629" s="7"/>
      <c r="K1629" s="17"/>
      <c r="L1629" s="17"/>
      <c r="M1629" s="1"/>
      <c r="N1629" s="1"/>
      <c r="O1629" s="1"/>
      <c r="P1629" s="11"/>
      <c r="Q1629" s="11"/>
      <c r="R1629" s="11"/>
      <c r="S1629" s="11"/>
      <c r="T1629" s="1"/>
      <c r="U1629" s="1"/>
      <c r="V1629" s="1"/>
      <c r="W1629" s="1"/>
      <c r="X1629" s="1"/>
      <c r="Y1629" s="1"/>
      <c r="Z1629" s="1"/>
    </row>
    <row r="1630" outlineLevel="2">
      <c r="A1630" s="26">
        <v>7.0</v>
      </c>
      <c r="B1630" s="26" t="s">
        <v>1904</v>
      </c>
      <c r="C1630" s="1"/>
      <c r="D1630" s="38"/>
      <c r="E1630" s="29" t="s">
        <v>55</v>
      </c>
      <c r="F1630" s="15"/>
      <c r="G1630" s="16"/>
      <c r="H1630" s="22" t="s">
        <v>1905</v>
      </c>
      <c r="I1630" s="7"/>
      <c r="J1630" s="32" t="s">
        <v>1906</v>
      </c>
      <c r="K1630" s="17"/>
      <c r="L1630" s="17"/>
      <c r="M1630" s="1"/>
      <c r="N1630" s="1"/>
      <c r="O1630" s="1"/>
      <c r="P1630" s="11"/>
      <c r="Q1630" s="11"/>
      <c r="R1630" s="11"/>
      <c r="S1630" s="11"/>
      <c r="T1630" s="1"/>
      <c r="U1630" s="1"/>
      <c r="V1630" s="1"/>
      <c r="W1630" s="1"/>
      <c r="X1630" s="1"/>
      <c r="Y1630" s="1"/>
      <c r="Z1630" s="1"/>
    </row>
    <row r="1631" outlineLevel="2">
      <c r="A1631" s="26">
        <v>8.0</v>
      </c>
      <c r="B1631" s="1"/>
      <c r="C1631" s="1"/>
      <c r="D1631" s="38"/>
      <c r="E1631" s="14"/>
      <c r="F1631" s="15"/>
      <c r="G1631" s="16"/>
      <c r="H1631" s="11"/>
      <c r="I1631" s="7"/>
      <c r="J1631" s="7"/>
      <c r="K1631" s="17"/>
      <c r="L1631" s="17"/>
      <c r="M1631" s="1"/>
      <c r="N1631" s="1"/>
      <c r="O1631" s="1"/>
      <c r="P1631" s="11"/>
      <c r="Q1631" s="11"/>
      <c r="R1631" s="11"/>
      <c r="S1631" s="11"/>
      <c r="T1631" s="1"/>
      <c r="U1631" s="1"/>
      <c r="V1631" s="1"/>
      <c r="W1631" s="1"/>
      <c r="X1631" s="1"/>
      <c r="Y1631" s="1"/>
      <c r="Z1631" s="1"/>
    </row>
    <row r="1632" outlineLevel="2">
      <c r="A1632" s="26">
        <v>9.0</v>
      </c>
      <c r="B1632" s="26" t="s">
        <v>1907</v>
      </c>
      <c r="C1632" s="1"/>
      <c r="D1632" s="38"/>
      <c r="E1632" s="29" t="s">
        <v>55</v>
      </c>
      <c r="F1632" s="15"/>
      <c r="G1632" s="16"/>
      <c r="H1632" s="22" t="s">
        <v>1908</v>
      </c>
      <c r="I1632" s="7"/>
      <c r="J1632" s="32" t="s">
        <v>1909</v>
      </c>
      <c r="K1632" s="17"/>
      <c r="L1632" s="17"/>
      <c r="M1632" s="1"/>
      <c r="N1632" s="1"/>
      <c r="O1632" s="1"/>
      <c r="P1632" s="11"/>
      <c r="Q1632" s="11"/>
      <c r="R1632" s="11"/>
      <c r="S1632" s="11"/>
      <c r="T1632" s="1"/>
      <c r="U1632" s="1"/>
      <c r="V1632" s="1"/>
      <c r="W1632" s="1"/>
      <c r="X1632" s="1"/>
      <c r="Y1632" s="1"/>
      <c r="Z1632" s="1"/>
    </row>
    <row r="1633" outlineLevel="2">
      <c r="A1633" s="26">
        <v>10.0</v>
      </c>
      <c r="B1633" s="26" t="s">
        <v>1910</v>
      </c>
      <c r="C1633" s="1"/>
      <c r="D1633" s="40"/>
      <c r="E1633" s="29" t="s">
        <v>55</v>
      </c>
      <c r="F1633" s="15"/>
      <c r="G1633" s="30"/>
      <c r="H1633" s="22" t="s">
        <v>1911</v>
      </c>
      <c r="I1633" s="7"/>
      <c r="J1633" s="32" t="s">
        <v>1912</v>
      </c>
      <c r="K1633" s="17"/>
      <c r="L1633" s="17"/>
      <c r="M1633" s="1"/>
      <c r="N1633" s="1"/>
      <c r="O1633" s="1"/>
      <c r="P1633" s="11"/>
      <c r="Q1633" s="11"/>
      <c r="R1633" s="11"/>
      <c r="S1633" s="11"/>
      <c r="T1633" s="1"/>
      <c r="U1633" s="1"/>
      <c r="V1633" s="1"/>
      <c r="W1633" s="1"/>
      <c r="X1633" s="1"/>
      <c r="Y1633" s="1"/>
      <c r="Z1633" s="1"/>
    </row>
    <row r="1634" outlineLevel="2">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outlineLevel="1">
      <c r="A1635" s="1"/>
      <c r="B1635" s="1"/>
      <c r="C1635" s="1"/>
      <c r="D1635" s="1"/>
      <c r="E1635" s="14"/>
      <c r="F1635" s="15"/>
      <c r="G1635" s="16"/>
      <c r="H1635" s="11"/>
      <c r="I1635" s="7"/>
      <c r="J1635" s="7"/>
      <c r="K1635" s="17"/>
      <c r="L1635" s="17"/>
      <c r="M1635" s="1"/>
      <c r="N1635" s="1"/>
      <c r="O1635" s="1"/>
      <c r="P1635" s="11"/>
      <c r="Q1635" s="11"/>
      <c r="R1635" s="11"/>
      <c r="S1635" s="11"/>
      <c r="T1635" s="1"/>
      <c r="U1635" s="1"/>
      <c r="V1635" s="1"/>
      <c r="W1635" s="1"/>
      <c r="X1635" s="1"/>
      <c r="Y1635" s="1"/>
      <c r="Z1635" s="1"/>
    </row>
    <row r="1636" ht="18.0" customHeight="1">
      <c r="A1636" s="1"/>
      <c r="B1636" s="1"/>
      <c r="C1636" s="26" t="s">
        <v>1913</v>
      </c>
      <c r="D1636" s="1"/>
      <c r="E1636" s="14"/>
      <c r="F1636" s="15"/>
      <c r="G1636" s="16"/>
      <c r="H1636" s="11"/>
      <c r="I1636" s="7"/>
      <c r="J1636" s="7" t="str">
        <f>IFERROR(LET(_xlpm.v,
VLOOKUP($I1636,'用語辞書'!$A:$B,COLUMN('用語辞書'!B$1),FALSE),
IF(_xlpm.v=0,"",_xlpm.v)
),"")</f>
        <v/>
      </c>
      <c r="K1636" s="17"/>
      <c r="L1636" s="17" t="str">
        <f>IF(OR(COUNTIF('クラス'!$A$1:$A$1267,$B1636)&gt;0,$B1636="",$M1636=""),"",True)</f>
        <v/>
      </c>
      <c r="M1636" s="1" t="str">
        <f>IF(COUNTIF($B$1:$C1531, $B1636), "", "存在しない")</f>
        <v>存在しない</v>
      </c>
      <c r="N1636" s="1" t="s">
        <v>29</v>
      </c>
      <c r="O1636" s="1"/>
      <c r="P1636" s="11"/>
      <c r="Q1636" s="11"/>
      <c r="R1636" s="11"/>
      <c r="S1636" s="11"/>
      <c r="T1636" s="1"/>
      <c r="U1636" s="1"/>
      <c r="V1636" s="1"/>
      <c r="W1636" s="1"/>
      <c r="X1636" s="1"/>
      <c r="Y1636" s="1"/>
      <c r="Z1636" s="1"/>
    </row>
    <row r="1637" ht="18.0" customHeight="1" outlineLevel="1">
      <c r="A1637" s="1"/>
      <c r="B1637" s="39" t="s">
        <v>1914</v>
      </c>
      <c r="C1637" s="1"/>
      <c r="D1637" s="1"/>
      <c r="E1637" s="14"/>
      <c r="F1637" s="15"/>
      <c r="G1637" s="16"/>
      <c r="H1637" s="11"/>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1.0</v>
      </c>
      <c r="B1638" s="26" t="s">
        <v>1915</v>
      </c>
      <c r="C1638" s="1"/>
      <c r="D1638" s="40" t="s">
        <v>644</v>
      </c>
      <c r="E1638" s="29" t="s">
        <v>33</v>
      </c>
      <c r="F1638" s="15"/>
      <c r="G1638" s="30">
        <v>30.0</v>
      </c>
      <c r="H1638" s="22" t="s">
        <v>1916</v>
      </c>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2.0</v>
      </c>
      <c r="B1639" s="26" t="s">
        <v>37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3.0</v>
      </c>
      <c r="B1640" s="26" t="s">
        <v>1917</v>
      </c>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4.0</v>
      </c>
      <c r="B1641" s="1"/>
      <c r="C1641" s="1"/>
      <c r="D1641" s="38"/>
      <c r="E1641" s="14"/>
      <c r="F1641" s="15"/>
      <c r="G1641" s="16"/>
      <c r="H1641" s="11"/>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5.0</v>
      </c>
      <c r="B1642" s="26" t="s">
        <v>1918</v>
      </c>
      <c r="C1642" s="1"/>
      <c r="D1642" s="40" t="s">
        <v>965</v>
      </c>
      <c r="E1642" s="29" t="s">
        <v>55</v>
      </c>
      <c r="F1642" s="15"/>
      <c r="G1642" s="16"/>
      <c r="H1642" s="22" t="s">
        <v>1919</v>
      </c>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6.0</v>
      </c>
      <c r="B1643" s="1"/>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7.0</v>
      </c>
      <c r="B1644" s="26" t="s">
        <v>1243</v>
      </c>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8.0</v>
      </c>
      <c r="B1645" s="1"/>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9.0</v>
      </c>
      <c r="B1646" s="26" t="s">
        <v>39</v>
      </c>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26">
        <v>10.0</v>
      </c>
      <c r="B1647" s="1"/>
      <c r="C1647" s="1"/>
      <c r="D1647" s="38"/>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hidden="1" customHeight="1" outlineLevel="2">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ollapsed="1">
      <c r="A1649" s="1"/>
      <c r="B1649" s="1"/>
      <c r="C1649" s="1"/>
      <c r="D1649" s="1"/>
      <c r="E1649" s="14"/>
      <c r="F1649" s="15"/>
      <c r="G1649" s="16"/>
      <c r="H1649" s="11"/>
      <c r="I1649" s="7"/>
      <c r="J1649" s="7"/>
      <c r="K1649" s="17"/>
      <c r="L1649" s="17"/>
      <c r="M1649" s="1"/>
      <c r="N1649" s="1"/>
      <c r="O1649" s="1"/>
      <c r="P1649" s="11"/>
      <c r="Q1649" s="11"/>
      <c r="R1649" s="11"/>
      <c r="S1649" s="11"/>
      <c r="T1649" s="1"/>
      <c r="U1649" s="1"/>
      <c r="V1649" s="1"/>
      <c r="W1649" s="1"/>
      <c r="X1649" s="1"/>
      <c r="Y1649" s="1"/>
      <c r="Z1649" s="1"/>
    </row>
    <row r="1650" ht="18.0" customHeight="1" outlineLevel="1">
      <c r="A1650" s="1"/>
      <c r="B1650" s="1" t="s">
        <v>1920</v>
      </c>
      <c r="C1650" s="1"/>
      <c r="D1650" s="1"/>
      <c r="E1650" s="14"/>
      <c r="F1650" s="15"/>
      <c r="G1650" s="16"/>
      <c r="H1650" s="11"/>
      <c r="I1650" s="7"/>
      <c r="J1650" s="7" t="str">
        <f>IFERROR(LET(_xlpm.v,
VLOOKUP($I1650,'用語辞書'!$A:$B,COLUMN('用語辞書'!B$1),FALSE),
IF(_xlpm.v=0,"",_xlpm.v)
),"")</f>
        <v/>
      </c>
      <c r="K1650" s="17"/>
      <c r="L1650" s="17" t="str">
        <f>IF(OR(COUNTIF('クラス'!$A$1:$A$1267,$B1650)&gt;0,$B1650="",$M1650=""),"",True)</f>
        <v/>
      </c>
      <c r="M1650" s="1" t="str">
        <f>IF(COUNTIF($B$1:$C1636, $B1650), "", "存在しない")</f>
        <v>存在しない</v>
      </c>
      <c r="N1650" s="1" t="s">
        <v>29</v>
      </c>
      <c r="O1650" s="1"/>
      <c r="P1650" s="11"/>
      <c r="Q1650" s="11"/>
      <c r="R1650" s="11"/>
      <c r="S1650" s="11"/>
      <c r="T1650" s="1"/>
      <c r="U1650" s="1"/>
      <c r="V1650" s="1"/>
      <c r="W1650" s="1"/>
      <c r="X1650" s="1"/>
      <c r="Y1650" s="1"/>
      <c r="Z1650" s="1"/>
    </row>
    <row r="1651" ht="18.0" hidden="1" customHeight="1" outlineLevel="2">
      <c r="A1651" s="1">
        <v>1.0</v>
      </c>
      <c r="B1651" s="1" t="s">
        <v>37</v>
      </c>
      <c r="C1651" s="1"/>
      <c r="D1651" s="1"/>
      <c r="E1651" s="14" t="s">
        <v>33</v>
      </c>
      <c r="F1651" s="15"/>
      <c r="G1651" s="16"/>
      <c r="H1651" s="11"/>
      <c r="I1651" s="7"/>
      <c r="J1651" s="7" t="str">
        <f>IFERROR(LET(_xlpm.v,
VLOOKUP($I1651,'用語辞書'!$A:$B,COLUMN('用語辞書'!B$1),FALSE),
IF(_xlpm.v=0,"",_xlpm.v)
),"")</f>
        <v/>
      </c>
      <c r="K1651" s="17"/>
      <c r="L1651" s="17" t="str">
        <f>IF(OR(COUNTIF('クラス'!$A$1:$A$1267,$B1651)&gt;0,$B1651="",$M1651=""),"",True)</f>
        <v/>
      </c>
      <c r="M1651" s="1" t="str">
        <f t="shared" ref="M1651:M2304" si="27">IF(COUNTIF($B$1:$C1650, $B1651), "", "存在しない")</f>
        <v/>
      </c>
      <c r="N1651" s="1" t="s">
        <v>29</v>
      </c>
      <c r="O1651" s="1"/>
      <c r="P1651" s="11"/>
      <c r="Q1651" s="11"/>
      <c r="R1651" s="11"/>
      <c r="S1651" s="11"/>
      <c r="T1651" s="1"/>
      <c r="U1651" s="1"/>
      <c r="V1651" s="1"/>
      <c r="W1651" s="1"/>
      <c r="X1651" s="1"/>
      <c r="Y1651" s="1"/>
      <c r="Z1651" s="1"/>
    </row>
    <row r="1652" ht="18.0" hidden="1" customHeight="1" outlineLevel="2">
      <c r="A1652" s="1">
        <v>2.0</v>
      </c>
      <c r="B1652" s="1"/>
      <c r="C1652" s="1"/>
      <c r="D1652" s="1"/>
      <c r="E1652" s="14"/>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存在しない</v>
      </c>
      <c r="N1652" s="1" t="s">
        <v>29</v>
      </c>
      <c r="O1652" s="1"/>
      <c r="P1652" s="11"/>
      <c r="Q1652" s="11"/>
      <c r="R1652" s="11"/>
      <c r="S1652" s="11"/>
      <c r="T1652" s="1"/>
      <c r="U1652" s="1"/>
      <c r="V1652" s="1"/>
      <c r="W1652" s="1"/>
      <c r="X1652" s="1"/>
      <c r="Y1652" s="1"/>
      <c r="Z1652" s="1"/>
    </row>
    <row r="1653" ht="18.0" hidden="1" customHeight="1" outlineLevel="2">
      <c r="A1653" s="1">
        <v>3.0</v>
      </c>
      <c r="B1653" s="1" t="s">
        <v>45</v>
      </c>
      <c r="C1653" s="1"/>
      <c r="D1653" s="1"/>
      <c r="E1653" s="14" t="s">
        <v>33</v>
      </c>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
      </c>
      <c r="N1653" s="1" t="s">
        <v>29</v>
      </c>
      <c r="O1653" s="1"/>
      <c r="P1653" s="11"/>
      <c r="Q1653" s="11"/>
      <c r="R1653" s="11"/>
      <c r="S1653" s="11"/>
      <c r="T1653" s="1"/>
      <c r="U1653" s="1"/>
      <c r="V1653" s="1"/>
      <c r="W1653" s="1"/>
      <c r="X1653" s="1"/>
      <c r="Y1653" s="1"/>
      <c r="Z1653" s="1"/>
    </row>
    <row r="1654" ht="18.0" hidden="1" customHeight="1" outlineLevel="2">
      <c r="A1654" s="1">
        <v>4.0</v>
      </c>
      <c r="B1654" s="1"/>
      <c r="C1654" s="1"/>
      <c r="D1654" s="1"/>
      <c r="E1654" s="14"/>
      <c r="F1654" s="15"/>
      <c r="G1654" s="16"/>
      <c r="H1654" s="11"/>
      <c r="I1654" s="7"/>
      <c r="J1654" s="7" t="str">
        <f>IFERROR(LET(_xlpm.v,
VLOOKUP($I1654,'用語辞書'!$A:$B,COLUMN('用語辞書'!B$1),FALSE),
IF(_xlpm.v=0,"",_xlpm.v)
),"")</f>
        <v/>
      </c>
      <c r="K1654" s="17"/>
      <c r="L1654" s="17" t="str">
        <f>IF(OR(COUNTIF('クラス'!$A$1:$A$1267,$B1654)&gt;0,$B1654="",$M1654=""),"",True)</f>
        <v/>
      </c>
      <c r="M1654" s="1" t="str">
        <f t="shared" si="27"/>
        <v>存在しない</v>
      </c>
      <c r="N1654" s="1" t="s">
        <v>29</v>
      </c>
      <c r="O1654" s="1"/>
      <c r="P1654" s="11"/>
      <c r="Q1654" s="11"/>
      <c r="R1654" s="11"/>
      <c r="S1654" s="11"/>
      <c r="T1654" s="1"/>
      <c r="U1654" s="1"/>
      <c r="V1654" s="1"/>
      <c r="W1654" s="1"/>
      <c r="X1654" s="1"/>
      <c r="Y1654" s="1"/>
      <c r="Z1654" s="1"/>
    </row>
    <row r="1655" ht="18.0" hidden="1" customHeight="1" outlineLevel="2">
      <c r="A1655" s="1">
        <v>5.0</v>
      </c>
      <c r="B1655" s="1" t="s">
        <v>1921</v>
      </c>
      <c r="C1655" s="1"/>
      <c r="D1655" s="1"/>
      <c r="E1655" s="14" t="s">
        <v>55</v>
      </c>
      <c r="F1655" s="15"/>
      <c r="G1655" s="16"/>
      <c r="H1655" s="11" t="s">
        <v>1922</v>
      </c>
      <c r="I1655" s="7"/>
      <c r="J1655" s="7" t="str">
        <f>IFERROR(LET(_xlpm.v,
VLOOKUP($I1655,'用語辞書'!$A:$B,COLUMN('用語辞書'!B$1),FALSE),
IF(_xlpm.v=0,"",_xlpm.v)
),"")</f>
        <v/>
      </c>
      <c r="K1655" s="17"/>
      <c r="L1655" s="17" t="b">
        <f>IF(OR(COUNTIF('クラス'!$A$1:$A$1267,$B1655)&gt;0,$B1655="",$M1655=""),"",True)</f>
        <v>1</v>
      </c>
      <c r="M1655" s="1" t="str">
        <f t="shared" si="27"/>
        <v>存在しない</v>
      </c>
      <c r="N1655" s="1" t="e">
        <v>#VALUE!</v>
      </c>
      <c r="O1655" s="1"/>
      <c r="P1655" s="11"/>
      <c r="Q1655" s="11"/>
      <c r="R1655" s="11"/>
      <c r="S1655" s="11"/>
      <c r="T1655" s="1"/>
      <c r="U1655" s="1"/>
      <c r="V1655" s="1"/>
      <c r="W1655" s="1"/>
      <c r="X1655" s="1"/>
      <c r="Y1655" s="1"/>
      <c r="Z1655" s="1"/>
    </row>
    <row r="1656" ht="18.0" hidden="1" customHeight="1" outlineLevel="2">
      <c r="A1656" s="1">
        <v>6.0</v>
      </c>
      <c r="B1656" s="1" t="s">
        <v>1915</v>
      </c>
      <c r="C1656" s="1"/>
      <c r="D1656" s="1"/>
      <c r="E1656" s="14" t="s">
        <v>33</v>
      </c>
      <c r="F1656" s="15"/>
      <c r="G1656" s="16">
        <v>20.0</v>
      </c>
      <c r="H1656" s="11" t="s">
        <v>1923</v>
      </c>
      <c r="I1656" s="7"/>
      <c r="J1656" s="7" t="str">
        <f>IFERROR(LET(_xlpm.v,
VLOOKUP($I1656,'用語辞書'!$A:$B,COLUMN('用語辞書'!B$1),FALSE),
IF(_xlpm.v=0,"",_xlpm.v)
),"")</f>
        <v/>
      </c>
      <c r="K1656" s="17"/>
      <c r="L1656" s="17" t="str">
        <f>IF(OR(COUNTIF('クラス'!$A$1:$A$1267,$B1656)&gt;0,$B1656="",$M1656=""),"",True)</f>
        <v/>
      </c>
      <c r="M1656" s="1" t="str">
        <f t="shared" si="27"/>
        <v/>
      </c>
      <c r="N1656" s="1" t="s">
        <v>29</v>
      </c>
      <c r="O1656" s="1"/>
      <c r="P1656" s="11"/>
      <c r="Q1656" s="11"/>
      <c r="R1656" s="11"/>
      <c r="S1656" s="11"/>
      <c r="T1656" s="1"/>
      <c r="U1656" s="1"/>
      <c r="V1656" s="1"/>
      <c r="W1656" s="1"/>
      <c r="X1656" s="1"/>
      <c r="Y1656" s="1"/>
      <c r="Z1656" s="1"/>
    </row>
    <row r="1657" ht="18.0" hidden="1" customHeight="1" outlineLevel="2">
      <c r="A1657" s="1">
        <v>7.0</v>
      </c>
      <c r="B1657" s="1"/>
      <c r="C1657" s="1"/>
      <c r="D1657" s="1"/>
      <c r="E1657" s="14"/>
      <c r="F1657" s="15"/>
      <c r="G1657" s="16"/>
      <c r="H1657" s="11"/>
      <c r="I1657" s="7"/>
      <c r="J1657" s="7" t="str">
        <f>IFERROR(LET(_xlpm.v,
VLOOKUP($I1657,'用語辞書'!$A:$B,COLUMN('用語辞書'!B$1),FALSE),
IF(_xlpm.v=0,"",_xlpm.v)
),"")</f>
        <v/>
      </c>
      <c r="K1657" s="17"/>
      <c r="L1657" s="17" t="str">
        <f>IF(OR(COUNTIF('クラス'!$A$1:$A$1267,$B1657)&gt;0,$B1657="",$M1657=""),"",True)</f>
        <v/>
      </c>
      <c r="M1657" s="1" t="str">
        <f t="shared" si="27"/>
        <v>存在しない</v>
      </c>
      <c r="N1657" s="1" t="s">
        <v>29</v>
      </c>
      <c r="O1657" s="1"/>
      <c r="P1657" s="11"/>
      <c r="Q1657" s="11"/>
      <c r="R1657" s="11"/>
      <c r="S1657" s="11"/>
      <c r="T1657" s="1"/>
      <c r="U1657" s="1"/>
      <c r="V1657" s="1"/>
      <c r="W1657" s="1"/>
      <c r="X1657" s="1"/>
      <c r="Y1657" s="1"/>
      <c r="Z1657" s="1"/>
    </row>
    <row r="1658" ht="18.0" hidden="1" customHeight="1" outlineLevel="2">
      <c r="A1658" s="1">
        <v>8.0</v>
      </c>
      <c r="B1658" s="1" t="s">
        <v>1924</v>
      </c>
      <c r="C1658" s="1"/>
      <c r="D1658" s="1"/>
      <c r="E1658" s="14" t="s">
        <v>33</v>
      </c>
      <c r="F1658" s="15"/>
      <c r="G1658" s="16"/>
      <c r="H1658" s="11" t="s">
        <v>1925</v>
      </c>
      <c r="I1658" s="7"/>
      <c r="J1658" s="7" t="str">
        <f>IFERROR(LET(_xlpm.v,
VLOOKUP($I1658,'用語辞書'!$A:$B,COLUMN('用語辞書'!B$1),FALSE),
IF(_xlpm.v=0,"",_xlpm.v)
),"")</f>
        <v/>
      </c>
      <c r="K1658" s="17"/>
      <c r="L1658" s="17" t="b">
        <f>IF(OR(COUNTIF('クラス'!$A$1:$A$1267,$B1658)&gt;0,$B1658="",$M1658=""),"",True)</f>
        <v>1</v>
      </c>
      <c r="M1658" s="1" t="str">
        <f t="shared" si="27"/>
        <v>存在しない</v>
      </c>
      <c r="N1658" s="1" t="e">
        <v>#VALUE!</v>
      </c>
      <c r="O1658" s="1"/>
      <c r="P1658" s="11"/>
      <c r="Q1658" s="11"/>
      <c r="R1658" s="11"/>
      <c r="S1658" s="11"/>
      <c r="T1658" s="1"/>
      <c r="U1658" s="1"/>
      <c r="V1658" s="1"/>
      <c r="W1658" s="1"/>
      <c r="X1658" s="1"/>
      <c r="Y1658" s="1"/>
      <c r="Z1658" s="1"/>
    </row>
    <row r="1659" ht="18.0" hidden="1" customHeight="1" outlineLevel="2">
      <c r="A1659" s="1">
        <v>9.0</v>
      </c>
      <c r="B1659" s="1" t="s">
        <v>1917</v>
      </c>
      <c r="C1659" s="1"/>
      <c r="D1659" s="1"/>
      <c r="E1659" s="14" t="s">
        <v>55</v>
      </c>
      <c r="F1659" s="15"/>
      <c r="G1659" s="16"/>
      <c r="H1659" s="11" t="s">
        <v>1926</v>
      </c>
      <c r="I1659" s="7"/>
      <c r="J1659" s="7" t="str">
        <f>IFERROR(LET(_xlpm.v,
VLOOKUP($I1659,'用語辞書'!$A:$B,COLUMN('用語辞書'!B$1),FALSE),
IF(_xlpm.v=0,"",_xlpm.v)
),"")</f>
        <v/>
      </c>
      <c r="K1659" s="17"/>
      <c r="L1659" s="17" t="str">
        <f>IF(OR(COUNTIF('クラス'!$A$1:$A$1267,$B1659)&gt;0,$B1659="",$M1659=""),"",True)</f>
        <v/>
      </c>
      <c r="M1659" s="1" t="str">
        <f t="shared" si="27"/>
        <v/>
      </c>
      <c r="N1659" s="1" t="e">
        <v>#VALUE!</v>
      </c>
      <c r="O1659" s="1"/>
      <c r="P1659" s="11"/>
      <c r="Q1659" s="11"/>
      <c r="R1659" s="11"/>
      <c r="S1659" s="11"/>
      <c r="T1659" s="1"/>
      <c r="U1659" s="1"/>
      <c r="V1659" s="1"/>
      <c r="W1659" s="1"/>
      <c r="X1659" s="1"/>
      <c r="Y1659" s="1"/>
      <c r="Z1659" s="1"/>
    </row>
    <row r="1660" ht="18.0" hidden="1" customHeight="1" outlineLevel="2">
      <c r="A1660" s="1">
        <v>10.0</v>
      </c>
      <c r="B1660" s="1"/>
      <c r="C1660" s="1"/>
      <c r="D1660" s="1"/>
      <c r="E1660" s="14" t="s">
        <v>33</v>
      </c>
      <c r="F1660" s="15"/>
      <c r="G1660" s="16">
        <v>20.0</v>
      </c>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outlineLevel="1" collapsed="1">
      <c r="A1661" s="1"/>
      <c r="B1661" s="1"/>
      <c r="C1661" s="1"/>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collapsed="1">
      <c r="A1662" s="1"/>
      <c r="B1662" s="1"/>
      <c r="C1662" s="26" t="s">
        <v>1927</v>
      </c>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customHeight="1" outlineLevel="1">
      <c r="A1663" s="1"/>
      <c r="B1663" s="26" t="s">
        <v>1928</v>
      </c>
      <c r="C1663" s="1"/>
      <c r="D1663" s="1"/>
      <c r="E1663" s="14"/>
      <c r="F1663" s="15"/>
      <c r="G1663" s="16"/>
      <c r="H1663" s="11"/>
      <c r="I1663" s="7"/>
      <c r="J1663" s="7" t="str">
        <f>IFERROR(LET(_xlpm.v,
VLOOKUP($I1663,'用語辞書'!$A:$B,COLUMN('用語辞書'!B$1),FALSE),
IF(_xlpm.v=0,"",_xlpm.v)
),"")</f>
        <v/>
      </c>
      <c r="K1663" s="17"/>
      <c r="L1663" s="17" t="str">
        <f>IF(OR(COUNTIF('クラス'!$A$1:$A$1267,$B1663)&gt;0,$B1663="",$M1663=""),"",True)</f>
        <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1.0</v>
      </c>
      <c r="B1664" s="26" t="s">
        <v>1929</v>
      </c>
      <c r="C1664" s="1"/>
      <c r="D1664" s="1"/>
      <c r="E1664" s="29" t="s">
        <v>33</v>
      </c>
      <c r="F1664" s="15"/>
      <c r="G1664" s="30">
        <v>40.0</v>
      </c>
      <c r="H1664" s="22" t="s">
        <v>1523</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2.0</v>
      </c>
      <c r="B1665" s="26" t="s">
        <v>1930</v>
      </c>
      <c r="C1665" s="1"/>
      <c r="D1665" s="1"/>
      <c r="E1665" s="29" t="s">
        <v>33</v>
      </c>
      <c r="F1665" s="15"/>
      <c r="G1665" s="30">
        <v>50.0</v>
      </c>
      <c r="H1665" s="22" t="s">
        <v>1931</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3.0</v>
      </c>
      <c r="B1666" s="26" t="s">
        <v>1932</v>
      </c>
      <c r="C1666" s="1"/>
      <c r="D1666" s="1"/>
      <c r="E1666" s="29" t="s">
        <v>55</v>
      </c>
      <c r="F1666" s="15"/>
      <c r="G1666" s="16"/>
      <c r="H1666" s="22" t="s">
        <v>1346</v>
      </c>
      <c r="I1666" s="7"/>
      <c r="J1666" s="7" t="str">
        <f>IFERROR(LET(_xlpm.v,
VLOOKUP($I1666,'用語辞書'!$A:$B,COLUMN('用語辞書'!B$1),FALSE),
IF(_xlpm.v=0,"",_xlpm.v)
),"")</f>
        <v/>
      </c>
      <c r="K1666" s="17"/>
      <c r="L1666" s="17" t="b">
        <f>IF(OR(COUNTIF('クラス'!$A$1:$A$1267,$B1666)&gt;0,$B1666="",$M1666=""),"",True)</f>
        <v>1</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4.0</v>
      </c>
      <c r="B1667" s="1"/>
      <c r="C1667" s="1"/>
      <c r="D1667" s="1"/>
      <c r="E1667" s="14"/>
      <c r="F1667" s="15"/>
      <c r="G1667" s="16"/>
      <c r="H1667" s="11"/>
      <c r="I1667" s="7"/>
      <c r="J1667" s="7" t="str">
        <f>IFERROR(LET(_xlpm.v,
VLOOKUP($I1667,'用語辞書'!$A:$B,COLUMN('用語辞書'!B$1),FALSE),
IF(_xlpm.v=0,"",_xlpm.v)
),"")</f>
        <v/>
      </c>
      <c r="K1667" s="17"/>
      <c r="L1667" s="17" t="str">
        <f>IF(OR(COUNTIF('クラス'!$A$1:$A$1267,$B1667)&gt;0,$B1667="",$M1667=""),"",True)</f>
        <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5.0</v>
      </c>
      <c r="B1668" s="26" t="s">
        <v>1933</v>
      </c>
      <c r="C1668" s="1"/>
      <c r="D1668" s="1"/>
      <c r="E1668" s="29" t="s">
        <v>33</v>
      </c>
      <c r="F1668" s="15"/>
      <c r="G1668" s="30">
        <v>50.0</v>
      </c>
      <c r="H1668" s="22" t="s">
        <v>1934</v>
      </c>
      <c r="I1668" s="7"/>
      <c r="J1668" s="7" t="str">
        <f>IFERROR(LET(_xlpm.v,
VLOOKUP($I1668,'用語辞書'!$A:$B,COLUMN('用語辞書'!B$1),FALSE),
IF(_xlpm.v=0,"",_xlpm.v)
),"")</f>
        <v/>
      </c>
      <c r="K1668" s="17"/>
      <c r="L1668" s="17" t="b">
        <f>IF(OR(COUNTIF('クラス'!$A$1:$A$1267,$B1668)&gt;0,$B1668="",$M1668=""),"",True)</f>
        <v>1</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6.0</v>
      </c>
      <c r="B1669" s="1"/>
      <c r="C1669" s="1"/>
      <c r="D1669" s="1"/>
      <c r="E1669" s="14"/>
      <c r="F1669" s="15"/>
      <c r="G1669" s="16"/>
      <c r="H1669" s="11"/>
      <c r="I1669" s="7"/>
      <c r="J1669" s="7" t="str">
        <f>IFERROR(LET(_xlpm.v,
VLOOKUP($I1669,'用語辞書'!$A:$B,COLUMN('用語辞書'!B$1),FALSE),
IF(_xlpm.v=0,"",_xlpm.v)
),"")</f>
        <v/>
      </c>
      <c r="K1669" s="17"/>
      <c r="L1669" s="17" t="str">
        <f>IF(OR(COUNTIF('クラス'!$A$1:$A$1267,$B1669)&gt;0,$B1669="",$M1669=""),"",True)</f>
        <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7.0</v>
      </c>
      <c r="B1670" s="26" t="s">
        <v>1935</v>
      </c>
      <c r="C1670" s="1"/>
      <c r="D1670" s="1"/>
      <c r="E1670" s="29" t="s">
        <v>33</v>
      </c>
      <c r="F1670" s="15"/>
      <c r="G1670" s="30">
        <v>30.0</v>
      </c>
      <c r="H1670" s="22" t="s">
        <v>1936</v>
      </c>
      <c r="I1670" s="7"/>
      <c r="J1670" s="7" t="str">
        <f>IFERROR(LET(_xlpm.v,
VLOOKUP($I1670,'用語辞書'!$A:$B,COLUMN('用語辞書'!B$1),FALSE),
IF(_xlpm.v=0,"",_xlpm.v)
),"")</f>
        <v/>
      </c>
      <c r="K1670" s="17"/>
      <c r="L1670" s="17" t="b">
        <f>IF(OR(COUNTIF('クラス'!$A$1:$A$1267,$B1670)&gt;0,$B1670="",$M1670=""),"",True)</f>
        <v>1</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8.0</v>
      </c>
      <c r="B1671" s="1"/>
      <c r="C1671" s="1"/>
      <c r="D1671" s="1"/>
      <c r="E1671" s="14"/>
      <c r="F1671" s="15"/>
      <c r="G1671" s="16"/>
      <c r="H1671" s="11"/>
      <c r="I1671" s="7"/>
      <c r="J1671" s="7" t="str">
        <f>IFERROR(LET(_xlpm.v,
VLOOKUP($I1671,'用語辞書'!$A:$B,COLUMN('用語辞書'!B$1),FALSE),
IF(_xlpm.v=0,"",_xlpm.v)
),"")</f>
        <v/>
      </c>
      <c r="K1671" s="17"/>
      <c r="L1671" s="17" t="str">
        <f>IF(OR(COUNTIF('クラス'!$A$1:$A$1267,$B1671)&gt;0,$B1671="",$M1671=""),"",True)</f>
        <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9.0</v>
      </c>
      <c r="B1672" s="26" t="s">
        <v>1937</v>
      </c>
      <c r="C1672" s="1"/>
      <c r="D1672" s="1"/>
      <c r="E1672" s="29" t="s">
        <v>55</v>
      </c>
      <c r="F1672" s="15"/>
      <c r="G1672" s="16"/>
      <c r="H1672" s="22" t="s">
        <v>1938</v>
      </c>
      <c r="I1672" s="7"/>
      <c r="J1672" s="7" t="str">
        <f>IFERROR(LET(_xlpm.v,
VLOOKUP($I1672,'用語辞書'!$A:$B,COLUMN('用語辞書'!B$1),FALSE),
IF(_xlpm.v=0,"",_xlpm.v)
),"")</f>
        <v/>
      </c>
      <c r="K1672" s="17"/>
      <c r="L1672" s="17" t="b">
        <f>IF(OR(COUNTIF('クラス'!$A$1:$A$1267,$B1672)&gt;0,$B1672="",$M1672=""),"",True)</f>
        <v>1</v>
      </c>
      <c r="M1672" s="1" t="str">
        <f t="shared" si="27"/>
        <v>存在しない</v>
      </c>
      <c r="N1672" s="1" t="s">
        <v>29</v>
      </c>
      <c r="O1672" s="1"/>
      <c r="P1672" s="11"/>
      <c r="Q1672" s="11"/>
      <c r="R1672" s="11"/>
      <c r="S1672" s="11"/>
      <c r="T1672" s="1"/>
      <c r="U1672" s="1"/>
      <c r="V1672" s="1"/>
      <c r="W1672" s="1"/>
      <c r="X1672" s="1"/>
      <c r="Y1672" s="1"/>
      <c r="Z1672" s="1"/>
    </row>
    <row r="1673" ht="18.0" hidden="1" customHeight="1" outlineLevel="2">
      <c r="A1673" s="1">
        <v>10.0</v>
      </c>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ollapsed="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1"/>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customHeight="1" outlineLevel="1">
      <c r="A1676" s="1"/>
      <c r="B1676" s="26" t="s">
        <v>1939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存在しない</v>
      </c>
      <c r="N1676" s="1" t="s">
        <v>29</v>
      </c>
      <c r="O1676" s="1"/>
      <c r="P1676" s="11"/>
      <c r="Q1676" s="11"/>
      <c r="R1676" s="11"/>
      <c r="S1676" s="11"/>
      <c r="T1676" s="1"/>
      <c r="U1676" s="1"/>
      <c r="V1676" s="1"/>
      <c r="W1676" s="1"/>
      <c r="X1676" s="1"/>
      <c r="Y1676" s="1"/>
      <c r="Z1676" s="1"/>
    </row>
    <row r="1677" ht="18.0" hidden="1" customHeight="1" outlineLevel="2">
      <c r="A1677" s="1">
        <v>1.0</v>
      </c>
      <c r="B1677" s="26" t="s">
        <v>1929</v>
      </c>
      <c r="C1677" s="1"/>
      <c r="D1677" s="1"/>
      <c r="E1677" s="14"/>
      <c r="F1677" s="15"/>
      <c r="G1677" s="16"/>
      <c r="H1677" s="11"/>
      <c r="I1677" s="7"/>
      <c r="J1677" s="7" t="str">
        <f>IFERROR(LET(_xlpm.v,
VLOOKUP($I1677,'用語辞書'!$A:$B,COLUMN('用語辞書'!B$1),FALSE),
IF(_xlpm.v=0,"",_xlpm.v)
),"")</f>
        <v/>
      </c>
      <c r="K1677" s="17"/>
      <c r="L1677" s="17" t="str">
        <f>IF(OR(COUNTIF('クラス'!$A$1:$A$1267,$B1677)&gt;0,$B1677="",$M1677=""),"",True)</f>
        <v/>
      </c>
      <c r="M1677" s="1" t="str">
        <f t="shared" si="27"/>
        <v/>
      </c>
      <c r="N1677" s="1" t="s">
        <v>29</v>
      </c>
      <c r="O1677" s="1"/>
      <c r="P1677" s="11"/>
      <c r="Q1677" s="11"/>
      <c r="R1677" s="11"/>
      <c r="S1677" s="11"/>
      <c r="T1677" s="1"/>
      <c r="U1677" s="1"/>
      <c r="V1677" s="1"/>
      <c r="W1677" s="1"/>
      <c r="X1677" s="1"/>
      <c r="Y1677" s="1"/>
      <c r="Z1677" s="1"/>
    </row>
    <row r="1678" ht="18.0" hidden="1" customHeight="1" outlineLevel="2">
      <c r="A1678" s="1">
        <v>2.0</v>
      </c>
      <c r="B1678" s="26" t="s">
        <v>1940</v>
      </c>
      <c r="C1678" s="1"/>
      <c r="D1678" s="1"/>
      <c r="E1678" s="29" t="s">
        <v>55</v>
      </c>
      <c r="F1678" s="15"/>
      <c r="G1678" s="16"/>
      <c r="H1678" s="22" t="s">
        <v>1941</v>
      </c>
      <c r="I1678" s="7"/>
      <c r="J1678" s="7" t="str">
        <f>IFERROR(LET(_xlpm.v,
VLOOKUP($I1678,'用語辞書'!$A:$B,COLUMN('用語辞書'!B$1),FALSE),
IF(_xlpm.v=0,"",_xlpm.v)
),"")</f>
        <v/>
      </c>
      <c r="K1678" s="17"/>
      <c r="L1678" s="17" t="b">
        <f>IF(OR(COUNTIF('クラス'!$A$1:$A$1267,$B1678)&gt;0,$B1678="",$M1678=""),"",True)</f>
        <v>1</v>
      </c>
      <c r="M1678" s="1" t="str">
        <f t="shared" si="27"/>
        <v>存在しない</v>
      </c>
      <c r="N1678" s="1" t="s">
        <v>29</v>
      </c>
      <c r="O1678" s="1"/>
      <c r="P1678" s="11"/>
      <c r="Q1678" s="11"/>
      <c r="R1678" s="11"/>
      <c r="S1678" s="11"/>
      <c r="T1678" s="1"/>
      <c r="U1678" s="1"/>
      <c r="V1678" s="1"/>
      <c r="W1678" s="1"/>
      <c r="X1678" s="1"/>
      <c r="Y1678" s="1"/>
      <c r="Z1678" s="1"/>
    </row>
    <row r="1679" ht="18.0" hidden="1" customHeight="1" outlineLevel="2">
      <c r="A1679" s="1">
        <v>3.0</v>
      </c>
      <c r="B1679" s="26" t="s">
        <v>1930</v>
      </c>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
      </c>
      <c r="N1679" s="1" t="s">
        <v>29</v>
      </c>
      <c r="O1679" s="1"/>
      <c r="P1679" s="11"/>
      <c r="Q1679" s="11"/>
      <c r="R1679" s="11"/>
      <c r="S1679" s="11"/>
      <c r="T1679" s="1"/>
      <c r="U1679" s="1"/>
      <c r="V1679" s="1"/>
      <c r="W1679" s="1"/>
      <c r="X1679" s="1"/>
      <c r="Y1679" s="1"/>
      <c r="Z1679" s="1"/>
    </row>
    <row r="1680" ht="18.0" hidden="1" customHeight="1" outlineLevel="2">
      <c r="A1680" s="1">
        <v>4.0</v>
      </c>
      <c r="B1680" s="1"/>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存在しない</v>
      </c>
      <c r="N1680" s="1" t="s">
        <v>29</v>
      </c>
      <c r="O1680" s="1"/>
      <c r="P1680" s="11"/>
      <c r="Q1680" s="11"/>
      <c r="R1680" s="11"/>
      <c r="S1680" s="11"/>
      <c r="T1680" s="1"/>
      <c r="U1680" s="1"/>
      <c r="V1680" s="1"/>
      <c r="W1680" s="1"/>
      <c r="X1680" s="1"/>
      <c r="Y1680" s="1"/>
      <c r="Z1680" s="1"/>
    </row>
    <row r="1681" ht="18.0" hidden="1" customHeight="1" outlineLevel="2">
      <c r="A1681" s="1">
        <v>5.0</v>
      </c>
      <c r="B1681" s="26" t="s">
        <v>1933</v>
      </c>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
      </c>
      <c r="N1681" s="1" t="s">
        <v>29</v>
      </c>
      <c r="O1681" s="1"/>
      <c r="P1681" s="11"/>
      <c r="Q1681" s="11"/>
      <c r="R1681" s="11"/>
      <c r="S1681" s="11"/>
      <c r="T1681" s="1"/>
      <c r="U1681" s="1"/>
      <c r="V1681" s="1"/>
      <c r="W1681" s="1"/>
      <c r="X1681" s="1"/>
      <c r="Y1681" s="1"/>
      <c r="Z1681" s="1"/>
    </row>
    <row r="1682" ht="18.0" hidden="1" customHeight="1" outlineLevel="2">
      <c r="A1682" s="1">
        <v>6.0</v>
      </c>
      <c r="B1682" s="1"/>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存在しない</v>
      </c>
      <c r="N1682" s="1" t="s">
        <v>29</v>
      </c>
      <c r="O1682" s="1"/>
      <c r="P1682" s="11"/>
      <c r="Q1682" s="11"/>
      <c r="R1682" s="11"/>
      <c r="S1682" s="11"/>
      <c r="T1682" s="1"/>
      <c r="U1682" s="1"/>
      <c r="V1682" s="1"/>
      <c r="W1682" s="1"/>
      <c r="X1682" s="1"/>
      <c r="Y1682" s="1"/>
      <c r="Z1682" s="1"/>
    </row>
    <row r="1683" ht="18.0" hidden="1" customHeight="1" outlineLevel="2">
      <c r="A1683" s="1">
        <v>7.0</v>
      </c>
      <c r="B1683" s="26" t="s">
        <v>1935</v>
      </c>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
      </c>
      <c r="N1683" s="1" t="s">
        <v>29</v>
      </c>
      <c r="O1683" s="1"/>
      <c r="P1683" s="11"/>
      <c r="Q1683" s="11"/>
      <c r="R1683" s="11"/>
      <c r="S1683" s="11"/>
      <c r="T1683" s="1"/>
      <c r="U1683" s="1"/>
      <c r="V1683" s="1"/>
      <c r="W1683" s="1"/>
      <c r="X1683" s="1"/>
      <c r="Y1683" s="1"/>
      <c r="Z1683" s="1"/>
    </row>
    <row r="1684" ht="18.0" hidden="1" customHeight="1" outlineLevel="2">
      <c r="A1684" s="1">
        <v>8.0</v>
      </c>
      <c r="B1684" s="1"/>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存在しない</v>
      </c>
      <c r="N1684" s="1" t="s">
        <v>29</v>
      </c>
      <c r="O1684" s="1"/>
      <c r="P1684" s="11"/>
      <c r="Q1684" s="11"/>
      <c r="R1684" s="11"/>
      <c r="S1684" s="11"/>
      <c r="T1684" s="1"/>
      <c r="U1684" s="1"/>
      <c r="V1684" s="1"/>
      <c r="W1684" s="1"/>
      <c r="X1684" s="1"/>
      <c r="Y1684" s="1"/>
      <c r="Z1684" s="1"/>
    </row>
    <row r="1685" ht="18.0" hidden="1" customHeight="1" outlineLevel="2">
      <c r="A1685" s="1">
        <v>9.0</v>
      </c>
      <c r="B1685" s="26" t="s">
        <v>1932</v>
      </c>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
      </c>
      <c r="N1685" s="1" t="s">
        <v>29</v>
      </c>
      <c r="O1685" s="1"/>
      <c r="P1685" s="11"/>
      <c r="Q1685" s="11"/>
      <c r="R1685" s="11"/>
      <c r="S1685" s="11"/>
      <c r="T1685" s="1"/>
      <c r="U1685" s="1"/>
      <c r="V1685" s="1"/>
      <c r="W1685" s="1"/>
      <c r="X1685" s="1"/>
      <c r="Y1685" s="1"/>
      <c r="Z1685" s="1"/>
    </row>
    <row r="1686" ht="18.0" hidden="1" customHeight="1" outlineLevel="2">
      <c r="A1686" s="1">
        <v>10.0</v>
      </c>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ollapsed="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1"/>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customHeight="1" outlineLevel="1">
      <c r="A1689" s="1"/>
      <c r="B1689" s="26" t="s">
        <v>1942</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存在しない</v>
      </c>
      <c r="N1689" s="1" t="s">
        <v>29</v>
      </c>
      <c r="O1689" s="1"/>
      <c r="P1689" s="11"/>
      <c r="Q1689" s="11"/>
      <c r="R1689" s="11"/>
      <c r="S1689" s="11"/>
      <c r="T1689" s="1"/>
      <c r="U1689" s="1"/>
      <c r="V1689" s="1"/>
      <c r="W1689" s="1"/>
      <c r="X1689" s="1"/>
      <c r="Y1689" s="1"/>
      <c r="Z1689" s="1"/>
    </row>
    <row r="1690" ht="18.0" hidden="1" customHeight="1" outlineLevel="2">
      <c r="A1690" s="1">
        <v>1.0</v>
      </c>
      <c r="B1690" s="26" t="s">
        <v>1929</v>
      </c>
      <c r="C1690" s="1"/>
      <c r="D1690" s="1"/>
      <c r="E1690" s="14"/>
      <c r="F1690" s="15"/>
      <c r="G1690" s="16"/>
      <c r="H1690" s="11"/>
      <c r="I1690" s="7"/>
      <c r="J1690" s="7" t="str">
        <f>IFERROR(LET(_xlpm.v,
VLOOKUP($I1690,'用語辞書'!$A:$B,COLUMN('用語辞書'!B$1),FALSE),
IF(_xlpm.v=0,"",_xlpm.v)
),"")</f>
        <v/>
      </c>
      <c r="K1690" s="17"/>
      <c r="L1690" s="17" t="str">
        <f>IF(OR(COUNTIF('クラス'!$A$1:$A$1267,$B1690)&gt;0,$B1690="",$M1690=""),"",True)</f>
        <v/>
      </c>
      <c r="M1690" s="1" t="str">
        <f t="shared" si="27"/>
        <v/>
      </c>
      <c r="N1690" s="1" t="s">
        <v>29</v>
      </c>
      <c r="O1690" s="1"/>
      <c r="P1690" s="11"/>
      <c r="Q1690" s="11"/>
      <c r="R1690" s="11"/>
      <c r="S1690" s="11"/>
      <c r="T1690" s="1"/>
      <c r="U1690" s="1"/>
      <c r="V1690" s="1"/>
      <c r="W1690" s="1"/>
      <c r="X1690" s="1"/>
      <c r="Y1690" s="1"/>
      <c r="Z1690" s="1"/>
    </row>
    <row r="1691" ht="18.0" hidden="1" customHeight="1" outlineLevel="2">
      <c r="A1691" s="1">
        <v>2.0</v>
      </c>
      <c r="B1691" s="26" t="s">
        <v>1943</v>
      </c>
      <c r="C1691" s="1"/>
      <c r="D1691" s="1"/>
      <c r="E1691" s="29" t="s">
        <v>55</v>
      </c>
      <c r="F1691" s="15"/>
      <c r="G1691" s="16"/>
      <c r="H1691" s="22" t="s">
        <v>1944</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3.0</v>
      </c>
      <c r="B1692" s="26" t="s">
        <v>1945</v>
      </c>
      <c r="C1692" s="1"/>
      <c r="D1692" s="1"/>
      <c r="E1692" s="29" t="s">
        <v>33</v>
      </c>
      <c r="F1692" s="15"/>
      <c r="G1692" s="30">
        <v>50.0</v>
      </c>
      <c r="H1692" s="22" t="s">
        <v>1946</v>
      </c>
      <c r="I1692" s="7"/>
      <c r="J1692" s="7" t="str">
        <f>IFERROR(LET(_xlpm.v,
VLOOKUP($I1692,'用語辞書'!$A:$B,COLUMN('用語辞書'!B$1),FALSE),
IF(_xlpm.v=0,"",_xlpm.v)
),"")</f>
        <v/>
      </c>
      <c r="K1692" s="17"/>
      <c r="L1692" s="17" t="b">
        <f>IF(OR(COUNTIF('クラス'!$A$1:$A$1267,$B1692)&gt;0,$B1692="",$M1692=""),"",True)</f>
        <v>1</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4.0</v>
      </c>
      <c r="B1693" s="1"/>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存在しない</v>
      </c>
      <c r="N1693" s="1" t="s">
        <v>29</v>
      </c>
      <c r="O1693" s="1"/>
      <c r="P1693" s="11"/>
      <c r="Q1693" s="11"/>
      <c r="R1693" s="11"/>
      <c r="S1693" s="11"/>
      <c r="T1693" s="1"/>
      <c r="U1693" s="1"/>
      <c r="V1693" s="1"/>
      <c r="W1693" s="1"/>
      <c r="X1693" s="1"/>
      <c r="Y1693" s="1"/>
      <c r="Z1693" s="1"/>
    </row>
    <row r="1694" ht="18.0" hidden="1" customHeight="1" outlineLevel="2">
      <c r="A1694" s="1">
        <v>5.0</v>
      </c>
      <c r="B1694" s="26" t="s">
        <v>1930</v>
      </c>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
      </c>
      <c r="N1694" s="1" t="s">
        <v>29</v>
      </c>
      <c r="O1694" s="1"/>
      <c r="P1694" s="11"/>
      <c r="Q1694" s="11"/>
      <c r="R1694" s="11"/>
      <c r="S1694" s="11"/>
      <c r="T1694" s="1"/>
      <c r="U1694" s="1"/>
      <c r="V1694" s="1"/>
      <c r="W1694" s="1"/>
      <c r="X1694" s="1"/>
      <c r="Y1694" s="1"/>
      <c r="Z1694" s="1"/>
    </row>
    <row r="1695" ht="18.0" hidden="1" customHeight="1" outlineLevel="2">
      <c r="A1695" s="1">
        <v>6.0</v>
      </c>
      <c r="B1695" s="1"/>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存在しない</v>
      </c>
      <c r="N1695" s="1" t="s">
        <v>29</v>
      </c>
      <c r="O1695" s="1"/>
      <c r="P1695" s="11"/>
      <c r="Q1695" s="11"/>
      <c r="R1695" s="11"/>
      <c r="S1695" s="11"/>
      <c r="T1695" s="1"/>
      <c r="U1695" s="1"/>
      <c r="V1695" s="1"/>
      <c r="W1695" s="1"/>
      <c r="X1695" s="1"/>
      <c r="Y1695" s="1"/>
      <c r="Z1695" s="1"/>
    </row>
    <row r="1696" ht="18.0" hidden="1" customHeight="1" outlineLevel="2">
      <c r="A1696" s="1">
        <v>7.0</v>
      </c>
      <c r="B1696" s="26" t="s">
        <v>1932</v>
      </c>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
      </c>
      <c r="N1696" s="1" t="s">
        <v>29</v>
      </c>
      <c r="O1696" s="1"/>
      <c r="P1696" s="11"/>
      <c r="Q1696" s="11"/>
      <c r="R1696" s="11"/>
      <c r="S1696" s="11"/>
      <c r="T1696" s="1"/>
      <c r="U1696" s="1"/>
      <c r="V1696" s="1"/>
      <c r="W1696" s="1"/>
      <c r="X1696" s="1"/>
      <c r="Y1696" s="1"/>
      <c r="Z1696" s="1"/>
    </row>
    <row r="1697" ht="18.0" hidden="1" customHeight="1" outlineLevel="2">
      <c r="A1697" s="1">
        <v>8.0</v>
      </c>
      <c r="B1697" s="1"/>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存在しない</v>
      </c>
      <c r="N1697" s="1" t="s">
        <v>29</v>
      </c>
      <c r="O1697" s="1"/>
      <c r="P1697" s="11"/>
      <c r="Q1697" s="11"/>
      <c r="R1697" s="11"/>
      <c r="S1697" s="11"/>
      <c r="T1697" s="1"/>
      <c r="U1697" s="1"/>
      <c r="V1697" s="1"/>
      <c r="W1697" s="1"/>
      <c r="X1697" s="1"/>
      <c r="Y1697" s="1"/>
      <c r="Z1697" s="1"/>
    </row>
    <row r="1698" ht="18.0" hidden="1" customHeight="1" outlineLevel="2">
      <c r="A1698" s="1">
        <v>9.0</v>
      </c>
      <c r="B1698" s="26" t="s">
        <v>1935</v>
      </c>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
      </c>
      <c r="N1698" s="1" t="s">
        <v>29</v>
      </c>
      <c r="O1698" s="1"/>
      <c r="P1698" s="11"/>
      <c r="Q1698" s="11"/>
      <c r="R1698" s="11"/>
      <c r="S1698" s="11"/>
      <c r="T1698" s="1"/>
      <c r="U1698" s="1"/>
      <c r="V1698" s="1"/>
      <c r="W1698" s="1"/>
      <c r="X1698" s="1"/>
      <c r="Y1698" s="1"/>
      <c r="Z1698" s="1"/>
    </row>
    <row r="1699" ht="18.0" hidden="1" customHeight="1" outlineLevel="2">
      <c r="A1699" s="1">
        <v>10.0</v>
      </c>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ollapsed="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1"/>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customHeight="1" outlineLevel="1">
      <c r="A1702" s="1"/>
      <c r="B1702" s="26" t="s">
        <v>1947</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存在しない</v>
      </c>
      <c r="N1702" s="1" t="s">
        <v>29</v>
      </c>
      <c r="O1702" s="1"/>
      <c r="P1702" s="11"/>
      <c r="Q1702" s="11"/>
      <c r="R1702" s="11"/>
      <c r="S1702" s="11"/>
      <c r="T1702" s="1"/>
      <c r="U1702" s="1"/>
      <c r="V1702" s="1"/>
      <c r="W1702" s="1"/>
      <c r="X1702" s="1"/>
      <c r="Y1702" s="1"/>
      <c r="Z1702" s="1"/>
    </row>
    <row r="1703" ht="18.0" hidden="1" customHeight="1" outlineLevel="2">
      <c r="A1703" s="1">
        <v>1.0</v>
      </c>
      <c r="B1703" s="26" t="s">
        <v>1929</v>
      </c>
      <c r="C1703" s="1"/>
      <c r="D1703" s="1"/>
      <c r="E1703" s="14"/>
      <c r="F1703" s="15"/>
      <c r="G1703" s="16"/>
      <c r="H1703" s="11"/>
      <c r="I1703" s="7"/>
      <c r="J1703" s="7" t="str">
        <f>IFERROR(LET(_xlpm.v,
VLOOKUP($I1703,'用語辞書'!$A:$B,COLUMN('用語辞書'!B$1),FALSE),
IF(_xlpm.v=0,"",_xlpm.v)
),"")</f>
        <v/>
      </c>
      <c r="K1703" s="17"/>
      <c r="L1703" s="17" t="str">
        <f>IF(OR(COUNTIF('クラス'!$A$1:$A$1267,$B1703)&gt;0,$B1703="",$M1703=""),"",True)</f>
        <v/>
      </c>
      <c r="M1703" s="1" t="str">
        <f t="shared" si="27"/>
        <v/>
      </c>
      <c r="N1703" s="1" t="s">
        <v>29</v>
      </c>
      <c r="O1703" s="1"/>
      <c r="P1703" s="11"/>
      <c r="Q1703" s="11"/>
      <c r="R1703" s="11"/>
      <c r="S1703" s="11"/>
      <c r="T1703" s="1"/>
      <c r="U1703" s="1"/>
      <c r="V1703" s="1"/>
      <c r="W1703" s="1"/>
      <c r="X1703" s="1"/>
      <c r="Y1703" s="1"/>
      <c r="Z1703" s="1"/>
    </row>
    <row r="1704" ht="18.0" hidden="1" customHeight="1" outlineLevel="2">
      <c r="A1704" s="1">
        <v>2.0</v>
      </c>
      <c r="B1704" s="26" t="s">
        <v>1948</v>
      </c>
      <c r="C1704" s="1"/>
      <c r="D1704" s="1"/>
      <c r="E1704" s="29" t="s">
        <v>33</v>
      </c>
      <c r="F1704" s="15"/>
      <c r="G1704" s="30">
        <v>50.0</v>
      </c>
      <c r="H1704" s="22" t="s">
        <v>1949</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3.0</v>
      </c>
      <c r="B1705" s="26" t="s">
        <v>1950</v>
      </c>
      <c r="C1705" s="1"/>
      <c r="D1705" s="1"/>
      <c r="E1705" s="29" t="s">
        <v>55</v>
      </c>
      <c r="F1705" s="15"/>
      <c r="G1705" s="16"/>
      <c r="H1705" s="22" t="s">
        <v>1951</v>
      </c>
      <c r="I1705" s="7"/>
      <c r="J1705" s="7" t="str">
        <f>IFERROR(LET(_xlpm.v,
VLOOKUP($I1705,'用語辞書'!$A:$B,COLUMN('用語辞書'!B$1),FALSE),
IF(_xlpm.v=0,"",_xlpm.v)
),"")</f>
        <v/>
      </c>
      <c r="K1705" s="17"/>
      <c r="L1705" s="17" t="b">
        <f>IF(OR(COUNTIF('クラス'!$A$1:$A$1267,$B1705)&gt;0,$B1705="",$M1705=""),"",True)</f>
        <v>1</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4.0</v>
      </c>
      <c r="B1706" s="1"/>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存在しない</v>
      </c>
      <c r="N1706" s="1" t="s">
        <v>29</v>
      </c>
      <c r="O1706" s="1"/>
      <c r="P1706" s="11"/>
      <c r="Q1706" s="11"/>
      <c r="R1706" s="11"/>
      <c r="S1706" s="11"/>
      <c r="T1706" s="1"/>
      <c r="U1706" s="1"/>
      <c r="V1706" s="1"/>
      <c r="W1706" s="1"/>
      <c r="X1706" s="1"/>
      <c r="Y1706" s="1"/>
      <c r="Z1706" s="1"/>
    </row>
    <row r="1707" ht="18.0" hidden="1" customHeight="1" outlineLevel="2">
      <c r="A1707" s="1">
        <v>5.0</v>
      </c>
      <c r="B1707" s="26" t="s">
        <v>1930</v>
      </c>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
      </c>
      <c r="N1707" s="1" t="s">
        <v>29</v>
      </c>
      <c r="O1707" s="1"/>
      <c r="P1707" s="11"/>
      <c r="Q1707" s="11"/>
      <c r="R1707" s="11"/>
      <c r="S1707" s="11"/>
      <c r="T1707" s="1"/>
      <c r="U1707" s="1"/>
      <c r="V1707" s="1"/>
      <c r="W1707" s="1"/>
      <c r="X1707" s="1"/>
      <c r="Y1707" s="1"/>
      <c r="Z1707" s="1"/>
    </row>
    <row r="1708" ht="18.0" hidden="1" customHeight="1" outlineLevel="2">
      <c r="A1708" s="1">
        <v>6.0</v>
      </c>
      <c r="B1708" s="1"/>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存在しない</v>
      </c>
      <c r="N1708" s="1" t="s">
        <v>29</v>
      </c>
      <c r="O1708" s="1"/>
      <c r="P1708" s="11"/>
      <c r="Q1708" s="11"/>
      <c r="R1708" s="11"/>
      <c r="S1708" s="11"/>
      <c r="T1708" s="1"/>
      <c r="U1708" s="1"/>
      <c r="V1708" s="1"/>
      <c r="W1708" s="1"/>
      <c r="X1708" s="1"/>
      <c r="Y1708" s="1"/>
      <c r="Z1708" s="1"/>
    </row>
    <row r="1709" ht="18.0" hidden="1" customHeight="1" outlineLevel="2">
      <c r="A1709" s="1">
        <v>7.0</v>
      </c>
      <c r="B1709" s="26" t="s">
        <v>1932</v>
      </c>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
      </c>
      <c r="N1709" s="1" t="s">
        <v>29</v>
      </c>
      <c r="O1709" s="1"/>
      <c r="P1709" s="11"/>
      <c r="Q1709" s="11"/>
      <c r="R1709" s="11"/>
      <c r="S1709" s="11"/>
      <c r="T1709" s="1"/>
      <c r="U1709" s="1"/>
      <c r="V1709" s="1"/>
      <c r="W1709" s="1"/>
      <c r="X1709" s="1"/>
      <c r="Y1709" s="1"/>
      <c r="Z1709" s="1"/>
    </row>
    <row r="1710" ht="18.0" hidden="1" customHeight="1" outlineLevel="2">
      <c r="A1710" s="1">
        <v>8.0</v>
      </c>
      <c r="B1710" s="1"/>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存在しない</v>
      </c>
      <c r="N1710" s="1" t="s">
        <v>29</v>
      </c>
      <c r="O1710" s="1"/>
      <c r="P1710" s="11"/>
      <c r="Q1710" s="11"/>
      <c r="R1710" s="11"/>
      <c r="S1710" s="11"/>
      <c r="T1710" s="1"/>
      <c r="U1710" s="1"/>
      <c r="V1710" s="1"/>
      <c r="W1710" s="1"/>
      <c r="X1710" s="1"/>
      <c r="Y1710" s="1"/>
      <c r="Z1710" s="1"/>
    </row>
    <row r="1711" ht="18.0" hidden="1" customHeight="1" outlineLevel="2">
      <c r="A1711" s="1">
        <v>9.0</v>
      </c>
      <c r="B1711" s="26" t="s">
        <v>1935</v>
      </c>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
      </c>
      <c r="N1711" s="1" t="s">
        <v>29</v>
      </c>
      <c r="O1711" s="1"/>
      <c r="P1711" s="11"/>
      <c r="Q1711" s="11"/>
      <c r="R1711" s="11"/>
      <c r="S1711" s="11"/>
      <c r="T1711" s="1"/>
      <c r="U1711" s="1"/>
      <c r="V1711" s="1"/>
      <c r="W1711" s="1"/>
      <c r="X1711" s="1"/>
      <c r="Y1711" s="1"/>
      <c r="Z1711" s="1"/>
    </row>
    <row r="1712" ht="18.0" hidden="1" customHeight="1" outlineLevel="2">
      <c r="A1712" s="1">
        <v>10.0</v>
      </c>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ollapsed="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1"/>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customHeight="1" outlineLevel="1">
      <c r="A1715" s="1"/>
      <c r="B1715" s="26" t="s">
        <v>1952</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存在しない</v>
      </c>
      <c r="N1715" s="1" t="s">
        <v>29</v>
      </c>
      <c r="O1715" s="1"/>
      <c r="P1715" s="11"/>
      <c r="Q1715" s="11"/>
      <c r="R1715" s="11"/>
      <c r="S1715" s="11"/>
      <c r="T1715" s="1"/>
      <c r="U1715" s="1"/>
      <c r="V1715" s="1"/>
      <c r="W1715" s="1"/>
      <c r="X1715" s="1"/>
      <c r="Y1715" s="1"/>
      <c r="Z1715" s="1"/>
    </row>
    <row r="1716" ht="18.0" hidden="1" customHeight="1" outlineLevel="2">
      <c r="A1716" s="1">
        <v>1.0</v>
      </c>
      <c r="B1716" s="26" t="s">
        <v>1929</v>
      </c>
      <c r="C1716" s="1"/>
      <c r="D1716" s="1"/>
      <c r="E1716" s="14"/>
      <c r="F1716" s="15"/>
      <c r="G1716" s="16"/>
      <c r="H1716" s="11"/>
      <c r="I1716" s="7"/>
      <c r="J1716" s="7" t="str">
        <f>IFERROR(LET(_xlpm.v,
VLOOKUP($I1716,'用語辞書'!$A:$B,COLUMN('用語辞書'!B$1),FALSE),
IF(_xlpm.v=0,"",_xlpm.v)
),"")</f>
        <v/>
      </c>
      <c r="K1716" s="17"/>
      <c r="L1716" s="17" t="str">
        <f>IF(OR(COUNTIF('クラス'!$A$1:$A$1267,$B1716)&gt;0,$B1716="",$M1716=""),"",True)</f>
        <v/>
      </c>
      <c r="M1716" s="1" t="str">
        <f t="shared" si="27"/>
        <v/>
      </c>
      <c r="N1716" s="1" t="s">
        <v>29</v>
      </c>
      <c r="O1716" s="1"/>
      <c r="P1716" s="11"/>
      <c r="Q1716" s="11"/>
      <c r="R1716" s="11"/>
      <c r="S1716" s="11"/>
      <c r="T1716" s="1"/>
      <c r="U1716" s="1"/>
      <c r="V1716" s="1"/>
      <c r="W1716" s="1"/>
      <c r="X1716" s="1"/>
      <c r="Y1716" s="1"/>
      <c r="Z1716" s="1"/>
    </row>
    <row r="1717" ht="18.0" hidden="1" customHeight="1" outlineLevel="2">
      <c r="A1717" s="1">
        <v>2.0</v>
      </c>
      <c r="B1717" s="26" t="s">
        <v>1953</v>
      </c>
      <c r="C1717" s="1"/>
      <c r="D1717" s="1"/>
      <c r="E1717" s="29" t="s">
        <v>55</v>
      </c>
      <c r="F1717" s="15"/>
      <c r="G1717" s="16"/>
      <c r="H1717" s="22" t="s">
        <v>1954</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3.0</v>
      </c>
      <c r="B1718" s="26" t="s">
        <v>1955</v>
      </c>
      <c r="C1718" s="1"/>
      <c r="D1718" s="1"/>
      <c r="E1718" s="29" t="s">
        <v>33</v>
      </c>
      <c r="F1718" s="15"/>
      <c r="G1718" s="30">
        <v>50.0</v>
      </c>
      <c r="H1718" s="22" t="s">
        <v>1956</v>
      </c>
      <c r="I1718" s="7"/>
      <c r="J1718" s="7" t="str">
        <f>IFERROR(LET(_xlpm.v,
VLOOKUP($I1718,'用語辞書'!$A:$B,COLUMN('用語辞書'!B$1),FALSE),
IF(_xlpm.v=0,"",_xlpm.v)
),"")</f>
        <v/>
      </c>
      <c r="K1718" s="17"/>
      <c r="L1718" s="17" t="b">
        <f>IF(OR(COUNTIF('クラス'!$A$1:$A$1267,$B1718)&gt;0,$B1718="",$M1718=""),"",True)</f>
        <v>1</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4.0</v>
      </c>
      <c r="B1719" s="1"/>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存在しない</v>
      </c>
      <c r="N1719" s="1" t="s">
        <v>29</v>
      </c>
      <c r="O1719" s="1"/>
      <c r="P1719" s="11"/>
      <c r="Q1719" s="11"/>
      <c r="R1719" s="11"/>
      <c r="S1719" s="11"/>
      <c r="T1719" s="1"/>
      <c r="U1719" s="1"/>
      <c r="V1719" s="1"/>
      <c r="W1719" s="1"/>
      <c r="X1719" s="1"/>
      <c r="Y1719" s="1"/>
      <c r="Z1719" s="1"/>
    </row>
    <row r="1720" ht="18.0" hidden="1" customHeight="1" outlineLevel="2">
      <c r="A1720" s="1">
        <v>5.0</v>
      </c>
      <c r="B1720" s="26" t="s">
        <v>1930</v>
      </c>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
      </c>
      <c r="N1720" s="1" t="s">
        <v>29</v>
      </c>
      <c r="O1720" s="1"/>
      <c r="P1720" s="11"/>
      <c r="Q1720" s="11"/>
      <c r="R1720" s="11"/>
      <c r="S1720" s="11"/>
      <c r="T1720" s="1"/>
      <c r="U1720" s="1"/>
      <c r="V1720" s="1"/>
      <c r="W1720" s="1"/>
      <c r="X1720" s="1"/>
      <c r="Y1720" s="1"/>
      <c r="Z1720" s="1"/>
    </row>
    <row r="1721" ht="18.0" hidden="1" customHeight="1" outlineLevel="2">
      <c r="A1721" s="1">
        <v>6.0</v>
      </c>
      <c r="B1721" s="1"/>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存在しない</v>
      </c>
      <c r="N1721" s="1" t="s">
        <v>29</v>
      </c>
      <c r="O1721" s="1"/>
      <c r="P1721" s="11"/>
      <c r="Q1721" s="11"/>
      <c r="R1721" s="11"/>
      <c r="S1721" s="11"/>
      <c r="T1721" s="1"/>
      <c r="U1721" s="1"/>
      <c r="V1721" s="1"/>
      <c r="W1721" s="1"/>
      <c r="X1721" s="1"/>
      <c r="Y1721" s="1"/>
      <c r="Z1721" s="1"/>
    </row>
    <row r="1722" ht="18.0" hidden="1" customHeight="1" outlineLevel="2">
      <c r="A1722" s="1">
        <v>7.0</v>
      </c>
      <c r="B1722" s="26" t="s">
        <v>1932</v>
      </c>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
      </c>
      <c r="N1722" s="1" t="s">
        <v>29</v>
      </c>
      <c r="O1722" s="1"/>
      <c r="P1722" s="11"/>
      <c r="Q1722" s="11"/>
      <c r="R1722" s="11"/>
      <c r="S1722" s="11"/>
      <c r="T1722" s="1"/>
      <c r="U1722" s="1"/>
      <c r="V1722" s="1"/>
      <c r="W1722" s="1"/>
      <c r="X1722" s="1"/>
      <c r="Y1722" s="1"/>
      <c r="Z1722" s="1"/>
    </row>
    <row r="1723" ht="18.0" hidden="1" customHeight="1" outlineLevel="2">
      <c r="A1723" s="1">
        <v>8.0</v>
      </c>
      <c r="B1723" s="1"/>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存在しない</v>
      </c>
      <c r="N1723" s="1" t="s">
        <v>29</v>
      </c>
      <c r="O1723" s="1"/>
      <c r="P1723" s="11"/>
      <c r="Q1723" s="11"/>
      <c r="R1723" s="11"/>
      <c r="S1723" s="11"/>
      <c r="T1723" s="1"/>
      <c r="U1723" s="1"/>
      <c r="V1723" s="1"/>
      <c r="W1723" s="1"/>
      <c r="X1723" s="1"/>
      <c r="Y1723" s="1"/>
      <c r="Z1723" s="1"/>
    </row>
    <row r="1724" ht="18.0" hidden="1" customHeight="1" outlineLevel="2">
      <c r="A1724" s="1">
        <v>9.0</v>
      </c>
      <c r="B1724" s="26" t="s">
        <v>1935</v>
      </c>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
      </c>
      <c r="N1724" s="1" t="s">
        <v>29</v>
      </c>
      <c r="O1724" s="1"/>
      <c r="P1724" s="11"/>
      <c r="Q1724" s="11"/>
      <c r="R1724" s="11"/>
      <c r="S1724" s="11"/>
      <c r="T1724" s="1"/>
      <c r="U1724" s="1"/>
      <c r="V1724" s="1"/>
      <c r="W1724" s="1"/>
      <c r="X1724" s="1"/>
      <c r="Y1724" s="1"/>
      <c r="Z1724" s="1"/>
    </row>
    <row r="1725" ht="18.0" hidden="1" customHeight="1" outlineLevel="2">
      <c r="A1725" s="1">
        <v>10.0</v>
      </c>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ollapsed="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1"/>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customHeight="1" outlineLevel="1">
      <c r="A1728" s="1"/>
      <c r="B1728" s="26" t="s">
        <v>1957</v>
      </c>
      <c r="C1728" s="1"/>
      <c r="D1728" s="1"/>
      <c r="E1728" s="14"/>
      <c r="F1728" s="15"/>
      <c r="G1728" s="16"/>
      <c r="H1728" s="11"/>
      <c r="I1728" s="7"/>
      <c r="J1728" s="7" t="str">
        <f>IFERROR(LET(_xlpm.v,
VLOOKUP($I1728,'用語辞書'!$A:$B,COLUMN('用語辞書'!B$1),FALSE),
IF(_xlpm.v=0,"",_xlpm.v)
),"")</f>
        <v/>
      </c>
      <c r="K1728" s="17"/>
      <c r="L1728" s="17" t="str">
        <f>IF(OR(COUNTIF('クラス'!$A$1:$A$1267,$B1728)&gt;0,$B1728="",$M1728=""),"",True)</f>
        <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1.0</v>
      </c>
      <c r="B1729" s="26" t="s">
        <v>1958</v>
      </c>
      <c r="C1729" s="1"/>
      <c r="D1729" s="1"/>
      <c r="E1729" s="29" t="s">
        <v>33</v>
      </c>
      <c r="F1729" s="15"/>
      <c r="G1729" s="30">
        <v>40.0</v>
      </c>
      <c r="H1729" s="22" t="s">
        <v>1959</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2.0</v>
      </c>
      <c r="B1730" s="26" t="s">
        <v>1960</v>
      </c>
      <c r="C1730" s="1"/>
      <c r="D1730" s="1"/>
      <c r="E1730" s="29" t="s">
        <v>33</v>
      </c>
      <c r="F1730" s="15"/>
      <c r="G1730" s="30">
        <v>70.0</v>
      </c>
      <c r="H1730" s="22" t="s">
        <v>1961</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3.0</v>
      </c>
      <c r="B1731" s="26" t="s">
        <v>1962</v>
      </c>
      <c r="C1731" s="1"/>
      <c r="D1731" s="1"/>
      <c r="E1731" s="29" t="s">
        <v>55</v>
      </c>
      <c r="F1731" s="15"/>
      <c r="G1731" s="16"/>
      <c r="H1731" s="22" t="s">
        <v>1963</v>
      </c>
      <c r="I1731" s="7"/>
      <c r="J1731" s="7" t="str">
        <f>IFERROR(LET(_xlpm.v,
VLOOKUP($I1731,'用語辞書'!$A:$B,COLUMN('用語辞書'!B$1),FALSE),
IF(_xlpm.v=0,"",_xlpm.v)
),"")</f>
        <v/>
      </c>
      <c r="K1731" s="17"/>
      <c r="L1731" s="17" t="b">
        <f>IF(OR(COUNTIF('クラス'!$A$1:$A$1267,$B1731)&gt;0,$B1731="",$M1731=""),"",True)</f>
        <v>1</v>
      </c>
      <c r="M1731" s="1" t="str">
        <f t="shared" si="27"/>
        <v>存在しない</v>
      </c>
      <c r="N1731" s="1" t="s">
        <v>29</v>
      </c>
      <c r="O1731" s="1"/>
      <c r="P1731" s="11"/>
      <c r="Q1731" s="11"/>
      <c r="R1731" s="11"/>
      <c r="S1731" s="11"/>
      <c r="T1731" s="1"/>
      <c r="U1731" s="1"/>
      <c r="V1731" s="1"/>
      <c r="W1731" s="1"/>
      <c r="X1731" s="1"/>
      <c r="Y1731" s="1"/>
      <c r="Z1731" s="1"/>
    </row>
    <row r="1732" ht="18.0" hidden="1" customHeight="1" outlineLevel="2">
      <c r="A1732" s="1">
        <v>4.0</v>
      </c>
      <c r="B1732" s="26" t="s">
        <v>1932</v>
      </c>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
      </c>
      <c r="N1732" s="1" t="s">
        <v>29</v>
      </c>
      <c r="O1732" s="1"/>
      <c r="P1732" s="11"/>
      <c r="Q1732" s="11"/>
      <c r="R1732" s="11"/>
      <c r="S1732" s="11"/>
      <c r="T1732" s="1"/>
      <c r="U1732" s="1"/>
      <c r="V1732" s="1"/>
      <c r="W1732" s="1"/>
      <c r="X1732" s="1"/>
      <c r="Y1732" s="1"/>
      <c r="Z1732" s="1"/>
    </row>
    <row r="1733" ht="18.0" hidden="1" customHeight="1" outlineLevel="2">
      <c r="A1733" s="1">
        <v>5.0</v>
      </c>
      <c r="B1733" s="1"/>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存在しない</v>
      </c>
      <c r="N1733" s="1" t="s">
        <v>29</v>
      </c>
      <c r="O1733" s="1"/>
      <c r="P1733" s="11"/>
      <c r="Q1733" s="11"/>
      <c r="R1733" s="11"/>
      <c r="S1733" s="11"/>
      <c r="T1733" s="1"/>
      <c r="U1733" s="1"/>
      <c r="V1733" s="1"/>
      <c r="W1733" s="1"/>
      <c r="X1733" s="1"/>
      <c r="Y1733" s="1"/>
      <c r="Z1733" s="1"/>
    </row>
    <row r="1734" ht="18.0" hidden="1" customHeight="1" outlineLevel="2">
      <c r="A1734" s="1">
        <v>6.0</v>
      </c>
      <c r="B1734" s="26" t="s">
        <v>1933</v>
      </c>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
      </c>
      <c r="N1734" s="1" t="s">
        <v>29</v>
      </c>
      <c r="O1734" s="1"/>
      <c r="P1734" s="11"/>
      <c r="Q1734" s="11"/>
      <c r="R1734" s="11"/>
      <c r="S1734" s="11"/>
      <c r="T1734" s="1"/>
      <c r="U1734" s="1"/>
      <c r="V1734" s="1"/>
      <c r="W1734" s="1"/>
      <c r="X1734" s="1"/>
      <c r="Y1734" s="1"/>
      <c r="Z1734" s="1"/>
    </row>
    <row r="1735" ht="18.0" hidden="1" customHeight="1" outlineLevel="2">
      <c r="A1735" s="1">
        <v>7.0</v>
      </c>
      <c r="B1735" s="1"/>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存在しない</v>
      </c>
      <c r="N1735" s="1" t="s">
        <v>29</v>
      </c>
      <c r="O1735" s="1"/>
      <c r="P1735" s="11"/>
      <c r="Q1735" s="11"/>
      <c r="R1735" s="11"/>
      <c r="S1735" s="11"/>
      <c r="T1735" s="1"/>
      <c r="U1735" s="1"/>
      <c r="V1735" s="1"/>
      <c r="W1735" s="1"/>
      <c r="X1735" s="1"/>
      <c r="Y1735" s="1"/>
      <c r="Z1735" s="1"/>
    </row>
    <row r="1736" ht="18.0" hidden="1" customHeight="1" outlineLevel="2">
      <c r="A1736" s="1">
        <v>8.0</v>
      </c>
      <c r="B1736" s="26" t="s">
        <v>1935</v>
      </c>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
      </c>
      <c r="N1736" s="1" t="s">
        <v>29</v>
      </c>
      <c r="O1736" s="1"/>
      <c r="P1736" s="11"/>
      <c r="Q1736" s="11"/>
      <c r="R1736" s="11"/>
      <c r="S1736" s="11"/>
      <c r="T1736" s="1"/>
      <c r="U1736" s="1"/>
      <c r="V1736" s="1"/>
      <c r="W1736" s="1"/>
      <c r="X1736" s="1"/>
      <c r="Y1736" s="1"/>
      <c r="Z1736" s="1"/>
    </row>
    <row r="1737" ht="18.0" hidden="1" customHeight="1" outlineLevel="2">
      <c r="A1737" s="1">
        <v>9.0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hidden="1" customHeight="1" outlineLevel="2">
      <c r="A1738" s="1">
        <v>10.0</v>
      </c>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ollapsed="1">
      <c r="A1739" s="1"/>
      <c r="B1739" s="1"/>
      <c r="C1739" s="1"/>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c r="A1740" s="1"/>
      <c r="B1740" s="1"/>
      <c r="C1740" s="26" t="s">
        <v>1964</v>
      </c>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customHeight="1" outlineLevel="1">
      <c r="A1741" s="1"/>
      <c r="B1741" s="26" t="s">
        <v>1965</v>
      </c>
      <c r="C1741" s="1"/>
      <c r="D1741" s="1"/>
      <c r="E1741" s="14"/>
      <c r="F1741" s="15"/>
      <c r="G1741" s="16"/>
      <c r="H1741" s="11"/>
      <c r="I1741" s="7"/>
      <c r="J1741" s="7" t="str">
        <f>IFERROR(LET(_xlpm.v,
VLOOKUP($I1741,'用語辞書'!$A:$B,COLUMN('用語辞書'!B$1),FALSE),
IF(_xlpm.v=0,"",_xlpm.v)
),"")</f>
        <v/>
      </c>
      <c r="K1741" s="17"/>
      <c r="L1741" s="17" t="str">
        <f>IF(OR(COUNTIF('クラス'!$A$1:$A$1267,$B1741)&gt;0,$B1741="",$M1741=""),"",True)</f>
        <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1.0</v>
      </c>
      <c r="B1742" s="26" t="s">
        <v>1966</v>
      </c>
      <c r="C1742" s="1"/>
      <c r="D1742" s="1"/>
      <c r="E1742" s="29" t="s">
        <v>33</v>
      </c>
      <c r="F1742" s="15"/>
      <c r="G1742" s="30">
        <v>40.0</v>
      </c>
      <c r="H1742" s="22" t="s">
        <v>1967</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2.0</v>
      </c>
      <c r="B1743" s="26" t="s">
        <v>1968</v>
      </c>
      <c r="C1743" s="1"/>
      <c r="D1743" s="1"/>
      <c r="E1743" s="29" t="s">
        <v>33</v>
      </c>
      <c r="F1743" s="15"/>
      <c r="G1743" s="30">
        <v>50.0</v>
      </c>
      <c r="H1743" s="22" t="s">
        <v>1969</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3.0</v>
      </c>
      <c r="B1744" s="26" t="s">
        <v>1970</v>
      </c>
      <c r="C1744" s="1"/>
      <c r="D1744" s="1"/>
      <c r="E1744" s="29" t="s">
        <v>55</v>
      </c>
      <c r="F1744" s="15"/>
      <c r="G1744" s="16"/>
      <c r="H1744" s="22" t="s">
        <v>1971</v>
      </c>
      <c r="I1744" s="7"/>
      <c r="J1744" s="7" t="str">
        <f>IFERROR(LET(_xlpm.v,
VLOOKUP($I1744,'用語辞書'!$A:$B,COLUMN('用語辞書'!B$1),FALSE),
IF(_xlpm.v=0,"",_xlpm.v)
),"")</f>
        <v/>
      </c>
      <c r="K1744" s="17"/>
      <c r="L1744" s="17" t="b">
        <f>IF(OR(COUNTIF('クラス'!$A$1:$A$1267,$B1744)&gt;0,$B1744="",$M1744=""),"",True)</f>
        <v>1</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4.0</v>
      </c>
      <c r="B1745" s="1"/>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存在しない</v>
      </c>
      <c r="N1745" s="1" t="s">
        <v>29</v>
      </c>
      <c r="O1745" s="1"/>
      <c r="P1745" s="11"/>
      <c r="Q1745" s="11"/>
      <c r="R1745" s="11"/>
      <c r="S1745" s="11"/>
      <c r="T1745" s="1"/>
      <c r="U1745" s="1"/>
      <c r="V1745" s="1"/>
      <c r="W1745" s="1"/>
      <c r="X1745" s="1"/>
      <c r="Y1745" s="1"/>
      <c r="Z1745" s="1"/>
    </row>
    <row r="1746" ht="18.0" hidden="1" customHeight="1" outlineLevel="2">
      <c r="A1746" s="1">
        <v>5.0</v>
      </c>
      <c r="B1746" s="26" t="s">
        <v>1243</v>
      </c>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
      </c>
      <c r="N1746" s="1" t="s">
        <v>29</v>
      </c>
      <c r="O1746" s="1"/>
      <c r="P1746" s="11"/>
      <c r="Q1746" s="11"/>
      <c r="R1746" s="11"/>
      <c r="S1746" s="11"/>
      <c r="T1746" s="1"/>
      <c r="U1746" s="1"/>
      <c r="V1746" s="1"/>
      <c r="W1746" s="1"/>
      <c r="X1746" s="1"/>
      <c r="Y1746" s="1"/>
      <c r="Z1746" s="1"/>
    </row>
    <row r="1747" ht="18.0" hidden="1" customHeight="1" outlineLevel="2">
      <c r="A1747" s="1">
        <v>6.0</v>
      </c>
      <c r="B1747" s="1"/>
      <c r="C1747" s="1"/>
      <c r="D1747" s="1"/>
      <c r="E1747" s="14"/>
      <c r="F1747" s="15"/>
      <c r="G1747" s="16"/>
      <c r="H1747" s="11"/>
      <c r="I1747" s="7"/>
      <c r="J1747" s="7" t="str">
        <f>IFERROR(LET(_xlpm.v,
VLOOKUP($I1747,'用語辞書'!$A:$B,COLUMN('用語辞書'!B$1),FALSE),
IF(_xlpm.v=0,"",_xlpm.v)
),"")</f>
        <v/>
      </c>
      <c r="K1747" s="17"/>
      <c r="L1747" s="17" t="str">
        <f>IF(OR(COUNTIF('クラス'!$A$1:$A$1267,$B1747)&gt;0,$B1747="",$M1747=""),"",True)</f>
        <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7.0</v>
      </c>
      <c r="B1748" s="26" t="s">
        <v>1972</v>
      </c>
      <c r="C1748" s="1"/>
      <c r="D1748" s="1"/>
      <c r="E1748" s="29" t="s">
        <v>55</v>
      </c>
      <c r="F1748" s="15"/>
      <c r="G1748" s="16"/>
      <c r="H1748" s="22" t="s">
        <v>1973</v>
      </c>
      <c r="I1748" s="7"/>
      <c r="J1748" s="7" t="str">
        <f>IFERROR(LET(_xlpm.v,
VLOOKUP($I1748,'用語辞書'!$A:$B,COLUMN('用語辞書'!B$1),FALSE),
IF(_xlpm.v=0,"",_xlpm.v)
),"")</f>
        <v/>
      </c>
      <c r="K1748" s="17"/>
      <c r="L1748" s="17" t="b">
        <f>IF(OR(COUNTIF('クラス'!$A$1:$A$1267,$B1748)&gt;0,$B1748="",$M1748=""),"",True)</f>
        <v>1</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8.0</v>
      </c>
      <c r="B1749" s="1"/>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存在しない</v>
      </c>
      <c r="N1749" s="1" t="s">
        <v>29</v>
      </c>
      <c r="O1749" s="1"/>
      <c r="P1749" s="11"/>
      <c r="Q1749" s="11"/>
      <c r="R1749" s="11"/>
      <c r="S1749" s="11"/>
      <c r="T1749" s="1"/>
      <c r="U1749" s="1"/>
      <c r="V1749" s="1"/>
      <c r="W1749" s="1"/>
      <c r="X1749" s="1"/>
      <c r="Y1749" s="1"/>
      <c r="Z1749" s="1"/>
    </row>
    <row r="1750" ht="18.0" hidden="1" customHeight="1" outlineLevel="2">
      <c r="A1750" s="1">
        <v>9.0</v>
      </c>
      <c r="B1750" s="26" t="s">
        <v>1266</v>
      </c>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
      </c>
      <c r="N1750" s="1" t="s">
        <v>29</v>
      </c>
      <c r="O1750" s="1"/>
      <c r="P1750" s="11"/>
      <c r="Q1750" s="11"/>
      <c r="R1750" s="11"/>
      <c r="S1750" s="11"/>
      <c r="T1750" s="1"/>
      <c r="U1750" s="1"/>
      <c r="V1750" s="1"/>
      <c r="W1750" s="1"/>
      <c r="X1750" s="1"/>
      <c r="Y1750" s="1"/>
      <c r="Z1750" s="1"/>
    </row>
    <row r="1751" ht="18.0" hidden="1" customHeight="1" outlineLevel="2">
      <c r="A1751" s="1">
        <v>10.0</v>
      </c>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ollapsed="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1"/>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customHeight="1" outlineLevel="1">
      <c r="A1754" s="1"/>
      <c r="B1754" s="26" t="s">
        <v>1974</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存在しない</v>
      </c>
      <c r="N1754" s="1" t="s">
        <v>29</v>
      </c>
      <c r="O1754" s="1"/>
      <c r="P1754" s="11"/>
      <c r="Q1754" s="11"/>
      <c r="R1754" s="11"/>
      <c r="S1754" s="11"/>
      <c r="T1754" s="1"/>
      <c r="U1754" s="1"/>
      <c r="V1754" s="1"/>
      <c r="W1754" s="1"/>
      <c r="X1754" s="1"/>
      <c r="Y1754" s="1"/>
      <c r="Z1754" s="1"/>
    </row>
    <row r="1755" ht="18.0" hidden="1" customHeight="1" outlineLevel="2">
      <c r="A1755" s="1">
        <v>1.0</v>
      </c>
      <c r="B1755" s="26" t="s">
        <v>1966</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2.0</v>
      </c>
      <c r="B1756" s="26" t="s">
        <v>1968</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3.0</v>
      </c>
      <c r="B1757" s="26" t="s">
        <v>1970</v>
      </c>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
      </c>
      <c r="N1757" s="1" t="s">
        <v>29</v>
      </c>
      <c r="O1757" s="1"/>
      <c r="P1757" s="11"/>
      <c r="Q1757" s="11"/>
      <c r="R1757" s="11"/>
      <c r="S1757" s="11"/>
      <c r="T1757" s="1"/>
      <c r="U1757" s="1"/>
      <c r="V1757" s="1"/>
      <c r="W1757" s="1"/>
      <c r="X1757" s="1"/>
      <c r="Y1757" s="1"/>
      <c r="Z1757" s="1"/>
    </row>
    <row r="1758" ht="18.0" hidden="1" customHeight="1" outlineLevel="2">
      <c r="A1758" s="1">
        <v>4.0</v>
      </c>
      <c r="B1758" s="1"/>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存在しない</v>
      </c>
      <c r="N1758" s="1" t="s">
        <v>29</v>
      </c>
      <c r="O1758" s="1"/>
      <c r="P1758" s="11"/>
      <c r="Q1758" s="11"/>
      <c r="R1758" s="11"/>
      <c r="S1758" s="11"/>
      <c r="T1758" s="1"/>
      <c r="U1758" s="1"/>
      <c r="V1758" s="1"/>
      <c r="W1758" s="1"/>
      <c r="X1758" s="1"/>
      <c r="Y1758" s="1"/>
      <c r="Z1758" s="1"/>
    </row>
    <row r="1759" ht="18.0" hidden="1" customHeight="1" outlineLevel="2">
      <c r="A1759" s="1">
        <v>5.0</v>
      </c>
      <c r="B1759" s="26" t="s">
        <v>1243</v>
      </c>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
      </c>
      <c r="N1759" s="1" t="s">
        <v>29</v>
      </c>
      <c r="O1759" s="1"/>
      <c r="P1759" s="11"/>
      <c r="Q1759" s="11"/>
      <c r="R1759" s="11"/>
      <c r="S1759" s="11"/>
      <c r="T1759" s="1"/>
      <c r="U1759" s="1"/>
      <c r="V1759" s="1"/>
      <c r="W1759" s="1"/>
      <c r="X1759" s="1"/>
      <c r="Y1759" s="1"/>
      <c r="Z1759" s="1"/>
    </row>
    <row r="1760" ht="18.0" hidden="1" customHeight="1" outlineLevel="2">
      <c r="A1760" s="1">
        <v>6.0</v>
      </c>
      <c r="B1760" s="1"/>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存在しない</v>
      </c>
      <c r="N1760" s="1" t="s">
        <v>29</v>
      </c>
      <c r="O1760" s="1"/>
      <c r="P1760" s="11"/>
      <c r="Q1760" s="11"/>
      <c r="R1760" s="11"/>
      <c r="S1760" s="11"/>
      <c r="T1760" s="1"/>
      <c r="U1760" s="1"/>
      <c r="V1760" s="1"/>
      <c r="W1760" s="1"/>
      <c r="X1760" s="1"/>
      <c r="Y1760" s="1"/>
      <c r="Z1760" s="1"/>
    </row>
    <row r="1761" ht="18.0" hidden="1" customHeight="1" outlineLevel="2">
      <c r="A1761" s="1">
        <v>7.0</v>
      </c>
      <c r="B1761" s="26" t="s">
        <v>1972</v>
      </c>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
      </c>
      <c r="N1761" s="1" t="s">
        <v>29</v>
      </c>
      <c r="O1761" s="1"/>
      <c r="P1761" s="11"/>
      <c r="Q1761" s="11"/>
      <c r="R1761" s="11"/>
      <c r="S1761" s="11"/>
      <c r="T1761" s="1"/>
      <c r="U1761" s="1"/>
      <c r="V1761" s="1"/>
      <c r="W1761" s="1"/>
      <c r="X1761" s="1"/>
      <c r="Y1761" s="1"/>
      <c r="Z1761" s="1"/>
    </row>
    <row r="1762" ht="18.0" hidden="1" customHeight="1" outlineLevel="2">
      <c r="A1762" s="1">
        <v>8.0</v>
      </c>
      <c r="B1762" s="1"/>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存在しない</v>
      </c>
      <c r="N1762" s="1" t="s">
        <v>29</v>
      </c>
      <c r="O1762" s="1"/>
      <c r="P1762" s="11"/>
      <c r="Q1762" s="11"/>
      <c r="R1762" s="11"/>
      <c r="S1762" s="11"/>
      <c r="T1762" s="1"/>
      <c r="U1762" s="1"/>
      <c r="V1762" s="1"/>
      <c r="W1762" s="1"/>
      <c r="X1762" s="1"/>
      <c r="Y1762" s="1"/>
      <c r="Z1762" s="1"/>
    </row>
    <row r="1763" ht="18.0" hidden="1" customHeight="1" outlineLevel="2">
      <c r="A1763" s="1">
        <v>9.0</v>
      </c>
      <c r="B1763" s="26" t="s">
        <v>1932</v>
      </c>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
      </c>
      <c r="N1763" s="1" t="s">
        <v>29</v>
      </c>
      <c r="O1763" s="1"/>
      <c r="P1763" s="11"/>
      <c r="Q1763" s="11"/>
      <c r="R1763" s="11"/>
      <c r="S1763" s="11"/>
      <c r="T1763" s="1"/>
      <c r="U1763" s="1"/>
      <c r="V1763" s="1"/>
      <c r="W1763" s="1"/>
      <c r="X1763" s="1"/>
      <c r="Y1763" s="1"/>
      <c r="Z1763" s="1"/>
    </row>
    <row r="1764" ht="18.0" hidden="1" customHeight="1" outlineLevel="2">
      <c r="A1764" s="1">
        <v>10.0</v>
      </c>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ollapsed="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1"/>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customHeight="1" outlineLevel="1">
      <c r="A1767" s="1"/>
      <c r="B1767" s="26" t="s">
        <v>1975</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存在しない</v>
      </c>
      <c r="N1767" s="1" t="s">
        <v>29</v>
      </c>
      <c r="O1767" s="1"/>
      <c r="P1767" s="11"/>
      <c r="Q1767" s="11"/>
      <c r="R1767" s="11"/>
      <c r="S1767" s="11"/>
      <c r="T1767" s="1"/>
      <c r="U1767" s="1"/>
      <c r="V1767" s="1"/>
      <c r="W1767" s="1"/>
      <c r="X1767" s="1"/>
      <c r="Y1767" s="1"/>
      <c r="Z1767" s="1"/>
    </row>
    <row r="1768" ht="18.0" hidden="1" customHeight="1" outlineLevel="2">
      <c r="A1768" s="1">
        <v>1.0</v>
      </c>
      <c r="B1768" s="26" t="s">
        <v>1966</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2.0</v>
      </c>
      <c r="B1769" s="26" t="s">
        <v>1968</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3.0</v>
      </c>
      <c r="B1770" s="26" t="s">
        <v>1970</v>
      </c>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
      </c>
      <c r="N1770" s="1" t="s">
        <v>29</v>
      </c>
      <c r="O1770" s="1"/>
      <c r="P1770" s="11"/>
      <c r="Q1770" s="11"/>
      <c r="R1770" s="11"/>
      <c r="S1770" s="11"/>
      <c r="T1770" s="1"/>
      <c r="U1770" s="1"/>
      <c r="V1770" s="1"/>
      <c r="W1770" s="1"/>
      <c r="X1770" s="1"/>
      <c r="Y1770" s="1"/>
      <c r="Z1770" s="1"/>
    </row>
    <row r="1771" ht="18.0" hidden="1" customHeight="1" outlineLevel="2">
      <c r="A1771" s="1">
        <v>4.0</v>
      </c>
      <c r="B1771" s="1"/>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存在しない</v>
      </c>
      <c r="N1771" s="1" t="s">
        <v>29</v>
      </c>
      <c r="O1771" s="1"/>
      <c r="P1771" s="11"/>
      <c r="Q1771" s="11"/>
      <c r="R1771" s="11"/>
      <c r="S1771" s="11"/>
      <c r="T1771" s="1"/>
      <c r="U1771" s="1"/>
      <c r="V1771" s="1"/>
      <c r="W1771" s="1"/>
      <c r="X1771" s="1"/>
      <c r="Y1771" s="1"/>
      <c r="Z1771" s="1"/>
    </row>
    <row r="1772" ht="18.0" hidden="1" customHeight="1" outlineLevel="2">
      <c r="A1772" s="1">
        <v>5.0</v>
      </c>
      <c r="B1772" s="26" t="s">
        <v>1243</v>
      </c>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
      </c>
      <c r="N1772" s="1" t="s">
        <v>29</v>
      </c>
      <c r="O1772" s="1"/>
      <c r="P1772" s="11"/>
      <c r="Q1772" s="11"/>
      <c r="R1772" s="11"/>
      <c r="S1772" s="11"/>
      <c r="T1772" s="1"/>
      <c r="U1772" s="1"/>
      <c r="V1772" s="1"/>
      <c r="W1772" s="1"/>
      <c r="X1772" s="1"/>
      <c r="Y1772" s="1"/>
      <c r="Z1772" s="1"/>
    </row>
    <row r="1773" ht="18.0" hidden="1" customHeight="1" outlineLevel="2">
      <c r="A1773" s="1">
        <v>6.0</v>
      </c>
      <c r="B1773" s="1"/>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存在しない</v>
      </c>
      <c r="N1773" s="1" t="s">
        <v>29</v>
      </c>
      <c r="O1773" s="1"/>
      <c r="P1773" s="11"/>
      <c r="Q1773" s="11"/>
      <c r="R1773" s="11"/>
      <c r="S1773" s="11"/>
      <c r="T1773" s="1"/>
      <c r="U1773" s="1"/>
      <c r="V1773" s="1"/>
      <c r="W1773" s="1"/>
      <c r="X1773" s="1"/>
      <c r="Y1773" s="1"/>
      <c r="Z1773" s="1"/>
    </row>
    <row r="1774" ht="18.0" hidden="1" customHeight="1" outlineLevel="2">
      <c r="A1774" s="1">
        <v>7.0</v>
      </c>
      <c r="B1774" s="26" t="s">
        <v>1972</v>
      </c>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
      </c>
      <c r="N1774" s="1" t="s">
        <v>29</v>
      </c>
      <c r="O1774" s="1"/>
      <c r="P1774" s="11"/>
      <c r="Q1774" s="11"/>
      <c r="R1774" s="11"/>
      <c r="S1774" s="11"/>
      <c r="T1774" s="1"/>
      <c r="U1774" s="1"/>
      <c r="V1774" s="1"/>
      <c r="W1774" s="1"/>
      <c r="X1774" s="1"/>
      <c r="Y1774" s="1"/>
      <c r="Z1774" s="1"/>
    </row>
    <row r="1775" ht="18.0" hidden="1" customHeight="1" outlineLevel="2">
      <c r="A1775" s="1">
        <v>8.0</v>
      </c>
      <c r="B1775" s="1"/>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存在しない</v>
      </c>
      <c r="N1775" s="1" t="s">
        <v>29</v>
      </c>
      <c r="O1775" s="1"/>
      <c r="P1775" s="11"/>
      <c r="Q1775" s="11"/>
      <c r="R1775" s="11"/>
      <c r="S1775" s="11"/>
      <c r="T1775" s="1"/>
      <c r="U1775" s="1"/>
      <c r="V1775" s="1"/>
      <c r="W1775" s="1"/>
      <c r="X1775" s="1"/>
      <c r="Y1775" s="1"/>
      <c r="Z1775" s="1"/>
    </row>
    <row r="1776" ht="18.0" hidden="1" customHeight="1" outlineLevel="2">
      <c r="A1776" s="1">
        <v>9.0</v>
      </c>
      <c r="B1776" s="26" t="s">
        <v>1791</v>
      </c>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
      </c>
      <c r="N1776" s="1" t="s">
        <v>29</v>
      </c>
      <c r="O1776" s="1"/>
      <c r="P1776" s="11"/>
      <c r="Q1776" s="11"/>
      <c r="R1776" s="11"/>
      <c r="S1776" s="11"/>
      <c r="T1776" s="1"/>
      <c r="U1776" s="1"/>
      <c r="V1776" s="1"/>
      <c r="W1776" s="1"/>
      <c r="X1776" s="1"/>
      <c r="Y1776" s="1"/>
      <c r="Z1776" s="1"/>
    </row>
    <row r="1777" ht="18.0" hidden="1" customHeight="1" outlineLevel="2">
      <c r="A1777" s="1">
        <v>10.0</v>
      </c>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ollapsed="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1"/>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customHeight="1" outlineLevel="1">
      <c r="A1780" s="1"/>
      <c r="B1780" s="26" t="s">
        <v>1976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存在しない</v>
      </c>
      <c r="N1780" s="1" t="s">
        <v>29</v>
      </c>
      <c r="O1780" s="1"/>
      <c r="P1780" s="11"/>
      <c r="Q1780" s="11"/>
      <c r="R1780" s="11"/>
      <c r="S1780" s="11"/>
      <c r="T1780" s="1"/>
      <c r="U1780" s="1"/>
      <c r="V1780" s="1"/>
      <c r="W1780" s="1"/>
      <c r="X1780" s="1"/>
      <c r="Y1780" s="1"/>
      <c r="Z1780" s="1"/>
    </row>
    <row r="1781" ht="18.0" hidden="1" customHeight="1" outlineLevel="2">
      <c r="A1781" s="1">
        <v>1.0</v>
      </c>
      <c r="B1781" s="26" t="s">
        <v>1966</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2.0</v>
      </c>
      <c r="B1782" s="26" t="s">
        <v>1968</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3.0</v>
      </c>
      <c r="B1783" s="26" t="s">
        <v>1970</v>
      </c>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
      </c>
      <c r="N1783" s="1" t="s">
        <v>29</v>
      </c>
      <c r="O1783" s="1"/>
      <c r="P1783" s="11"/>
      <c r="Q1783" s="11"/>
      <c r="R1783" s="11"/>
      <c r="S1783" s="11"/>
      <c r="T1783" s="1"/>
      <c r="U1783" s="1"/>
      <c r="V1783" s="1"/>
      <c r="W1783" s="1"/>
      <c r="X1783" s="1"/>
      <c r="Y1783" s="1"/>
      <c r="Z1783" s="1"/>
    </row>
    <row r="1784" ht="18.0" hidden="1" customHeight="1" outlineLevel="2">
      <c r="A1784" s="1">
        <v>4.0</v>
      </c>
      <c r="B1784" s="1"/>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存在しない</v>
      </c>
      <c r="N1784" s="1" t="s">
        <v>29</v>
      </c>
      <c r="O1784" s="1"/>
      <c r="P1784" s="11"/>
      <c r="Q1784" s="11"/>
      <c r="R1784" s="11"/>
      <c r="S1784" s="11"/>
      <c r="T1784" s="1"/>
      <c r="U1784" s="1"/>
      <c r="V1784" s="1"/>
      <c r="W1784" s="1"/>
      <c r="X1784" s="1"/>
      <c r="Y1784" s="1"/>
      <c r="Z1784" s="1"/>
    </row>
    <row r="1785" ht="18.0" hidden="1" customHeight="1" outlineLevel="2">
      <c r="A1785" s="1">
        <v>5.0</v>
      </c>
      <c r="B1785" s="26" t="s">
        <v>1243</v>
      </c>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
      </c>
      <c r="N1785" s="1" t="s">
        <v>29</v>
      </c>
      <c r="O1785" s="1"/>
      <c r="P1785" s="11"/>
      <c r="Q1785" s="11"/>
      <c r="R1785" s="11"/>
      <c r="S1785" s="11"/>
      <c r="T1785" s="1"/>
      <c r="U1785" s="1"/>
      <c r="V1785" s="1"/>
      <c r="W1785" s="1"/>
      <c r="X1785" s="1"/>
      <c r="Y1785" s="1"/>
      <c r="Z1785" s="1"/>
    </row>
    <row r="1786" ht="18.0" hidden="1" customHeight="1" outlineLevel="2">
      <c r="A1786" s="1">
        <v>6.0</v>
      </c>
      <c r="B1786" s="1"/>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存在しない</v>
      </c>
      <c r="N1786" s="1" t="s">
        <v>29</v>
      </c>
      <c r="O1786" s="1"/>
      <c r="P1786" s="11"/>
      <c r="Q1786" s="11"/>
      <c r="R1786" s="11"/>
      <c r="S1786" s="11"/>
      <c r="T1786" s="1"/>
      <c r="U1786" s="1"/>
      <c r="V1786" s="1"/>
      <c r="W1786" s="1"/>
      <c r="X1786" s="1"/>
      <c r="Y1786" s="1"/>
      <c r="Z1786" s="1"/>
    </row>
    <row r="1787" ht="18.0" hidden="1" customHeight="1" outlineLevel="2">
      <c r="A1787" s="1">
        <v>7.0</v>
      </c>
      <c r="B1787" s="26" t="s">
        <v>1972</v>
      </c>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
      </c>
      <c r="N1787" s="1" t="s">
        <v>29</v>
      </c>
      <c r="O1787" s="1"/>
      <c r="P1787" s="11"/>
      <c r="Q1787" s="11"/>
      <c r="R1787" s="11"/>
      <c r="S1787" s="11"/>
      <c r="T1787" s="1"/>
      <c r="U1787" s="1"/>
      <c r="V1787" s="1"/>
      <c r="W1787" s="1"/>
      <c r="X1787" s="1"/>
      <c r="Y1787" s="1"/>
      <c r="Z1787" s="1"/>
    </row>
    <row r="1788" ht="18.0" hidden="1" customHeight="1" outlineLevel="2">
      <c r="A1788" s="1">
        <v>8.0</v>
      </c>
      <c r="B1788" s="1"/>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存在しない</v>
      </c>
      <c r="N1788" s="1" t="s">
        <v>29</v>
      </c>
      <c r="O1788" s="1"/>
      <c r="P1788" s="11"/>
      <c r="Q1788" s="11"/>
      <c r="R1788" s="11"/>
      <c r="S1788" s="11"/>
      <c r="T1788" s="1"/>
      <c r="U1788" s="1"/>
      <c r="V1788" s="1"/>
      <c r="W1788" s="1"/>
      <c r="X1788" s="1"/>
      <c r="Y1788" s="1"/>
      <c r="Z1788" s="1"/>
    </row>
    <row r="1789" ht="18.0" hidden="1" customHeight="1" outlineLevel="2">
      <c r="A1789" s="1">
        <v>9.0</v>
      </c>
      <c r="B1789" s="26" t="s">
        <v>1917</v>
      </c>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
      </c>
      <c r="N1789" s="1" t="s">
        <v>29</v>
      </c>
      <c r="O1789" s="1"/>
      <c r="P1789" s="11"/>
      <c r="Q1789" s="11"/>
      <c r="R1789" s="11"/>
      <c r="S1789" s="11"/>
      <c r="T1789" s="1"/>
      <c r="U1789" s="1"/>
      <c r="V1789" s="1"/>
      <c r="W1789" s="1"/>
      <c r="X1789" s="1"/>
      <c r="Y1789" s="1"/>
      <c r="Z1789" s="1"/>
    </row>
    <row r="1790" ht="18.0" hidden="1" customHeight="1" outlineLevel="2">
      <c r="A1790" s="1">
        <v>10.0</v>
      </c>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ollapsed="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1"/>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customHeight="1" outlineLevel="1">
      <c r="A1793" s="1"/>
      <c r="B1793" s="26" t="s">
        <v>1977</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存在しない</v>
      </c>
      <c r="N1793" s="1" t="s">
        <v>29</v>
      </c>
      <c r="O1793" s="1"/>
      <c r="P1793" s="11"/>
      <c r="Q1793" s="11"/>
      <c r="R1793" s="11"/>
      <c r="S1793" s="11"/>
      <c r="T1793" s="1"/>
      <c r="U1793" s="1"/>
      <c r="V1793" s="1"/>
      <c r="W1793" s="1"/>
      <c r="X1793" s="1"/>
      <c r="Y1793" s="1"/>
      <c r="Z1793" s="1"/>
    </row>
    <row r="1794" ht="18.0" hidden="1" customHeight="1" outlineLevel="2">
      <c r="A1794" s="1">
        <v>1.0</v>
      </c>
      <c r="B1794" s="26" t="s">
        <v>1966</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2.0</v>
      </c>
      <c r="B1795" s="26" t="s">
        <v>1968</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3.0</v>
      </c>
      <c r="B1796" s="26" t="s">
        <v>1970</v>
      </c>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
      </c>
      <c r="N1796" s="1" t="s">
        <v>29</v>
      </c>
      <c r="O1796" s="1"/>
      <c r="P1796" s="11"/>
      <c r="Q1796" s="11"/>
      <c r="R1796" s="11"/>
      <c r="S1796" s="11"/>
      <c r="T1796" s="1"/>
      <c r="U1796" s="1"/>
      <c r="V1796" s="1"/>
      <c r="W1796" s="1"/>
      <c r="X1796" s="1"/>
      <c r="Y1796" s="1"/>
      <c r="Z1796" s="1"/>
    </row>
    <row r="1797" ht="18.0" hidden="1" customHeight="1" outlineLevel="2">
      <c r="A1797" s="1">
        <v>4.0</v>
      </c>
      <c r="B1797" s="1"/>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存在しない</v>
      </c>
      <c r="N1797" s="1" t="s">
        <v>29</v>
      </c>
      <c r="O1797" s="1"/>
      <c r="P1797" s="11"/>
      <c r="Q1797" s="11"/>
      <c r="R1797" s="11"/>
      <c r="S1797" s="11"/>
      <c r="T1797" s="1"/>
      <c r="U1797" s="1"/>
      <c r="V1797" s="1"/>
      <c r="W1797" s="1"/>
      <c r="X1797" s="1"/>
      <c r="Y1797" s="1"/>
      <c r="Z1797" s="1"/>
    </row>
    <row r="1798" ht="18.0" hidden="1" customHeight="1" outlineLevel="2">
      <c r="A1798" s="1">
        <v>5.0</v>
      </c>
      <c r="B1798" s="26" t="s">
        <v>1243</v>
      </c>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
      </c>
      <c r="N1798" s="1" t="s">
        <v>29</v>
      </c>
      <c r="O1798" s="1"/>
      <c r="P1798" s="11"/>
      <c r="Q1798" s="11"/>
      <c r="R1798" s="11"/>
      <c r="S1798" s="11"/>
      <c r="T1798" s="1"/>
      <c r="U1798" s="1"/>
      <c r="V1798" s="1"/>
      <c r="W1798" s="1"/>
      <c r="X1798" s="1"/>
      <c r="Y1798" s="1"/>
      <c r="Z1798" s="1"/>
    </row>
    <row r="1799" ht="18.0" hidden="1" customHeight="1" outlineLevel="2">
      <c r="A1799" s="1">
        <v>6.0</v>
      </c>
      <c r="B1799" s="1"/>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存在しない</v>
      </c>
      <c r="N1799" s="1" t="s">
        <v>29</v>
      </c>
      <c r="O1799" s="1"/>
      <c r="P1799" s="11"/>
      <c r="Q1799" s="11"/>
      <c r="R1799" s="11"/>
      <c r="S1799" s="11"/>
      <c r="T1799" s="1"/>
      <c r="U1799" s="1"/>
      <c r="V1799" s="1"/>
      <c r="W1799" s="1"/>
      <c r="X1799" s="1"/>
      <c r="Y1799" s="1"/>
      <c r="Z1799" s="1"/>
    </row>
    <row r="1800" ht="18.0" hidden="1" customHeight="1" outlineLevel="2">
      <c r="A1800" s="1">
        <v>7.0</v>
      </c>
      <c r="B1800" s="26" t="s">
        <v>1972</v>
      </c>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
      </c>
      <c r="N1800" s="1" t="s">
        <v>29</v>
      </c>
      <c r="O1800" s="1"/>
      <c r="P1800" s="11"/>
      <c r="Q1800" s="11"/>
      <c r="R1800" s="11"/>
      <c r="S1800" s="11"/>
      <c r="T1800" s="1"/>
      <c r="U1800" s="1"/>
      <c r="V1800" s="1"/>
      <c r="W1800" s="1"/>
      <c r="X1800" s="1"/>
      <c r="Y1800" s="1"/>
      <c r="Z1800" s="1"/>
    </row>
    <row r="1801" ht="18.0" hidden="1" customHeight="1" outlineLevel="2">
      <c r="A1801" s="1">
        <v>8.0</v>
      </c>
      <c r="B1801" s="1"/>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存在しない</v>
      </c>
      <c r="N1801" s="1" t="s">
        <v>29</v>
      </c>
      <c r="O1801" s="1"/>
      <c r="P1801" s="11"/>
      <c r="Q1801" s="11"/>
      <c r="R1801" s="11"/>
      <c r="S1801" s="11"/>
      <c r="T1801" s="1"/>
      <c r="U1801" s="1"/>
      <c r="V1801" s="1"/>
      <c r="W1801" s="1"/>
      <c r="X1801" s="1"/>
      <c r="Y1801" s="1"/>
      <c r="Z1801" s="1"/>
    </row>
    <row r="1802" ht="18.0" hidden="1" customHeight="1" outlineLevel="2">
      <c r="A1802" s="1">
        <v>9.0</v>
      </c>
      <c r="B1802" s="26" t="s">
        <v>1318</v>
      </c>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
      </c>
      <c r="N1802" s="1" t="s">
        <v>29</v>
      </c>
      <c r="O1802" s="1"/>
      <c r="P1802" s="11"/>
      <c r="Q1802" s="11"/>
      <c r="R1802" s="11"/>
      <c r="S1802" s="11"/>
      <c r="T1802" s="1"/>
      <c r="U1802" s="1"/>
      <c r="V1802" s="1"/>
      <c r="W1802" s="1"/>
      <c r="X1802" s="1"/>
      <c r="Y1802" s="1"/>
      <c r="Z1802" s="1"/>
    </row>
    <row r="1803" ht="18.0" hidden="1" customHeight="1" outlineLevel="2">
      <c r="A1803" s="1">
        <v>10.0</v>
      </c>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ollapsed="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1"/>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customHeight="1" outlineLevel="1">
      <c r="A1806" s="1"/>
      <c r="B1806" s="26" t="s">
        <v>1978</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存在しない</v>
      </c>
      <c r="N1806" s="1" t="s">
        <v>29</v>
      </c>
      <c r="O1806" s="1"/>
      <c r="P1806" s="11"/>
      <c r="Q1806" s="11"/>
      <c r="R1806" s="11"/>
      <c r="S1806" s="11"/>
      <c r="T1806" s="1"/>
      <c r="U1806" s="1"/>
      <c r="V1806" s="1"/>
      <c r="W1806" s="1"/>
      <c r="X1806" s="1"/>
      <c r="Y1806" s="1"/>
      <c r="Z1806" s="1"/>
    </row>
    <row r="1807" ht="18.0" hidden="1" customHeight="1" outlineLevel="2">
      <c r="A1807" s="1">
        <v>1.0</v>
      </c>
      <c r="B1807" s="26" t="s">
        <v>1966</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2.0</v>
      </c>
      <c r="B1808" s="26" t="s">
        <v>1968</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3.0</v>
      </c>
      <c r="B1809" s="26" t="s">
        <v>1970</v>
      </c>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
      </c>
      <c r="N1809" s="1" t="s">
        <v>29</v>
      </c>
      <c r="O1809" s="1"/>
      <c r="P1809" s="11"/>
      <c r="Q1809" s="11"/>
      <c r="R1809" s="11"/>
      <c r="S1809" s="11"/>
      <c r="T1809" s="1"/>
      <c r="U1809" s="1"/>
      <c r="V1809" s="1"/>
      <c r="W1809" s="1"/>
      <c r="X1809" s="1"/>
      <c r="Y1809" s="1"/>
      <c r="Z1809" s="1"/>
    </row>
    <row r="1810" ht="18.0" hidden="1" customHeight="1" outlineLevel="2">
      <c r="A1810" s="1">
        <v>4.0</v>
      </c>
      <c r="B1810" s="1"/>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存在しない</v>
      </c>
      <c r="N1810" s="1" t="s">
        <v>29</v>
      </c>
      <c r="O1810" s="1"/>
      <c r="P1810" s="11"/>
      <c r="Q1810" s="11"/>
      <c r="R1810" s="11"/>
      <c r="S1810" s="11"/>
      <c r="T1810" s="1"/>
      <c r="U1810" s="1"/>
      <c r="V1810" s="1"/>
      <c r="W1810" s="1"/>
      <c r="X1810" s="1"/>
      <c r="Y1810" s="1"/>
      <c r="Z1810" s="1"/>
    </row>
    <row r="1811" ht="18.0" hidden="1" customHeight="1" outlineLevel="2">
      <c r="A1811" s="1">
        <v>5.0</v>
      </c>
      <c r="B1811" s="26" t="s">
        <v>1243</v>
      </c>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
      </c>
      <c r="N1811" s="1" t="s">
        <v>29</v>
      </c>
      <c r="O1811" s="1"/>
      <c r="P1811" s="11"/>
      <c r="Q1811" s="11"/>
      <c r="R1811" s="11"/>
      <c r="S1811" s="11"/>
      <c r="T1811" s="1"/>
      <c r="U1811" s="1"/>
      <c r="V1811" s="1"/>
      <c r="W1811" s="1"/>
      <c r="X1811" s="1"/>
      <c r="Y1811" s="1"/>
      <c r="Z1811" s="1"/>
    </row>
    <row r="1812" ht="18.0" hidden="1" customHeight="1" outlineLevel="2">
      <c r="A1812" s="1">
        <v>6.0</v>
      </c>
      <c r="B1812" s="1"/>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存在しない</v>
      </c>
      <c r="N1812" s="1" t="s">
        <v>29</v>
      </c>
      <c r="O1812" s="1"/>
      <c r="P1812" s="11"/>
      <c r="Q1812" s="11"/>
      <c r="R1812" s="11"/>
      <c r="S1812" s="11"/>
      <c r="T1812" s="1"/>
      <c r="U1812" s="1"/>
      <c r="V1812" s="1"/>
      <c r="W1812" s="1"/>
      <c r="X1812" s="1"/>
      <c r="Y1812" s="1"/>
      <c r="Z1812" s="1"/>
    </row>
    <row r="1813" ht="18.0" hidden="1" customHeight="1" outlineLevel="2">
      <c r="A1813" s="1">
        <v>7.0</v>
      </c>
      <c r="B1813" s="26" t="s">
        <v>1972</v>
      </c>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
      </c>
      <c r="N1813" s="1" t="s">
        <v>29</v>
      </c>
      <c r="O1813" s="1"/>
      <c r="P1813" s="11"/>
      <c r="Q1813" s="11"/>
      <c r="R1813" s="11"/>
      <c r="S1813" s="11"/>
      <c r="T1813" s="1"/>
      <c r="U1813" s="1"/>
      <c r="V1813" s="1"/>
      <c r="W1813" s="1"/>
      <c r="X1813" s="1"/>
      <c r="Y1813" s="1"/>
      <c r="Z1813" s="1"/>
    </row>
    <row r="1814" ht="18.0" hidden="1" customHeight="1" outlineLevel="2">
      <c r="A1814" s="1">
        <v>8.0</v>
      </c>
      <c r="B1814" s="1"/>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存在しない</v>
      </c>
      <c r="N1814" s="1" t="s">
        <v>29</v>
      </c>
      <c r="O1814" s="1"/>
      <c r="P1814" s="11"/>
      <c r="Q1814" s="11"/>
      <c r="R1814" s="11"/>
      <c r="S1814" s="11"/>
      <c r="T1814" s="1"/>
      <c r="U1814" s="1"/>
      <c r="V1814" s="1"/>
      <c r="W1814" s="1"/>
      <c r="X1814" s="1"/>
      <c r="Y1814" s="1"/>
      <c r="Z1814" s="1"/>
    </row>
    <row r="1815" ht="18.0" hidden="1" customHeight="1" outlineLevel="2">
      <c r="A1815" s="1">
        <v>9.0</v>
      </c>
      <c r="B1815" s="26" t="s">
        <v>1332</v>
      </c>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
      </c>
      <c r="N1815" s="1" t="s">
        <v>29</v>
      </c>
      <c r="O1815" s="1"/>
      <c r="P1815" s="11"/>
      <c r="Q1815" s="11"/>
      <c r="R1815" s="11"/>
      <c r="S1815" s="11"/>
      <c r="T1815" s="1"/>
      <c r="U1815" s="1"/>
      <c r="V1815" s="1"/>
      <c r="W1815" s="1"/>
      <c r="X1815" s="1"/>
      <c r="Y1815" s="1"/>
      <c r="Z1815" s="1"/>
    </row>
    <row r="1816" ht="18.0" hidden="1" customHeight="1" outlineLevel="2">
      <c r="A1816" s="1">
        <v>10.0</v>
      </c>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ollapsed="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1"/>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customHeight="1" outlineLevel="1">
      <c r="A1819" s="1"/>
      <c r="B1819" s="26" t="s">
        <v>1979</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存在しない</v>
      </c>
      <c r="N1819" s="1" t="s">
        <v>29</v>
      </c>
      <c r="O1819" s="1"/>
      <c r="P1819" s="11"/>
      <c r="Q1819" s="11"/>
      <c r="R1819" s="11"/>
      <c r="S1819" s="11"/>
      <c r="T1819" s="1"/>
      <c r="U1819" s="1"/>
      <c r="V1819" s="1"/>
      <c r="W1819" s="1"/>
      <c r="X1819" s="1"/>
      <c r="Y1819" s="1"/>
      <c r="Z1819" s="1"/>
    </row>
    <row r="1820" ht="18.0" hidden="1" customHeight="1" outlineLevel="2">
      <c r="A1820" s="1">
        <v>1.0</v>
      </c>
      <c r="B1820" s="26" t="s">
        <v>1966</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2.0</v>
      </c>
      <c r="B1821" s="26" t="s">
        <v>1968</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3.0</v>
      </c>
      <c r="B1822" s="26" t="s">
        <v>1970</v>
      </c>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
      </c>
      <c r="N1822" s="1" t="s">
        <v>29</v>
      </c>
      <c r="O1822" s="1"/>
      <c r="P1822" s="11"/>
      <c r="Q1822" s="11"/>
      <c r="R1822" s="11"/>
      <c r="S1822" s="11"/>
      <c r="T1822" s="1"/>
      <c r="U1822" s="1"/>
      <c r="V1822" s="1"/>
      <c r="W1822" s="1"/>
      <c r="X1822" s="1"/>
      <c r="Y1822" s="1"/>
      <c r="Z1822" s="1"/>
    </row>
    <row r="1823" ht="18.0" hidden="1" customHeight="1" outlineLevel="2">
      <c r="A1823" s="1">
        <v>4.0</v>
      </c>
      <c r="B1823" s="1"/>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存在しない</v>
      </c>
      <c r="N1823" s="1" t="s">
        <v>29</v>
      </c>
      <c r="O1823" s="1"/>
      <c r="P1823" s="11"/>
      <c r="Q1823" s="11"/>
      <c r="R1823" s="11"/>
      <c r="S1823" s="11"/>
      <c r="T1823" s="1"/>
      <c r="U1823" s="1"/>
      <c r="V1823" s="1"/>
      <c r="W1823" s="1"/>
      <c r="X1823" s="1"/>
      <c r="Y1823" s="1"/>
      <c r="Z1823" s="1"/>
    </row>
    <row r="1824" ht="18.0" hidden="1" customHeight="1" outlineLevel="2">
      <c r="A1824" s="1">
        <v>5.0</v>
      </c>
      <c r="B1824" s="26" t="s">
        <v>1243</v>
      </c>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
      </c>
      <c r="N1824" s="1" t="s">
        <v>29</v>
      </c>
      <c r="O1824" s="1"/>
      <c r="P1824" s="11"/>
      <c r="Q1824" s="11"/>
      <c r="R1824" s="11"/>
      <c r="S1824" s="11"/>
      <c r="T1824" s="1"/>
      <c r="U1824" s="1"/>
      <c r="V1824" s="1"/>
      <c r="W1824" s="1"/>
      <c r="X1824" s="1"/>
      <c r="Y1824" s="1"/>
      <c r="Z1824" s="1"/>
    </row>
    <row r="1825" ht="18.0" hidden="1" customHeight="1" outlineLevel="2">
      <c r="A1825" s="1">
        <v>6.0</v>
      </c>
      <c r="B1825" s="1"/>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存在しない</v>
      </c>
      <c r="N1825" s="1" t="s">
        <v>29</v>
      </c>
      <c r="O1825" s="1"/>
      <c r="P1825" s="11"/>
      <c r="Q1825" s="11"/>
      <c r="R1825" s="11"/>
      <c r="S1825" s="11"/>
      <c r="T1825" s="1"/>
      <c r="U1825" s="1"/>
      <c r="V1825" s="1"/>
      <c r="W1825" s="1"/>
      <c r="X1825" s="1"/>
      <c r="Y1825" s="1"/>
      <c r="Z1825" s="1"/>
    </row>
    <row r="1826" ht="18.0" hidden="1" customHeight="1" outlineLevel="2">
      <c r="A1826" s="1">
        <v>7.0</v>
      </c>
      <c r="B1826" s="26" t="s">
        <v>1972</v>
      </c>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
      </c>
      <c r="N1826" s="1" t="s">
        <v>29</v>
      </c>
      <c r="O1826" s="1"/>
      <c r="P1826" s="11"/>
      <c r="Q1826" s="11"/>
      <c r="R1826" s="11"/>
      <c r="S1826" s="11"/>
      <c r="T1826" s="1"/>
      <c r="U1826" s="1"/>
      <c r="V1826" s="1"/>
      <c r="W1826" s="1"/>
      <c r="X1826" s="1"/>
      <c r="Y1826" s="1"/>
      <c r="Z1826" s="1"/>
    </row>
    <row r="1827" ht="18.0" hidden="1" customHeight="1" outlineLevel="2">
      <c r="A1827" s="1">
        <v>8.0</v>
      </c>
      <c r="B1827" s="1"/>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存在しない</v>
      </c>
      <c r="N1827" s="1" t="s">
        <v>29</v>
      </c>
      <c r="O1827" s="1"/>
      <c r="P1827" s="11"/>
      <c r="Q1827" s="11"/>
      <c r="R1827" s="11"/>
      <c r="S1827" s="11"/>
      <c r="T1827" s="1"/>
      <c r="U1827" s="1"/>
      <c r="V1827" s="1"/>
      <c r="W1827" s="1"/>
      <c r="X1827" s="1"/>
      <c r="Y1827" s="1"/>
      <c r="Z1827" s="1"/>
    </row>
    <row r="1828" ht="18.0" hidden="1" customHeight="1" outlineLevel="2">
      <c r="A1828" s="1">
        <v>9.0</v>
      </c>
      <c r="B1828" s="26" t="s">
        <v>1948</v>
      </c>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
      </c>
      <c r="N1828" s="1" t="s">
        <v>29</v>
      </c>
      <c r="O1828" s="1"/>
      <c r="P1828" s="11"/>
      <c r="Q1828" s="11"/>
      <c r="R1828" s="11"/>
      <c r="S1828" s="11"/>
      <c r="T1828" s="1"/>
      <c r="U1828" s="1"/>
      <c r="V1828" s="1"/>
      <c r="W1828" s="1"/>
      <c r="X1828" s="1"/>
      <c r="Y1828" s="1"/>
      <c r="Z1828" s="1"/>
    </row>
    <row r="1829" ht="18.0" hidden="1" customHeight="1" outlineLevel="2">
      <c r="A1829" s="1">
        <v>10.0</v>
      </c>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ollapsed="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1"/>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customHeight="1" outlineLevel="1">
      <c r="A1832" s="1"/>
      <c r="B1832" s="26" t="s">
        <v>1980</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存在しない</v>
      </c>
      <c r="N1832" s="1" t="s">
        <v>29</v>
      </c>
      <c r="O1832" s="1"/>
      <c r="P1832" s="11"/>
      <c r="Q1832" s="11"/>
      <c r="R1832" s="11"/>
      <c r="S1832" s="11"/>
      <c r="T1832" s="1"/>
      <c r="U1832" s="1"/>
      <c r="V1832" s="1"/>
      <c r="W1832" s="1"/>
      <c r="X1832" s="1"/>
      <c r="Y1832" s="1"/>
      <c r="Z1832" s="1"/>
    </row>
    <row r="1833" ht="18.0" hidden="1" customHeight="1" outlineLevel="2">
      <c r="A1833" s="1">
        <v>1.0</v>
      </c>
      <c r="B1833" s="26" t="s">
        <v>1966</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2.0</v>
      </c>
      <c r="B1834" s="26" t="s">
        <v>1968</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3.0</v>
      </c>
      <c r="B1835" s="26" t="s">
        <v>1970</v>
      </c>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
      </c>
      <c r="N1835" s="1" t="s">
        <v>29</v>
      </c>
      <c r="O1835" s="1"/>
      <c r="P1835" s="11"/>
      <c r="Q1835" s="11"/>
      <c r="R1835" s="11"/>
      <c r="S1835" s="11"/>
      <c r="T1835" s="1"/>
      <c r="U1835" s="1"/>
      <c r="V1835" s="1"/>
      <c r="W1835" s="1"/>
      <c r="X1835" s="1"/>
      <c r="Y1835" s="1"/>
      <c r="Z1835" s="1"/>
    </row>
    <row r="1836" ht="18.0" hidden="1" customHeight="1" outlineLevel="2">
      <c r="A1836" s="1">
        <v>4.0</v>
      </c>
      <c r="B1836" s="1"/>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存在しない</v>
      </c>
      <c r="N1836" s="1" t="s">
        <v>29</v>
      </c>
      <c r="O1836" s="1"/>
      <c r="P1836" s="11"/>
      <c r="Q1836" s="11"/>
      <c r="R1836" s="11"/>
      <c r="S1836" s="11"/>
      <c r="T1836" s="1"/>
      <c r="U1836" s="1"/>
      <c r="V1836" s="1"/>
      <c r="W1836" s="1"/>
      <c r="X1836" s="1"/>
      <c r="Y1836" s="1"/>
      <c r="Z1836" s="1"/>
    </row>
    <row r="1837" ht="18.0" hidden="1" customHeight="1" outlineLevel="2">
      <c r="A1837" s="1">
        <v>5.0</v>
      </c>
      <c r="B1837" s="26" t="s">
        <v>1243</v>
      </c>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
      </c>
      <c r="N1837" s="1" t="s">
        <v>29</v>
      </c>
      <c r="O1837" s="1"/>
      <c r="P1837" s="11"/>
      <c r="Q1837" s="11"/>
      <c r="R1837" s="11"/>
      <c r="S1837" s="11"/>
      <c r="T1837" s="1"/>
      <c r="U1837" s="1"/>
      <c r="V1837" s="1"/>
      <c r="W1837" s="1"/>
      <c r="X1837" s="1"/>
      <c r="Y1837" s="1"/>
      <c r="Z1837" s="1"/>
    </row>
    <row r="1838" ht="18.0" hidden="1" customHeight="1" outlineLevel="2">
      <c r="A1838" s="1">
        <v>6.0</v>
      </c>
      <c r="B1838" s="1"/>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存在しない</v>
      </c>
      <c r="N1838" s="1" t="s">
        <v>29</v>
      </c>
      <c r="O1838" s="1"/>
      <c r="P1838" s="11"/>
      <c r="Q1838" s="11"/>
      <c r="R1838" s="11"/>
      <c r="S1838" s="11"/>
      <c r="T1838" s="1"/>
      <c r="U1838" s="1"/>
      <c r="V1838" s="1"/>
      <c r="W1838" s="1"/>
      <c r="X1838" s="1"/>
      <c r="Y1838" s="1"/>
      <c r="Z1838" s="1"/>
    </row>
    <row r="1839" ht="18.0" hidden="1" customHeight="1" outlineLevel="2">
      <c r="A1839" s="1">
        <v>7.0</v>
      </c>
      <c r="B1839" s="26" t="s">
        <v>1972</v>
      </c>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
      </c>
      <c r="N1839" s="1" t="s">
        <v>29</v>
      </c>
      <c r="O1839" s="1"/>
      <c r="P1839" s="11"/>
      <c r="Q1839" s="11"/>
      <c r="R1839" s="11"/>
      <c r="S1839" s="11"/>
      <c r="T1839" s="1"/>
      <c r="U1839" s="1"/>
      <c r="V1839" s="1"/>
      <c r="W1839" s="1"/>
      <c r="X1839" s="1"/>
      <c r="Y1839" s="1"/>
      <c r="Z1839" s="1"/>
    </row>
    <row r="1840" ht="18.0" hidden="1" customHeight="1" outlineLevel="2">
      <c r="A1840" s="1">
        <v>8.0</v>
      </c>
      <c r="B1840" s="1"/>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存在しない</v>
      </c>
      <c r="N1840" s="1" t="s">
        <v>29</v>
      </c>
      <c r="O1840" s="1"/>
      <c r="P1840" s="11"/>
      <c r="Q1840" s="11"/>
      <c r="R1840" s="11"/>
      <c r="S1840" s="11"/>
      <c r="T1840" s="1"/>
      <c r="U1840" s="1"/>
      <c r="V1840" s="1"/>
      <c r="W1840" s="1"/>
      <c r="X1840" s="1"/>
      <c r="Y1840" s="1"/>
      <c r="Z1840" s="1"/>
    </row>
    <row r="1841" ht="18.0" hidden="1" customHeight="1" outlineLevel="2">
      <c r="A1841" s="1">
        <v>9.0</v>
      </c>
      <c r="B1841" s="26" t="s">
        <v>1981</v>
      </c>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
      </c>
      <c r="N1841" s="1" t="s">
        <v>29</v>
      </c>
      <c r="O1841" s="1"/>
      <c r="P1841" s="11"/>
      <c r="Q1841" s="11"/>
      <c r="R1841" s="11"/>
      <c r="S1841" s="11"/>
      <c r="T1841" s="1"/>
      <c r="U1841" s="1"/>
      <c r="V1841" s="1"/>
      <c r="W1841" s="1"/>
      <c r="X1841" s="1"/>
      <c r="Y1841" s="1"/>
      <c r="Z1841" s="1"/>
    </row>
    <row r="1842" ht="18.0" hidden="1" customHeight="1" outlineLevel="2">
      <c r="A1842" s="1">
        <v>10.0</v>
      </c>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ollapsed="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1"/>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customHeight="1" outlineLevel="1">
      <c r="A1845" s="1"/>
      <c r="B1845" s="26" t="s">
        <v>1982</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存在しない</v>
      </c>
      <c r="N1845" s="1" t="s">
        <v>29</v>
      </c>
      <c r="O1845" s="1"/>
      <c r="P1845" s="11"/>
      <c r="Q1845" s="11"/>
      <c r="R1845" s="11"/>
      <c r="S1845" s="11"/>
      <c r="T1845" s="1"/>
      <c r="U1845" s="1"/>
      <c r="V1845" s="1"/>
      <c r="W1845" s="1"/>
      <c r="X1845" s="1"/>
      <c r="Y1845" s="1"/>
      <c r="Z1845" s="1"/>
    </row>
    <row r="1846" ht="18.0" hidden="1" customHeight="1" outlineLevel="2">
      <c r="A1846" s="1">
        <v>1.0</v>
      </c>
      <c r="B1846" s="26" t="s">
        <v>1966</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2.0</v>
      </c>
      <c r="B1847" s="26" t="s">
        <v>1968</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3.0</v>
      </c>
      <c r="B1848" s="26" t="s">
        <v>1970</v>
      </c>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
      </c>
      <c r="N1848" s="1" t="s">
        <v>29</v>
      </c>
      <c r="O1848" s="1"/>
      <c r="P1848" s="11"/>
      <c r="Q1848" s="11"/>
      <c r="R1848" s="11"/>
      <c r="S1848" s="11"/>
      <c r="T1848" s="1"/>
      <c r="U1848" s="1"/>
      <c r="V1848" s="1"/>
      <c r="W1848" s="1"/>
      <c r="X1848" s="1"/>
      <c r="Y1848" s="1"/>
      <c r="Z1848" s="1"/>
    </row>
    <row r="1849" ht="18.0" hidden="1" customHeight="1" outlineLevel="2">
      <c r="A1849" s="1">
        <v>4.0</v>
      </c>
      <c r="B1849" s="1"/>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存在しない</v>
      </c>
      <c r="N1849" s="1" t="s">
        <v>29</v>
      </c>
      <c r="O1849" s="1"/>
      <c r="P1849" s="11"/>
      <c r="Q1849" s="11"/>
      <c r="R1849" s="11"/>
      <c r="S1849" s="11"/>
      <c r="T1849" s="1"/>
      <c r="U1849" s="1"/>
      <c r="V1849" s="1"/>
      <c r="W1849" s="1"/>
      <c r="X1849" s="1"/>
      <c r="Y1849" s="1"/>
      <c r="Z1849" s="1"/>
    </row>
    <row r="1850" ht="18.0" hidden="1" customHeight="1" outlineLevel="2">
      <c r="A1850" s="1">
        <v>5.0</v>
      </c>
      <c r="B1850" s="26" t="s">
        <v>1243</v>
      </c>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
      </c>
      <c r="N1850" s="1" t="s">
        <v>29</v>
      </c>
      <c r="O1850" s="1"/>
      <c r="P1850" s="11"/>
      <c r="Q1850" s="11"/>
      <c r="R1850" s="11"/>
      <c r="S1850" s="11"/>
      <c r="T1850" s="1"/>
      <c r="U1850" s="1"/>
      <c r="V1850" s="1"/>
      <c r="W1850" s="1"/>
      <c r="X1850" s="1"/>
      <c r="Y1850" s="1"/>
      <c r="Z1850" s="1"/>
    </row>
    <row r="1851" ht="18.0" hidden="1" customHeight="1" outlineLevel="2">
      <c r="A1851" s="1">
        <v>6.0</v>
      </c>
      <c r="B1851" s="1"/>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存在しない</v>
      </c>
      <c r="N1851" s="1" t="s">
        <v>29</v>
      </c>
      <c r="O1851" s="1"/>
      <c r="P1851" s="11"/>
      <c r="Q1851" s="11"/>
      <c r="R1851" s="11"/>
      <c r="S1851" s="11"/>
      <c r="T1851" s="1"/>
      <c r="U1851" s="1"/>
      <c r="V1851" s="1"/>
      <c r="W1851" s="1"/>
      <c r="X1851" s="1"/>
      <c r="Y1851" s="1"/>
      <c r="Z1851" s="1"/>
    </row>
    <row r="1852" ht="18.0" hidden="1" customHeight="1" outlineLevel="2">
      <c r="A1852" s="1">
        <v>7.0</v>
      </c>
      <c r="B1852" s="26" t="s">
        <v>1972</v>
      </c>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
      </c>
      <c r="N1852" s="1" t="s">
        <v>29</v>
      </c>
      <c r="O1852" s="1"/>
      <c r="P1852" s="11"/>
      <c r="Q1852" s="11"/>
      <c r="R1852" s="11"/>
      <c r="S1852" s="11"/>
      <c r="T1852" s="1"/>
      <c r="U1852" s="1"/>
      <c r="V1852" s="1"/>
      <c r="W1852" s="1"/>
      <c r="X1852" s="1"/>
      <c r="Y1852" s="1"/>
      <c r="Z1852" s="1"/>
    </row>
    <row r="1853" ht="18.0" hidden="1" customHeight="1" outlineLevel="2">
      <c r="A1853" s="1">
        <v>8.0</v>
      </c>
      <c r="B1853" s="1"/>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存在しない</v>
      </c>
      <c r="N1853" s="1" t="s">
        <v>29</v>
      </c>
      <c r="O1853" s="1"/>
      <c r="P1853" s="11"/>
      <c r="Q1853" s="11"/>
      <c r="R1853" s="11"/>
      <c r="S1853" s="11"/>
      <c r="T1853" s="1"/>
      <c r="U1853" s="1"/>
      <c r="V1853" s="1"/>
      <c r="W1853" s="1"/>
      <c r="X1853" s="1"/>
      <c r="Y1853" s="1"/>
      <c r="Z1853" s="1"/>
    </row>
    <row r="1854" ht="18.0" hidden="1" customHeight="1" outlineLevel="2">
      <c r="A1854" s="1">
        <v>9.0</v>
      </c>
      <c r="B1854" s="26" t="s">
        <v>1983</v>
      </c>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
      </c>
      <c r="N1854" s="1" t="s">
        <v>29</v>
      </c>
      <c r="O1854" s="1"/>
      <c r="P1854" s="11"/>
      <c r="Q1854" s="11"/>
      <c r="R1854" s="11"/>
      <c r="S1854" s="11"/>
      <c r="T1854" s="1"/>
      <c r="U1854" s="1"/>
      <c r="V1854" s="1"/>
      <c r="W1854" s="1"/>
      <c r="X1854" s="1"/>
      <c r="Y1854" s="1"/>
      <c r="Z1854" s="1"/>
    </row>
    <row r="1855" ht="18.0" hidden="1" customHeight="1" outlineLevel="2">
      <c r="A1855" s="1">
        <v>10.0</v>
      </c>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ollapsed="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1"/>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customHeight="1" outlineLevel="1">
      <c r="A1858" s="1"/>
      <c r="B1858" s="26" t="s">
        <v>1984</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存在しない</v>
      </c>
      <c r="N1858" s="1" t="s">
        <v>29</v>
      </c>
      <c r="O1858" s="1"/>
      <c r="P1858" s="11"/>
      <c r="Q1858" s="11"/>
      <c r="R1858" s="11"/>
      <c r="S1858" s="11"/>
      <c r="T1858" s="1"/>
      <c r="U1858" s="1"/>
      <c r="V1858" s="1"/>
      <c r="W1858" s="1"/>
      <c r="X1858" s="1"/>
      <c r="Y1858" s="1"/>
      <c r="Z1858" s="1"/>
    </row>
    <row r="1859" ht="18.0" hidden="1" customHeight="1" outlineLevel="2">
      <c r="A1859" s="1">
        <v>1.0</v>
      </c>
      <c r="B1859" s="26" t="s">
        <v>1966</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2.0</v>
      </c>
      <c r="B1860" s="26" t="s">
        <v>1968</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3.0</v>
      </c>
      <c r="B1861" s="26" t="s">
        <v>1970</v>
      </c>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
      </c>
      <c r="N1861" s="1" t="s">
        <v>29</v>
      </c>
      <c r="O1861" s="1"/>
      <c r="P1861" s="11"/>
      <c r="Q1861" s="11"/>
      <c r="R1861" s="11"/>
      <c r="S1861" s="11"/>
      <c r="T1861" s="1"/>
      <c r="U1861" s="1"/>
      <c r="V1861" s="1"/>
      <c r="W1861" s="1"/>
      <c r="X1861" s="1"/>
      <c r="Y1861" s="1"/>
      <c r="Z1861" s="1"/>
    </row>
    <row r="1862" ht="18.0" hidden="1" customHeight="1" outlineLevel="2">
      <c r="A1862" s="1">
        <v>4.0</v>
      </c>
      <c r="B1862" s="1"/>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存在しない</v>
      </c>
      <c r="N1862" s="1" t="s">
        <v>29</v>
      </c>
      <c r="O1862" s="1"/>
      <c r="P1862" s="11"/>
      <c r="Q1862" s="11"/>
      <c r="R1862" s="11"/>
      <c r="S1862" s="11"/>
      <c r="T1862" s="1"/>
      <c r="U1862" s="1"/>
      <c r="V1862" s="1"/>
      <c r="W1862" s="1"/>
      <c r="X1862" s="1"/>
      <c r="Y1862" s="1"/>
      <c r="Z1862" s="1"/>
    </row>
    <row r="1863" ht="18.0" hidden="1" customHeight="1" outlineLevel="2">
      <c r="A1863" s="1">
        <v>5.0</v>
      </c>
      <c r="B1863" s="26" t="s">
        <v>1243</v>
      </c>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
      </c>
      <c r="N1863" s="1" t="s">
        <v>29</v>
      </c>
      <c r="O1863" s="1"/>
      <c r="P1863" s="11"/>
      <c r="Q1863" s="11"/>
      <c r="R1863" s="11"/>
      <c r="S1863" s="11"/>
      <c r="T1863" s="1"/>
      <c r="U1863" s="1"/>
      <c r="V1863" s="1"/>
      <c r="W1863" s="1"/>
      <c r="X1863" s="1"/>
      <c r="Y1863" s="1"/>
      <c r="Z1863" s="1"/>
    </row>
    <row r="1864" ht="18.0" hidden="1" customHeight="1" outlineLevel="2">
      <c r="A1864" s="1">
        <v>6.0</v>
      </c>
      <c r="B1864" s="1"/>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存在しない</v>
      </c>
      <c r="N1864" s="1" t="s">
        <v>29</v>
      </c>
      <c r="O1864" s="1"/>
      <c r="P1864" s="11"/>
      <c r="Q1864" s="11"/>
      <c r="R1864" s="11"/>
      <c r="S1864" s="11"/>
      <c r="T1864" s="1"/>
      <c r="U1864" s="1"/>
      <c r="V1864" s="1"/>
      <c r="W1864" s="1"/>
      <c r="X1864" s="1"/>
      <c r="Y1864" s="1"/>
      <c r="Z1864" s="1"/>
    </row>
    <row r="1865" ht="18.0" hidden="1" customHeight="1" outlineLevel="2">
      <c r="A1865" s="1">
        <v>7.0</v>
      </c>
      <c r="B1865" s="26" t="s">
        <v>1972</v>
      </c>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
      </c>
      <c r="N1865" s="1" t="s">
        <v>29</v>
      </c>
      <c r="O1865" s="1"/>
      <c r="P1865" s="11"/>
      <c r="Q1865" s="11"/>
      <c r="R1865" s="11"/>
      <c r="S1865" s="11"/>
      <c r="T1865" s="1"/>
      <c r="U1865" s="1"/>
      <c r="V1865" s="1"/>
      <c r="W1865" s="1"/>
      <c r="X1865" s="1"/>
      <c r="Y1865" s="1"/>
      <c r="Z1865" s="1"/>
    </row>
    <row r="1866" ht="18.0" hidden="1" customHeight="1" outlineLevel="2">
      <c r="A1866" s="1">
        <v>8.0</v>
      </c>
      <c r="B1866" s="1"/>
      <c r="C1866" s="1"/>
      <c r="D1866" s="1"/>
      <c r="E1866" s="14"/>
      <c r="F1866" s="15"/>
      <c r="G1866" s="16"/>
      <c r="H1866" s="11"/>
      <c r="I1866" s="7"/>
      <c r="J1866" s="7" t="str">
        <f>IFERROR(LET(_xlpm.v,
VLOOKUP($I1866,'用語辞書'!$A:$B,COLUMN('用語辞書'!B$1),FALSE),
IF(_xlpm.v=0,"",_xlpm.v)
),"")</f>
        <v/>
      </c>
      <c r="K1866" s="17"/>
      <c r="L1866" s="17" t="str">
        <f>IF(OR(COUNTIF('クラス'!$A$1:$A$1267,$B1866)&gt;0,$B1866="",$M1866=""),"",True)</f>
        <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9.0</v>
      </c>
      <c r="B1867" s="26" t="s">
        <v>1985</v>
      </c>
      <c r="C1867" s="1"/>
      <c r="D1867" s="1"/>
      <c r="E1867" s="14"/>
      <c r="F1867" s="15"/>
      <c r="G1867" s="16"/>
      <c r="H1867" s="11"/>
      <c r="I1867" s="7"/>
      <c r="J1867" s="7" t="str">
        <f>IFERROR(LET(_xlpm.v,
VLOOKUP($I1867,'用語辞書'!$A:$B,COLUMN('用語辞書'!B$1),FALSE),
IF(_xlpm.v=0,"",_xlpm.v)
),"")</f>
        <v/>
      </c>
      <c r="K1867" s="17"/>
      <c r="L1867" s="17" t="b">
        <f>IF(OR(COUNTIF('クラス'!$A$1:$A$1267,$B1867)&gt;0,$B1867="",$M1867=""),"",True)</f>
        <v>1</v>
      </c>
      <c r="M1867" s="1" t="str">
        <f t="shared" si="27"/>
        <v>存在しない</v>
      </c>
      <c r="N1867" s="1" t="s">
        <v>29</v>
      </c>
      <c r="O1867" s="1"/>
      <c r="P1867" s="11"/>
      <c r="Q1867" s="11"/>
      <c r="R1867" s="11"/>
      <c r="S1867" s="11"/>
      <c r="T1867" s="1"/>
      <c r="U1867" s="1"/>
      <c r="V1867" s="1"/>
      <c r="W1867" s="1"/>
      <c r="X1867" s="1"/>
      <c r="Y1867" s="1"/>
      <c r="Z1867" s="1"/>
    </row>
    <row r="1868" ht="18.0" hidden="1" customHeight="1" outlineLevel="2">
      <c r="A1868" s="1">
        <v>10.0</v>
      </c>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ollapsed="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1"/>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customHeight="1" outlineLevel="1">
      <c r="A1871" s="1"/>
      <c r="B1871" s="26" t="s">
        <v>1986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存在しない</v>
      </c>
      <c r="N1871" s="1" t="s">
        <v>29</v>
      </c>
      <c r="O1871" s="1"/>
      <c r="P1871" s="11"/>
      <c r="Q1871" s="11"/>
      <c r="R1871" s="11"/>
      <c r="S1871" s="11"/>
      <c r="T1871" s="1"/>
      <c r="U1871" s="1"/>
      <c r="V1871" s="1"/>
      <c r="W1871" s="1"/>
      <c r="X1871" s="1"/>
      <c r="Y1871" s="1"/>
      <c r="Z1871" s="1"/>
    </row>
    <row r="1872" ht="18.0" hidden="1" customHeight="1" outlineLevel="2">
      <c r="A1872" s="1">
        <v>1.0</v>
      </c>
      <c r="B1872" s="26" t="s">
        <v>1966</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2.0</v>
      </c>
      <c r="B1873" s="26" t="s">
        <v>1968</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3.0</v>
      </c>
      <c r="B1874" s="26" t="s">
        <v>1970</v>
      </c>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
      </c>
      <c r="N1874" s="1" t="s">
        <v>29</v>
      </c>
      <c r="O1874" s="1"/>
      <c r="P1874" s="11"/>
      <c r="Q1874" s="11"/>
      <c r="R1874" s="11"/>
      <c r="S1874" s="11"/>
      <c r="T1874" s="1"/>
      <c r="U1874" s="1"/>
      <c r="V1874" s="1"/>
      <c r="W1874" s="1"/>
      <c r="X1874" s="1"/>
      <c r="Y1874" s="1"/>
      <c r="Z1874" s="1"/>
    </row>
    <row r="1875" ht="18.0" hidden="1" customHeight="1" outlineLevel="2">
      <c r="A1875" s="1">
        <v>4.0</v>
      </c>
      <c r="B1875" s="1"/>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存在しない</v>
      </c>
      <c r="N1875" s="1" t="s">
        <v>29</v>
      </c>
      <c r="O1875" s="1"/>
      <c r="P1875" s="11"/>
      <c r="Q1875" s="11"/>
      <c r="R1875" s="11"/>
      <c r="S1875" s="11"/>
      <c r="T1875" s="1"/>
      <c r="U1875" s="1"/>
      <c r="V1875" s="1"/>
      <c r="W1875" s="1"/>
      <c r="X1875" s="1"/>
      <c r="Y1875" s="1"/>
      <c r="Z1875" s="1"/>
    </row>
    <row r="1876" ht="18.0" hidden="1" customHeight="1" outlineLevel="2">
      <c r="A1876" s="1">
        <v>5.0</v>
      </c>
      <c r="B1876" s="26" t="s">
        <v>1243</v>
      </c>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
      </c>
      <c r="N1876" s="1" t="s">
        <v>29</v>
      </c>
      <c r="O1876" s="1"/>
      <c r="P1876" s="11"/>
      <c r="Q1876" s="11"/>
      <c r="R1876" s="11"/>
      <c r="S1876" s="11"/>
      <c r="T1876" s="1"/>
      <c r="U1876" s="1"/>
      <c r="V1876" s="1"/>
      <c r="W1876" s="1"/>
      <c r="X1876" s="1"/>
      <c r="Y1876" s="1"/>
      <c r="Z1876" s="1"/>
    </row>
    <row r="1877" ht="18.0" hidden="1" customHeight="1" outlineLevel="2">
      <c r="A1877" s="1">
        <v>6.0</v>
      </c>
      <c r="B1877" s="1"/>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存在しない</v>
      </c>
      <c r="N1877" s="1" t="s">
        <v>29</v>
      </c>
      <c r="O1877" s="1"/>
      <c r="P1877" s="11"/>
      <c r="Q1877" s="11"/>
      <c r="R1877" s="11"/>
      <c r="S1877" s="11"/>
      <c r="T1877" s="1"/>
      <c r="U1877" s="1"/>
      <c r="V1877" s="1"/>
      <c r="W1877" s="1"/>
      <c r="X1877" s="1"/>
      <c r="Y1877" s="1"/>
      <c r="Z1877" s="1"/>
    </row>
    <row r="1878" ht="18.0" hidden="1" customHeight="1" outlineLevel="2">
      <c r="A1878" s="1">
        <v>7.0</v>
      </c>
      <c r="B1878" s="26" t="s">
        <v>1972</v>
      </c>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
      </c>
      <c r="N1878" s="1" t="s">
        <v>29</v>
      </c>
      <c r="O1878" s="1"/>
      <c r="P1878" s="11"/>
      <c r="Q1878" s="11"/>
      <c r="R1878" s="11"/>
      <c r="S1878" s="11"/>
      <c r="T1878" s="1"/>
      <c r="U1878" s="1"/>
      <c r="V1878" s="1"/>
      <c r="W1878" s="1"/>
      <c r="X1878" s="1"/>
      <c r="Y1878" s="1"/>
      <c r="Z1878" s="1"/>
    </row>
    <row r="1879" ht="18.0" hidden="1" customHeight="1" outlineLevel="2">
      <c r="A1879" s="1">
        <v>8.0</v>
      </c>
      <c r="B1879" s="1"/>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存在しない</v>
      </c>
      <c r="N1879" s="1" t="s">
        <v>29</v>
      </c>
      <c r="O1879" s="1"/>
      <c r="P1879" s="11"/>
      <c r="Q1879" s="11"/>
      <c r="R1879" s="11"/>
      <c r="S1879" s="11"/>
      <c r="T1879" s="1"/>
      <c r="U1879" s="1"/>
      <c r="V1879" s="1"/>
      <c r="W1879" s="1"/>
      <c r="X1879" s="1"/>
      <c r="Y1879" s="1"/>
      <c r="Z1879" s="1"/>
    </row>
    <row r="1880" ht="18.0" hidden="1" customHeight="1" outlineLevel="2">
      <c r="A1880" s="1">
        <v>9.0</v>
      </c>
      <c r="B1880" s="26" t="s">
        <v>275</v>
      </c>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
      </c>
      <c r="N1880" s="1" t="s">
        <v>29</v>
      </c>
      <c r="O1880" s="1"/>
      <c r="P1880" s="11"/>
      <c r="Q1880" s="11"/>
      <c r="R1880" s="11"/>
      <c r="S1880" s="11"/>
      <c r="T1880" s="1"/>
      <c r="U1880" s="1"/>
      <c r="V1880" s="1"/>
      <c r="W1880" s="1"/>
      <c r="X1880" s="1"/>
      <c r="Y1880" s="1"/>
      <c r="Z1880" s="1"/>
    </row>
    <row r="1881" ht="18.0" hidden="1" customHeight="1" outlineLevel="2">
      <c r="A1881" s="1">
        <v>10.0</v>
      </c>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ollapsed="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1"/>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customHeight="1" outlineLevel="1">
      <c r="A1884" s="1"/>
      <c r="B1884" s="26" t="s">
        <v>1987</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存在しない</v>
      </c>
      <c r="N1884" s="1" t="s">
        <v>29</v>
      </c>
      <c r="O1884" s="1"/>
      <c r="P1884" s="11"/>
      <c r="Q1884" s="11"/>
      <c r="R1884" s="11"/>
      <c r="S1884" s="11"/>
      <c r="T1884" s="1"/>
      <c r="U1884" s="1"/>
      <c r="V1884" s="1"/>
      <c r="W1884" s="1"/>
      <c r="X1884" s="1"/>
      <c r="Y1884" s="1"/>
      <c r="Z1884" s="1"/>
    </row>
    <row r="1885" ht="18.0" hidden="1" customHeight="1" outlineLevel="2">
      <c r="A1885" s="1">
        <v>1.0</v>
      </c>
      <c r="B1885" s="26" t="s">
        <v>1966</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2.0</v>
      </c>
      <c r="B1886" s="26" t="s">
        <v>1968</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3.0</v>
      </c>
      <c r="B1887" s="26" t="s">
        <v>1970</v>
      </c>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
      </c>
      <c r="N1887" s="1" t="s">
        <v>29</v>
      </c>
      <c r="O1887" s="1"/>
      <c r="P1887" s="11"/>
      <c r="Q1887" s="11"/>
      <c r="R1887" s="11"/>
      <c r="S1887" s="11"/>
      <c r="T1887" s="1"/>
      <c r="U1887" s="1"/>
      <c r="V1887" s="1"/>
      <c r="W1887" s="1"/>
      <c r="X1887" s="1"/>
      <c r="Y1887" s="1"/>
      <c r="Z1887" s="1"/>
    </row>
    <row r="1888" ht="18.0" hidden="1" customHeight="1" outlineLevel="2">
      <c r="A1888" s="1">
        <v>4.0</v>
      </c>
      <c r="B1888" s="1"/>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存在しない</v>
      </c>
      <c r="N1888" s="1" t="s">
        <v>29</v>
      </c>
      <c r="O1888" s="1"/>
      <c r="P1888" s="11"/>
      <c r="Q1888" s="11"/>
      <c r="R1888" s="11"/>
      <c r="S1888" s="11"/>
      <c r="T1888" s="1"/>
      <c r="U1888" s="1"/>
      <c r="V1888" s="1"/>
      <c r="W1888" s="1"/>
      <c r="X1888" s="1"/>
      <c r="Y1888" s="1"/>
      <c r="Z1888" s="1"/>
    </row>
    <row r="1889" ht="18.0" hidden="1" customHeight="1" outlineLevel="2">
      <c r="A1889" s="1">
        <v>5.0</v>
      </c>
      <c r="B1889" s="26" t="s">
        <v>1243</v>
      </c>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
      </c>
      <c r="N1889" s="1" t="s">
        <v>29</v>
      </c>
      <c r="O1889" s="1"/>
      <c r="P1889" s="11"/>
      <c r="Q1889" s="11"/>
      <c r="R1889" s="11"/>
      <c r="S1889" s="11"/>
      <c r="T1889" s="1"/>
      <c r="U1889" s="1"/>
      <c r="V1889" s="1"/>
      <c r="W1889" s="1"/>
      <c r="X1889" s="1"/>
      <c r="Y1889" s="1"/>
      <c r="Z1889" s="1"/>
    </row>
    <row r="1890" ht="18.0" hidden="1" customHeight="1" outlineLevel="2">
      <c r="A1890" s="1">
        <v>6.0</v>
      </c>
      <c r="B1890" s="1"/>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存在しない</v>
      </c>
      <c r="N1890" s="1" t="s">
        <v>29</v>
      </c>
      <c r="O1890" s="1"/>
      <c r="P1890" s="11"/>
      <c r="Q1890" s="11"/>
      <c r="R1890" s="11"/>
      <c r="S1890" s="11"/>
      <c r="T1890" s="1"/>
      <c r="U1890" s="1"/>
      <c r="V1890" s="1"/>
      <c r="W1890" s="1"/>
      <c r="X1890" s="1"/>
      <c r="Y1890" s="1"/>
      <c r="Z1890" s="1"/>
    </row>
    <row r="1891" ht="18.0" hidden="1" customHeight="1" outlineLevel="2">
      <c r="A1891" s="1">
        <v>7.0</v>
      </c>
      <c r="B1891" s="26" t="s">
        <v>1972</v>
      </c>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
      </c>
      <c r="N1891" s="1" t="s">
        <v>29</v>
      </c>
      <c r="O1891" s="1"/>
      <c r="P1891" s="11"/>
      <c r="Q1891" s="11"/>
      <c r="R1891" s="11"/>
      <c r="S1891" s="11"/>
      <c r="T1891" s="1"/>
      <c r="U1891" s="1"/>
      <c r="V1891" s="1"/>
      <c r="W1891" s="1"/>
      <c r="X1891" s="1"/>
      <c r="Y1891" s="1"/>
      <c r="Z1891" s="1"/>
    </row>
    <row r="1892" ht="18.0" hidden="1" customHeight="1" outlineLevel="2">
      <c r="A1892" s="1">
        <v>8.0</v>
      </c>
      <c r="B1892" s="1"/>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存在しない</v>
      </c>
      <c r="N1892" s="1" t="s">
        <v>29</v>
      </c>
      <c r="O1892" s="1"/>
      <c r="P1892" s="11"/>
      <c r="Q1892" s="11"/>
      <c r="R1892" s="11"/>
      <c r="S1892" s="11"/>
      <c r="T1892" s="1"/>
      <c r="U1892" s="1"/>
      <c r="V1892" s="1"/>
      <c r="W1892" s="1"/>
      <c r="X1892" s="1"/>
      <c r="Y1892" s="1"/>
      <c r="Z1892" s="1"/>
    </row>
    <row r="1893" ht="18.0" hidden="1" customHeight="1" outlineLevel="2">
      <c r="A1893" s="1">
        <v>9.0</v>
      </c>
      <c r="B1893" s="26" t="s">
        <v>1603</v>
      </c>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
      </c>
      <c r="N1893" s="1" t="s">
        <v>29</v>
      </c>
      <c r="O1893" s="1"/>
      <c r="P1893" s="11"/>
      <c r="Q1893" s="11"/>
      <c r="R1893" s="11"/>
      <c r="S1893" s="11"/>
      <c r="T1893" s="1"/>
      <c r="U1893" s="1"/>
      <c r="V1893" s="1"/>
      <c r="W1893" s="1"/>
      <c r="X1893" s="1"/>
      <c r="Y1893" s="1"/>
      <c r="Z1893" s="1"/>
    </row>
    <row r="1894" ht="18.0" hidden="1" customHeight="1" outlineLevel="2">
      <c r="A1894" s="1">
        <v>10.0</v>
      </c>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ollapsed="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1"/>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customHeight="1" outlineLevel="1">
      <c r="A1897" s="1"/>
      <c r="B1897" s="26" t="s">
        <v>1988</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存在しない</v>
      </c>
      <c r="N1897" s="1" t="s">
        <v>29</v>
      </c>
      <c r="O1897" s="1"/>
      <c r="P1897" s="11"/>
      <c r="Q1897" s="11"/>
      <c r="R1897" s="11"/>
      <c r="S1897" s="11"/>
      <c r="T1897" s="1"/>
      <c r="U1897" s="1"/>
      <c r="V1897" s="1"/>
      <c r="W1897" s="1"/>
      <c r="X1897" s="1"/>
      <c r="Y1897" s="1"/>
      <c r="Z1897" s="1"/>
    </row>
    <row r="1898" ht="18.0" hidden="1" customHeight="1" outlineLevel="2">
      <c r="A1898" s="1">
        <v>1.0</v>
      </c>
      <c r="B1898" s="26" t="s">
        <v>1966</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2.0</v>
      </c>
      <c r="B1899" s="26" t="s">
        <v>1968</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3.0</v>
      </c>
      <c r="B1900" s="26" t="s">
        <v>1970</v>
      </c>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
      </c>
      <c r="N1900" s="1" t="s">
        <v>29</v>
      </c>
      <c r="O1900" s="1"/>
      <c r="P1900" s="11"/>
      <c r="Q1900" s="11"/>
      <c r="R1900" s="11"/>
      <c r="S1900" s="11"/>
      <c r="T1900" s="1"/>
      <c r="U1900" s="1"/>
      <c r="V1900" s="1"/>
      <c r="W1900" s="1"/>
      <c r="X1900" s="1"/>
      <c r="Y1900" s="1"/>
      <c r="Z1900" s="1"/>
    </row>
    <row r="1901" ht="18.0" hidden="1" customHeight="1" outlineLevel="2">
      <c r="A1901" s="1">
        <v>4.0</v>
      </c>
      <c r="B1901" s="1"/>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存在しない</v>
      </c>
      <c r="N1901" s="1" t="s">
        <v>29</v>
      </c>
      <c r="O1901" s="1"/>
      <c r="P1901" s="11"/>
      <c r="Q1901" s="11"/>
      <c r="R1901" s="11"/>
      <c r="S1901" s="11"/>
      <c r="T1901" s="1"/>
      <c r="U1901" s="1"/>
      <c r="V1901" s="1"/>
      <c r="W1901" s="1"/>
      <c r="X1901" s="1"/>
      <c r="Y1901" s="1"/>
      <c r="Z1901" s="1"/>
    </row>
    <row r="1902" ht="18.0" hidden="1" customHeight="1" outlineLevel="2">
      <c r="A1902" s="1">
        <v>5.0</v>
      </c>
      <c r="B1902" s="26" t="s">
        <v>1243</v>
      </c>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
      </c>
      <c r="N1902" s="1" t="s">
        <v>29</v>
      </c>
      <c r="O1902" s="1"/>
      <c r="P1902" s="11"/>
      <c r="Q1902" s="11"/>
      <c r="R1902" s="11"/>
      <c r="S1902" s="11"/>
      <c r="T1902" s="1"/>
      <c r="U1902" s="1"/>
      <c r="V1902" s="1"/>
      <c r="W1902" s="1"/>
      <c r="X1902" s="1"/>
      <c r="Y1902" s="1"/>
      <c r="Z1902" s="1"/>
    </row>
    <row r="1903" ht="18.0" hidden="1" customHeight="1" outlineLevel="2">
      <c r="A1903" s="1">
        <v>6.0</v>
      </c>
      <c r="B1903" s="1"/>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存在しない</v>
      </c>
      <c r="N1903" s="1" t="s">
        <v>29</v>
      </c>
      <c r="O1903" s="1"/>
      <c r="P1903" s="11"/>
      <c r="Q1903" s="11"/>
      <c r="R1903" s="11"/>
      <c r="S1903" s="11"/>
      <c r="T1903" s="1"/>
      <c r="U1903" s="1"/>
      <c r="V1903" s="1"/>
      <c r="W1903" s="1"/>
      <c r="X1903" s="1"/>
      <c r="Y1903" s="1"/>
      <c r="Z1903" s="1"/>
    </row>
    <row r="1904" ht="18.0" hidden="1" customHeight="1" outlineLevel="2">
      <c r="A1904" s="1">
        <v>7.0</v>
      </c>
      <c r="B1904" s="26" t="s">
        <v>1972</v>
      </c>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
      </c>
      <c r="N1904" s="1" t="s">
        <v>29</v>
      </c>
      <c r="O1904" s="1"/>
      <c r="P1904" s="11"/>
      <c r="Q1904" s="11"/>
      <c r="R1904" s="11"/>
      <c r="S1904" s="11"/>
      <c r="T1904" s="1"/>
      <c r="U1904" s="1"/>
      <c r="V1904" s="1"/>
      <c r="W1904" s="1"/>
      <c r="X1904" s="1"/>
      <c r="Y1904" s="1"/>
      <c r="Z1904" s="1"/>
    </row>
    <row r="1905" ht="18.0" hidden="1" customHeight="1" outlineLevel="2">
      <c r="A1905" s="1">
        <v>8.0</v>
      </c>
      <c r="B1905" s="1"/>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存在しない</v>
      </c>
      <c r="N1905" s="1" t="s">
        <v>29</v>
      </c>
      <c r="O1905" s="1"/>
      <c r="P1905" s="11"/>
      <c r="Q1905" s="11"/>
      <c r="R1905" s="11"/>
      <c r="S1905" s="11"/>
      <c r="T1905" s="1"/>
      <c r="U1905" s="1"/>
      <c r="V1905" s="1"/>
      <c r="W1905" s="1"/>
      <c r="X1905" s="1"/>
      <c r="Y1905" s="1"/>
      <c r="Z1905" s="1"/>
    </row>
    <row r="1906" ht="18.0" hidden="1" customHeight="1" outlineLevel="2">
      <c r="A1906" s="1">
        <v>9.0</v>
      </c>
      <c r="B1906" s="26" t="s">
        <v>1932</v>
      </c>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
      </c>
      <c r="N1906" s="1" t="s">
        <v>29</v>
      </c>
      <c r="O1906" s="1"/>
      <c r="P1906" s="11"/>
      <c r="Q1906" s="11"/>
      <c r="R1906" s="11"/>
      <c r="S1906" s="11"/>
      <c r="T1906" s="1"/>
      <c r="U1906" s="1"/>
      <c r="V1906" s="1"/>
      <c r="W1906" s="1"/>
      <c r="X1906" s="1"/>
      <c r="Y1906" s="1"/>
      <c r="Z1906" s="1"/>
    </row>
    <row r="1907" ht="18.0" hidden="1" customHeight="1" outlineLevel="2">
      <c r="A1907" s="1">
        <v>10.0</v>
      </c>
      <c r="B1907" s="1"/>
      <c r="C1907" s="1"/>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ollapsed="1">
      <c r="A1908" s="1"/>
      <c r="B1908" s="1"/>
      <c r="C1908" s="26" t="s">
        <v>1989</v>
      </c>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c r="A1909" s="1"/>
      <c r="B1909" s="26" t="s">
        <v>1990</v>
      </c>
      <c r="C1909" s="1"/>
      <c r="D1909" s="1"/>
      <c r="E1909" s="14"/>
      <c r="F1909" s="15"/>
      <c r="G1909" s="16"/>
      <c r="H1909" s="11"/>
      <c r="I1909" s="7"/>
      <c r="J1909" s="7" t="str">
        <f>IFERROR(LET(_xlpm.v,
VLOOKUP($I1909,'用語辞書'!$A:$B,COLUMN('用語辞書'!B$1),FALSE),
IF(_xlpm.v=0,"",_xlpm.v)
),"")</f>
        <v/>
      </c>
      <c r="K1909" s="17"/>
      <c r="L1909" s="17" t="str">
        <f>IF(OR(COUNTIF('クラス'!$A$1:$A$1267,$B1909)&gt;0,$B1909="",$M1909=""),"",True)</f>
        <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1.0</v>
      </c>
      <c r="B1910" s="26" t="s">
        <v>1991</v>
      </c>
      <c r="C1910" s="1"/>
      <c r="D1910" s="1"/>
      <c r="E1910" s="29" t="s">
        <v>33</v>
      </c>
      <c r="F1910" s="15"/>
      <c r="G1910" s="30">
        <v>60.0</v>
      </c>
      <c r="H1910" s="22" t="s">
        <v>1992</v>
      </c>
      <c r="I1910" s="7"/>
      <c r="J1910" s="7" t="str">
        <f>IFERROR(LET(_xlpm.v,
VLOOKUP($I1910,'用語辞書'!$A:$B,COLUMN('用語辞書'!B$1),FALSE),
IF(_xlpm.v=0,"",_xlpm.v)
),"")</f>
        <v/>
      </c>
      <c r="K1910" s="17"/>
      <c r="L1910" s="17" t="b">
        <f>IF(OR(COUNTIF('クラス'!$A$1:$A$1267,$B1910)&gt;0,$B1910="",$M1910=""),"",True)</f>
        <v>1</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2.0</v>
      </c>
      <c r="B1911" s="1"/>
      <c r="C1911" s="1"/>
      <c r="D1911" s="1"/>
      <c r="E1911" s="14"/>
      <c r="F1911" s="15"/>
      <c r="G1911" s="16"/>
      <c r="H1911" s="11"/>
      <c r="I1911" s="7"/>
      <c r="J1911" s="7" t="str">
        <f>IFERROR(LET(_xlpm.v,
VLOOKUP($I1911,'用語辞書'!$A:$B,COLUMN('用語辞書'!B$1),FALSE),
IF(_xlpm.v=0,"",_xlpm.v)
),"")</f>
        <v/>
      </c>
      <c r="K1911" s="17"/>
      <c r="L1911" s="17" t="str">
        <f>IF(OR(COUNTIF('クラス'!$A$1:$A$1267,$B1911)&gt;0,$B1911="",$M1911=""),"",True)</f>
        <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3.0</v>
      </c>
      <c r="B1912" s="26" t="s">
        <v>1993</v>
      </c>
      <c r="C1912" s="1"/>
      <c r="D1912" s="1"/>
      <c r="E1912" s="29" t="s">
        <v>55</v>
      </c>
      <c r="F1912" s="15"/>
      <c r="G1912" s="16"/>
      <c r="H1912" s="22" t="s">
        <v>1994</v>
      </c>
      <c r="I1912" s="7"/>
      <c r="J1912" s="7" t="str">
        <f>IFERROR(LET(_xlpm.v,
VLOOKUP($I1912,'用語辞書'!$A:$B,COLUMN('用語辞書'!B$1),FALSE),
IF(_xlpm.v=0,"",_xlpm.v)
),"")</f>
        <v/>
      </c>
      <c r="K1912" s="17"/>
      <c r="L1912" s="17" t="b">
        <f>IF(OR(COUNTIF('クラス'!$A$1:$A$1267,$B1912)&gt;0,$B1912="",$M1912=""),"",True)</f>
        <v>1</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4.0</v>
      </c>
      <c r="B1913" s="1"/>
      <c r="C1913" s="1"/>
      <c r="D1913" s="1"/>
      <c r="E1913" s="14"/>
      <c r="F1913" s="15"/>
      <c r="G1913" s="16"/>
      <c r="H1913" s="11"/>
      <c r="I1913" s="7"/>
      <c r="J1913" s="7" t="str">
        <f>IFERROR(LET(_xlpm.v,
VLOOKUP($I1913,'用語辞書'!$A:$B,COLUMN('用語辞書'!B$1),FALSE),
IF(_xlpm.v=0,"",_xlpm.v)
),"")</f>
        <v/>
      </c>
      <c r="K1913" s="17"/>
      <c r="L1913" s="17" t="str">
        <f>IF(OR(COUNTIF('クラス'!$A$1:$A$1267,$B1913)&gt;0,$B1913="",$M1913=""),"",True)</f>
        <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5.0</v>
      </c>
      <c r="B1914" s="26" t="s">
        <v>1995</v>
      </c>
      <c r="C1914" s="26" t="s">
        <v>1996</v>
      </c>
      <c r="D1914" s="1"/>
      <c r="E1914" s="29" t="s">
        <v>33</v>
      </c>
      <c r="F1914" s="15"/>
      <c r="G1914" s="30">
        <v>30.0</v>
      </c>
      <c r="H1914" s="31" t="s">
        <v>1997</v>
      </c>
      <c r="I1914" s="7"/>
      <c r="J1914" s="7" t="str">
        <f>IFERROR(LET(_xlpm.v,
VLOOKUP($I1914,'用語辞書'!$A:$B,COLUMN('用語辞書'!B$1),FALSE),
IF(_xlpm.v=0,"",_xlpm.v)
),"")</f>
        <v/>
      </c>
      <c r="K1914" s="17"/>
      <c r="L1914" s="17" t="b">
        <f>IF(OR(COUNTIF('クラス'!$A$1:$A$1267,$B1914)&gt;0,$B1914="",$M1914=""),"",True)</f>
        <v>1</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6.0</v>
      </c>
      <c r="B1915" s="1"/>
      <c r="C1915" s="1"/>
      <c r="D1915" s="1"/>
      <c r="E1915" s="14"/>
      <c r="F1915" s="15"/>
      <c r="G1915" s="16"/>
      <c r="H1915" s="11"/>
      <c r="I1915" s="7"/>
      <c r="J1915" s="7" t="str">
        <f>IFERROR(LET(_xlpm.v,
VLOOKUP($I1915,'用語辞書'!$A:$B,COLUMN('用語辞書'!B$1),FALSE),
IF(_xlpm.v=0,"",_xlpm.v)
),"")</f>
        <v/>
      </c>
      <c r="K1915" s="17"/>
      <c r="L1915" s="17" t="str">
        <f>IF(OR(COUNTIF('クラス'!$A$1:$A$1267,$B1915)&gt;0,$B1915="",$M1915=""),"",True)</f>
        <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7.0</v>
      </c>
      <c r="B1916" s="26" t="s">
        <v>1998</v>
      </c>
      <c r="C1916" s="1"/>
      <c r="D1916" s="1"/>
      <c r="E1916" s="29" t="s">
        <v>55</v>
      </c>
      <c r="F1916" s="15"/>
      <c r="G1916" s="16"/>
      <c r="H1916" s="22" t="s">
        <v>1999</v>
      </c>
      <c r="I1916" s="7"/>
      <c r="J1916" s="7" t="str">
        <f>IFERROR(LET(_xlpm.v,
VLOOKUP($I1916,'用語辞書'!$A:$B,COLUMN('用語辞書'!B$1),FALSE),
IF(_xlpm.v=0,"",_xlpm.v)
),"")</f>
        <v/>
      </c>
      <c r="K1916" s="17"/>
      <c r="L1916" s="17" t="b">
        <f>IF(OR(COUNTIF('クラス'!$A$1:$A$1267,$B1916)&gt;0,$B1916="",$M1916=""),"",True)</f>
        <v>1</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8.0</v>
      </c>
      <c r="B1917" s="1"/>
      <c r="C1917" s="1"/>
      <c r="D1917" s="1"/>
      <c r="E1917" s="14"/>
      <c r="F1917" s="15"/>
      <c r="G1917" s="16"/>
      <c r="H1917" s="11"/>
      <c r="I1917" s="7"/>
      <c r="J1917" s="7" t="str">
        <f>IFERROR(LET(_xlpm.v,
VLOOKUP($I1917,'用語辞書'!$A:$B,COLUMN('用語辞書'!B$1),FALSE),
IF(_xlpm.v=0,"",_xlpm.v)
),"")</f>
        <v/>
      </c>
      <c r="K1917" s="17"/>
      <c r="L1917" s="17" t="str">
        <f>IF(OR(COUNTIF('クラス'!$A$1:$A$1267,$B1917)&gt;0,$B1917="",$M1917=""),"",True)</f>
        <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9.0</v>
      </c>
      <c r="B1918" s="26" t="s">
        <v>2000</v>
      </c>
      <c r="C1918" s="26" t="s">
        <v>2001</v>
      </c>
      <c r="D1918" s="1"/>
      <c r="E1918" s="29" t="s">
        <v>33</v>
      </c>
      <c r="F1918" s="15"/>
      <c r="G1918" s="30">
        <v>60.0</v>
      </c>
      <c r="H1918" s="22" t="s">
        <v>2002</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outlineLevel="1">
      <c r="A1919" s="1">
        <v>10.0</v>
      </c>
      <c r="B1919" s="26" t="s">
        <v>2003</v>
      </c>
      <c r="C1919" s="1"/>
      <c r="D1919" s="1"/>
      <c r="E1919" s="29" t="s">
        <v>55</v>
      </c>
      <c r="F1919" s="15"/>
      <c r="G1919" s="16"/>
      <c r="H1919" s="31" t="s">
        <v>2004</v>
      </c>
      <c r="I1919" s="7"/>
      <c r="J1919" s="7" t="str">
        <f>IFERROR(LET(_xlpm.v,
VLOOKUP($I1919,'用語辞書'!$A:$B,COLUMN('用語辞書'!B$1),FALSE),
IF(_xlpm.v=0,"",_xlpm.v)
),"")</f>
        <v/>
      </c>
      <c r="K1919" s="17"/>
      <c r="L1919" s="17" t="b">
        <f>IF(OR(COUNTIF('クラス'!$A$1:$A$1267,$B1919)&gt;0,$B1919="",$M1919=""),"",True)</f>
        <v>1</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1"/>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c r="A1921" s="1"/>
      <c r="B1921" s="26" t="s">
        <v>2005</v>
      </c>
      <c r="C1921" s="1"/>
      <c r="D1921" s="1"/>
      <c r="E1921" s="14"/>
      <c r="F1921" s="15"/>
      <c r="G1921" s="16"/>
      <c r="H1921" s="11"/>
      <c r="I1921" s="7"/>
      <c r="J1921" s="7" t="str">
        <f>IFERROR(LET(_xlpm.v,
VLOOKUP($I1921,'用語辞書'!$A:$B,COLUMN('用語辞書'!B$1),FALSE),
IF(_xlpm.v=0,"",_xlpm.v)
),"")</f>
        <v/>
      </c>
      <c r="K1921" s="17"/>
      <c r="L1921" s="17" t="str">
        <f>IF(OR(COUNTIF('クラス'!$A$1:$A$1267,$B1921)&gt;0,$B1921="",$M1921=""),"",True)</f>
        <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1.0</v>
      </c>
      <c r="B1922" s="26" t="s">
        <v>2006</v>
      </c>
      <c r="C1922" s="26" t="s">
        <v>2007</v>
      </c>
      <c r="D1922" s="1"/>
      <c r="E1922" s="29" t="s">
        <v>33</v>
      </c>
      <c r="F1922" s="15"/>
      <c r="G1922" s="30">
        <v>60.0</v>
      </c>
      <c r="H1922" s="22" t="s">
        <v>2008</v>
      </c>
      <c r="I1922" s="7"/>
      <c r="J1922" s="7" t="str">
        <f>IFERROR(LET(_xlpm.v,
VLOOKUP($I1922,'用語辞書'!$A:$B,COLUMN('用語辞書'!B$1),FALSE),
IF(_xlpm.v=0,"",_xlpm.v)
),"")</f>
        <v/>
      </c>
      <c r="K1922" s="17"/>
      <c r="L1922" s="17" t="b">
        <f>IF(OR(COUNTIF('クラス'!$A$1:$A$1267,$B1922)&gt;0,$B1922="",$M1922=""),"",True)</f>
        <v>1</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2.0</v>
      </c>
      <c r="B1923" s="1"/>
      <c r="C1923" s="1"/>
      <c r="D1923" s="1"/>
      <c r="E1923" s="14"/>
      <c r="F1923" s="15"/>
      <c r="G1923" s="16"/>
      <c r="H1923" s="11"/>
      <c r="I1923" s="7"/>
      <c r="J1923" s="7" t="str">
        <f>IFERROR(LET(_xlpm.v,
VLOOKUP($I1923,'用語辞書'!$A:$B,COLUMN('用語辞書'!B$1),FALSE),
IF(_xlpm.v=0,"",_xlpm.v)
),"")</f>
        <v/>
      </c>
      <c r="K1923" s="17"/>
      <c r="L1923" s="17" t="str">
        <f>IF(OR(COUNTIF('クラス'!$A$1:$A$1267,$B1923)&gt;0,$B1923="",$M1923=""),"",True)</f>
        <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3.0</v>
      </c>
      <c r="B1924" s="26" t="s">
        <v>2009</v>
      </c>
      <c r="C1924" s="1"/>
      <c r="D1924" s="1"/>
      <c r="E1924" s="29" t="s">
        <v>55</v>
      </c>
      <c r="F1924" s="15"/>
      <c r="G1924" s="16"/>
      <c r="H1924" s="31" t="s">
        <v>2010</v>
      </c>
      <c r="I1924" s="7"/>
      <c r="J1924" s="7" t="str">
        <f>IFERROR(LET(_xlpm.v,
VLOOKUP($I1924,'用語辞書'!$A:$B,COLUMN('用語辞書'!B$1),FALSE),
IF(_xlpm.v=0,"",_xlpm.v)
),"")</f>
        <v/>
      </c>
      <c r="K1924" s="17"/>
      <c r="L1924" s="17" t="b">
        <f>IF(OR(COUNTIF('クラス'!$A$1:$A$1267,$B1924)&gt;0,$B1924="",$M1924=""),"",True)</f>
        <v>1</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4.0</v>
      </c>
      <c r="B1925" s="1"/>
      <c r="C1925" s="1"/>
      <c r="D1925" s="1"/>
      <c r="E1925" s="14"/>
      <c r="F1925" s="15"/>
      <c r="G1925" s="16"/>
      <c r="H1925" s="11"/>
      <c r="I1925" s="7"/>
      <c r="J1925" s="7" t="str">
        <f>IFERROR(LET(_xlpm.v,
VLOOKUP($I1925,'用語辞書'!$A:$B,COLUMN('用語辞書'!B$1),FALSE),
IF(_xlpm.v=0,"",_xlpm.v)
),"")</f>
        <v/>
      </c>
      <c r="K1925" s="17"/>
      <c r="L1925" s="17" t="str">
        <f>IF(OR(COUNTIF('クラス'!$A$1:$A$1267,$B1925)&gt;0,$B1925="",$M1925=""),"",True)</f>
        <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5.0</v>
      </c>
      <c r="B1926" s="26" t="s">
        <v>2011</v>
      </c>
      <c r="C1926" s="26" t="s">
        <v>2012</v>
      </c>
      <c r="D1926" s="1"/>
      <c r="E1926" s="29" t="s">
        <v>33</v>
      </c>
      <c r="F1926" s="15"/>
      <c r="G1926" s="30">
        <v>60.0</v>
      </c>
      <c r="H1926" s="22" t="s">
        <v>2013</v>
      </c>
      <c r="I1926" s="7"/>
      <c r="J1926" s="7" t="str">
        <f>IFERROR(LET(_xlpm.v,
VLOOKUP($I1926,'用語辞書'!$A:$B,COLUMN('用語辞書'!B$1),FALSE),
IF(_xlpm.v=0,"",_xlpm.v)
),"")</f>
        <v/>
      </c>
      <c r="K1926" s="17"/>
      <c r="L1926" s="17" t="b">
        <f>IF(OR(COUNTIF('クラス'!$A$1:$A$1267,$B1926)&gt;0,$B1926="",$M1926=""),"",True)</f>
        <v>1</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6.0</v>
      </c>
      <c r="B1927" s="1"/>
      <c r="C1927" s="1"/>
      <c r="D1927" s="1"/>
      <c r="E1927" s="14"/>
      <c r="F1927" s="15"/>
      <c r="G1927" s="16"/>
      <c r="H1927" s="11"/>
      <c r="I1927" s="7"/>
      <c r="J1927" s="7" t="str">
        <f>IFERROR(LET(_xlpm.v,
VLOOKUP($I1927,'用語辞書'!$A:$B,COLUMN('用語辞書'!B$1),FALSE),
IF(_xlpm.v=0,"",_xlpm.v)
),"")</f>
        <v/>
      </c>
      <c r="K1927" s="17"/>
      <c r="L1927" s="17" t="str">
        <f>IF(OR(COUNTIF('クラス'!$A$1:$A$1267,$B1927)&gt;0,$B1927="",$M1927=""),"",True)</f>
        <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7.0</v>
      </c>
      <c r="B1928" s="26" t="s">
        <v>2014</v>
      </c>
      <c r="C1928" s="1"/>
      <c r="D1928" s="1"/>
      <c r="E1928" s="29" t="s">
        <v>55</v>
      </c>
      <c r="F1928" s="15"/>
      <c r="G1928" s="16"/>
      <c r="H1928" s="22" t="s">
        <v>2015</v>
      </c>
      <c r="I1928" s="7"/>
      <c r="J1928" s="7" t="str">
        <f>IFERROR(LET(_xlpm.v,
VLOOKUP($I1928,'用語辞書'!$A:$B,COLUMN('用語辞書'!B$1),FALSE),
IF(_xlpm.v=0,"",_xlpm.v)
),"")</f>
        <v/>
      </c>
      <c r="K1928" s="17"/>
      <c r="L1928" s="17" t="b">
        <f>IF(OR(COUNTIF('クラス'!$A$1:$A$1267,$B1928)&gt;0,$B1928="",$M1928=""),"",True)</f>
        <v>1</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8.0</v>
      </c>
      <c r="B1929" s="1"/>
      <c r="C1929" s="1"/>
      <c r="D1929" s="1"/>
      <c r="E1929" s="14"/>
      <c r="F1929" s="15"/>
      <c r="G1929" s="16"/>
      <c r="H1929" s="11"/>
      <c r="I1929" s="7"/>
      <c r="J1929" s="7" t="str">
        <f>IFERROR(LET(_xlpm.v,
VLOOKUP($I1929,'用語辞書'!$A:$B,COLUMN('用語辞書'!B$1),FALSE),
IF(_xlpm.v=0,"",_xlpm.v)
),"")</f>
        <v/>
      </c>
      <c r="K1929" s="17"/>
      <c r="L1929" s="17" t="str">
        <f>IF(OR(COUNTIF('クラス'!$A$1:$A$1267,$B1929)&gt;0,$B1929="",$M1929=""),"",True)</f>
        <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9.0</v>
      </c>
      <c r="B1930" s="26" t="s">
        <v>2016</v>
      </c>
      <c r="C1930" s="26" t="s">
        <v>2017</v>
      </c>
      <c r="D1930" s="1"/>
      <c r="E1930" s="29" t="s">
        <v>33</v>
      </c>
      <c r="F1930" s="15"/>
      <c r="G1930" s="30">
        <v>60.0</v>
      </c>
      <c r="H1930" s="31" t="s">
        <v>2018</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outlineLevel="1">
      <c r="A1931" s="1">
        <v>10.0</v>
      </c>
      <c r="B1931" s="26" t="s">
        <v>2019</v>
      </c>
      <c r="C1931" s="1"/>
      <c r="D1931" s="1"/>
      <c r="E1931" s="29" t="s">
        <v>55</v>
      </c>
      <c r="F1931" s="15"/>
      <c r="G1931" s="16"/>
      <c r="H1931" s="31" t="s">
        <v>2020</v>
      </c>
      <c r="I1931" s="7"/>
      <c r="J1931" s="7" t="str">
        <f>IFERROR(LET(_xlpm.v,
VLOOKUP($I1931,'用語辞書'!$A:$B,COLUMN('用語辞書'!B$1),FALSE),
IF(_xlpm.v=0,"",_xlpm.v)
),"")</f>
        <v/>
      </c>
      <c r="K1931" s="17"/>
      <c r="L1931" s="17" t="b">
        <f>IF(OR(COUNTIF('クラス'!$A$1:$A$1267,$B1931)&gt;0,$B1931="",$M1931=""),"",True)</f>
        <v>1</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1"/>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customHeight="1">
      <c r="A1933" s="1"/>
      <c r="B1933" s="26" t="s">
        <v>2021</v>
      </c>
      <c r="C1933" s="1"/>
      <c r="D1933" s="1"/>
      <c r="E1933" s="14"/>
      <c r="F1933" s="15"/>
      <c r="G1933" s="16"/>
      <c r="H1933" s="11"/>
      <c r="I1933" s="7"/>
      <c r="J1933" s="7" t="str">
        <f>IFERROR(LET(_xlpm.v,
VLOOKUP($I1933,'用語辞書'!$A:$B,COLUMN('用語辞書'!B$1),FALSE),
IF(_xlpm.v=0,"",_xlpm.v)
),"")</f>
        <v/>
      </c>
      <c r="K1933" s="17"/>
      <c r="L1933" s="17" t="str">
        <f>IF(OR(COUNTIF('クラス'!$A$1:$A$1267,$B1933)&gt;0,$B1933="",$M1933=""),"",True)</f>
        <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1.0</v>
      </c>
      <c r="B1934" s="26" t="s">
        <v>2022</v>
      </c>
      <c r="C1934" s="26" t="s">
        <v>2023</v>
      </c>
      <c r="D1934" s="1"/>
      <c r="E1934" s="29" t="s">
        <v>33</v>
      </c>
      <c r="F1934" s="15"/>
      <c r="G1934" s="30">
        <v>60.0</v>
      </c>
      <c r="H1934" s="22" t="s">
        <v>2024</v>
      </c>
      <c r="I1934" s="7"/>
      <c r="J1934" s="7" t="str">
        <f>IFERROR(LET(_xlpm.v,
VLOOKUP($I1934,'用語辞書'!$A:$B,COLUMN('用語辞書'!B$1),FALSE),
IF(_xlpm.v=0,"",_xlpm.v)
),"")</f>
        <v/>
      </c>
      <c r="K1934" s="17"/>
      <c r="L1934" s="17" t="b">
        <f>IF(OR(COUNTIF('クラス'!$A$1:$A$1267,$B1934)&gt;0,$B1934="",$M1934=""),"",True)</f>
        <v>1</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2.0</v>
      </c>
      <c r="B1935" s="1"/>
      <c r="C1935" s="1"/>
      <c r="D1935" s="1"/>
      <c r="E1935" s="14"/>
      <c r="F1935" s="15"/>
      <c r="G1935" s="16"/>
      <c r="H1935" s="11"/>
      <c r="I1935" s="7"/>
      <c r="J1935" s="7" t="str">
        <f>IFERROR(LET(_xlpm.v,
VLOOKUP($I1935,'用語辞書'!$A:$B,COLUMN('用語辞書'!B$1),FALSE),
IF(_xlpm.v=0,"",_xlpm.v)
),"")</f>
        <v/>
      </c>
      <c r="K1935" s="17"/>
      <c r="L1935" s="17" t="str">
        <f>IF(OR(COUNTIF('クラス'!$A$1:$A$1267,$B1935)&gt;0,$B1935="",$M1935=""),"",True)</f>
        <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3.0</v>
      </c>
      <c r="B1936" s="26" t="s">
        <v>2025</v>
      </c>
      <c r="C1936" s="1"/>
      <c r="D1936" s="1"/>
      <c r="E1936" s="29" t="s">
        <v>55</v>
      </c>
      <c r="F1936" s="15"/>
      <c r="G1936" s="16"/>
      <c r="H1936" s="22" t="s">
        <v>2026</v>
      </c>
      <c r="I1936" s="7"/>
      <c r="J1936" s="7" t="str">
        <f>IFERROR(LET(_xlpm.v,
VLOOKUP($I1936,'用語辞書'!$A:$B,COLUMN('用語辞書'!B$1),FALSE),
IF(_xlpm.v=0,"",_xlpm.v)
),"")</f>
        <v/>
      </c>
      <c r="K1936" s="17"/>
      <c r="L1936" s="17" t="b">
        <f>IF(OR(COUNTIF('クラス'!$A$1:$A$1267,$B1936)&gt;0,$B1936="",$M1936=""),"",True)</f>
        <v>1</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4.0</v>
      </c>
      <c r="B1937" s="1"/>
      <c r="C1937" s="1"/>
      <c r="D1937" s="1"/>
      <c r="E1937" s="14"/>
      <c r="F1937" s="15"/>
      <c r="G1937" s="16"/>
      <c r="H1937" s="11"/>
      <c r="I1937" s="7"/>
      <c r="J1937" s="7" t="str">
        <f>IFERROR(LET(_xlpm.v,
VLOOKUP($I1937,'用語辞書'!$A:$B,COLUMN('用語辞書'!B$1),FALSE),
IF(_xlpm.v=0,"",_xlpm.v)
),"")</f>
        <v/>
      </c>
      <c r="K1937" s="17"/>
      <c r="L1937" s="17" t="str">
        <f>IF(OR(COUNTIF('クラス'!$A$1:$A$1267,$B1937)&gt;0,$B1937="",$M1937=""),"",True)</f>
        <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5.0</v>
      </c>
      <c r="B1938" s="26" t="s">
        <v>2027</v>
      </c>
      <c r="C1938" s="26" t="s">
        <v>2028</v>
      </c>
      <c r="D1938" s="1"/>
      <c r="E1938" s="29" t="s">
        <v>33</v>
      </c>
      <c r="F1938" s="15"/>
      <c r="G1938" s="30">
        <v>60.0</v>
      </c>
      <c r="H1938" s="22" t="s">
        <v>2029</v>
      </c>
      <c r="I1938" s="7"/>
      <c r="J1938" s="7" t="str">
        <f>IFERROR(LET(_xlpm.v,
VLOOKUP($I1938,'用語辞書'!$A:$B,COLUMN('用語辞書'!B$1),FALSE),
IF(_xlpm.v=0,"",_xlpm.v)
),"")</f>
        <v/>
      </c>
      <c r="K1938" s="17"/>
      <c r="L1938" s="17" t="b">
        <f>IF(OR(COUNTIF('クラス'!$A$1:$A$1267,$B1938)&gt;0,$B1938="",$M1938=""),"",True)</f>
        <v>1</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6.0</v>
      </c>
      <c r="B1939" s="1"/>
      <c r="C1939" s="1"/>
      <c r="D1939" s="1"/>
      <c r="E1939" s="14"/>
      <c r="F1939" s="15"/>
      <c r="G1939" s="16"/>
      <c r="H1939" s="11"/>
      <c r="I1939" s="7"/>
      <c r="J1939" s="7" t="str">
        <f>IFERROR(LET(_xlpm.v,
VLOOKUP($I1939,'用語辞書'!$A:$B,COLUMN('用語辞書'!B$1),FALSE),
IF(_xlpm.v=0,"",_xlpm.v)
),"")</f>
        <v/>
      </c>
      <c r="K1939" s="17"/>
      <c r="L1939" s="17" t="str">
        <f>IF(OR(COUNTIF('クラス'!$A$1:$A$1267,$B1939)&gt;0,$B1939="",$M1939=""),"",True)</f>
        <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7.0</v>
      </c>
      <c r="B1940" s="26" t="s">
        <v>2030</v>
      </c>
      <c r="C1940" s="1"/>
      <c r="D1940" s="1"/>
      <c r="E1940" s="29" t="s">
        <v>55</v>
      </c>
      <c r="F1940" s="15"/>
      <c r="G1940" s="16"/>
      <c r="H1940" s="31" t="s">
        <v>2031</v>
      </c>
      <c r="I1940" s="7"/>
      <c r="J1940" s="7" t="str">
        <f>IFERROR(LET(_xlpm.v,
VLOOKUP($I1940,'用語辞書'!$A:$B,COLUMN('用語辞書'!B$1),FALSE),
IF(_xlpm.v=0,"",_xlpm.v)
),"")</f>
        <v/>
      </c>
      <c r="K1940" s="17"/>
      <c r="L1940" s="17" t="b">
        <f>IF(OR(COUNTIF('クラス'!$A$1:$A$1267,$B1940)&gt;0,$B1940="",$M1940=""),"",True)</f>
        <v>1</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8.0</v>
      </c>
      <c r="B1941" s="1"/>
      <c r="C1941" s="1"/>
      <c r="D1941" s="1"/>
      <c r="E1941" s="14"/>
      <c r="F1941" s="15"/>
      <c r="G1941" s="16"/>
      <c r="H1941" s="11"/>
      <c r="I1941" s="7"/>
      <c r="J1941" s="7" t="str">
        <f>IFERROR(LET(_xlpm.v,
VLOOKUP($I1941,'用語辞書'!$A:$B,COLUMN('用語辞書'!B$1),FALSE),
IF(_xlpm.v=0,"",_xlpm.v)
),"")</f>
        <v/>
      </c>
      <c r="K1941" s="17"/>
      <c r="L1941" s="17" t="str">
        <f>IF(OR(COUNTIF('クラス'!$A$1:$A$1267,$B1941)&gt;0,$B1941="",$M1941=""),"",True)</f>
        <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9.0</v>
      </c>
      <c r="B1942" s="26" t="s">
        <v>2032</v>
      </c>
      <c r="C1942" s="26" t="s">
        <v>2033</v>
      </c>
      <c r="D1942" s="1"/>
      <c r="E1942" s="29" t="s">
        <v>33</v>
      </c>
      <c r="F1942" s="15"/>
      <c r="G1942" s="30">
        <v>60.0</v>
      </c>
      <c r="H1942" s="22" t="s">
        <v>2034</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hidden="1" customHeight="1" outlineLevel="1">
      <c r="A1943" s="1">
        <v>10.0</v>
      </c>
      <c r="B1943" s="26" t="s">
        <v>2035</v>
      </c>
      <c r="C1943" s="1"/>
      <c r="D1943" s="1"/>
      <c r="E1943" s="29" t="s">
        <v>55</v>
      </c>
      <c r="F1943" s="15"/>
      <c r="G1943" s="16"/>
      <c r="H1943" s="22" t="s">
        <v>2036</v>
      </c>
      <c r="I1943" s="7"/>
      <c r="J1943" s="7" t="str">
        <f>IFERROR(LET(_xlpm.v,
VLOOKUP($I1943,'用語辞書'!$A:$B,COLUMN('用語辞書'!B$1),FALSE),
IF(_xlpm.v=0,"",_xlpm.v)
),"")</f>
        <v/>
      </c>
      <c r="K1943" s="17"/>
      <c r="L1943" s="17" t="b">
        <f>IF(OR(COUNTIF('クラス'!$A$1:$A$1267,$B1943)&gt;0,$B1943="",$M1943=""),"",True)</f>
        <v>1</v>
      </c>
      <c r="M1943" s="1" t="str">
        <f t="shared" si="27"/>
        <v>存在しない</v>
      </c>
      <c r="N1943" s="1" t="s">
        <v>29</v>
      </c>
      <c r="O1943" s="1"/>
      <c r="P1943" s="11"/>
      <c r="Q1943" s="11"/>
      <c r="R1943" s="11"/>
      <c r="S1943" s="11"/>
      <c r="T1943" s="1"/>
      <c r="U1943" s="1"/>
      <c r="V1943" s="1"/>
      <c r="W1943" s="1"/>
      <c r="X1943" s="1"/>
      <c r="Y1943" s="1"/>
      <c r="Z1943" s="1"/>
    </row>
    <row r="1944" ht="18.0" customHeight="1" collapsed="1">
      <c r="A1944" s="1"/>
      <c r="B1944" s="1"/>
      <c r="C1944" s="26"/>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customHeight="1">
      <c r="A1945" s="1"/>
      <c r="B1945" s="26" t="s">
        <v>2037</v>
      </c>
      <c r="C1945" s="1"/>
      <c r="D1945" s="1"/>
      <c r="E1945" s="14"/>
      <c r="F1945" s="15"/>
      <c r="G1945" s="16"/>
      <c r="H1945" s="11"/>
      <c r="I1945" s="7"/>
      <c r="J1945" s="7" t="str">
        <f>IFERROR(LET(_xlpm.v,
VLOOKUP($I1945,'用語辞書'!$A:$B,COLUMN('用語辞書'!B$1),FALSE),
IF(_xlpm.v=0,"",_xlpm.v)
),"")</f>
        <v/>
      </c>
      <c r="K1945" s="17"/>
      <c r="L1945" s="17" t="str">
        <f>IF(OR(COUNTIF('クラス'!$A$1:$A$1267,$B1945)&gt;0,$B1945="",$M1945=""),"",True)</f>
        <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1.0</v>
      </c>
      <c r="B1946" s="26" t="s">
        <v>2038</v>
      </c>
      <c r="C1946" s="26" t="s">
        <v>2037</v>
      </c>
      <c r="D1946" s="1"/>
      <c r="E1946" s="29" t="s">
        <v>33</v>
      </c>
      <c r="F1946" s="15"/>
      <c r="G1946" s="30">
        <v>30.0</v>
      </c>
      <c r="H1946" s="22" t="s">
        <v>2039</v>
      </c>
      <c r="I1946" s="7"/>
      <c r="J1946" s="7" t="str">
        <f>IFERROR(LET(_xlpm.v,
VLOOKUP($I1946,'用語辞書'!$A:$B,COLUMN('用語辞書'!B$1),FALSE),
IF(_xlpm.v=0,"",_xlpm.v)
),"")</f>
        <v/>
      </c>
      <c r="K1946" s="17"/>
      <c r="L1946" s="17" t="b">
        <f>IF(OR(COUNTIF('クラス'!$A$1:$A$1267,$B1946)&gt;0,$B1946="",$M1946=""),"",True)</f>
        <v>1</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2.0</v>
      </c>
      <c r="B1947" s="1"/>
      <c r="C1947" s="1"/>
      <c r="D1947" s="1"/>
      <c r="E1947" s="14"/>
      <c r="F1947" s="15"/>
      <c r="G1947" s="16"/>
      <c r="H1947" s="11"/>
      <c r="I1947" s="7"/>
      <c r="J1947" s="7" t="str">
        <f>IFERROR(LET(_xlpm.v,
VLOOKUP($I1947,'用語辞書'!$A:$B,COLUMN('用語辞書'!B$1),FALSE),
IF(_xlpm.v=0,"",_xlpm.v)
),"")</f>
        <v/>
      </c>
      <c r="K1947" s="17"/>
      <c r="L1947" s="17" t="str">
        <f>IF(OR(COUNTIF('クラス'!$A$1:$A$1267,$B1947)&gt;0,$B1947="",$M1947=""),"",True)</f>
        <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3.0</v>
      </c>
      <c r="B1948" s="26" t="s">
        <v>2040</v>
      </c>
      <c r="C1948" s="1"/>
      <c r="D1948" s="1"/>
      <c r="E1948" s="29" t="s">
        <v>55</v>
      </c>
      <c r="F1948" s="15"/>
      <c r="G1948" s="16"/>
      <c r="H1948" s="22" t="s">
        <v>2041</v>
      </c>
      <c r="I1948" s="7"/>
      <c r="J1948" s="7" t="str">
        <f>IFERROR(LET(_xlpm.v,
VLOOKUP($I1948,'用語辞書'!$A:$B,COLUMN('用語辞書'!B$1),FALSE),
IF(_xlpm.v=0,"",_xlpm.v)
),"")</f>
        <v/>
      </c>
      <c r="K1948" s="17"/>
      <c r="L1948" s="17" t="b">
        <f>IF(OR(COUNTIF('クラス'!$A$1:$A$1267,$B1948)&gt;0,$B1948="",$M1948=""),"",True)</f>
        <v>1</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4.0</v>
      </c>
      <c r="B1949" s="1"/>
      <c r="C1949" s="1"/>
      <c r="D1949" s="1"/>
      <c r="E1949" s="14"/>
      <c r="F1949" s="15"/>
      <c r="G1949" s="16"/>
      <c r="H1949" s="11"/>
      <c r="I1949" s="7"/>
      <c r="J1949" s="7" t="str">
        <f>IFERROR(LET(_xlpm.v,
VLOOKUP($I1949,'用語辞書'!$A:$B,COLUMN('用語辞書'!B$1),FALSE),
IF(_xlpm.v=0,"",_xlpm.v)
),"")</f>
        <v/>
      </c>
      <c r="K1949" s="17"/>
      <c r="L1949" s="17" t="str">
        <f>IF(OR(COUNTIF('クラス'!$A$1:$A$1267,$B1949)&gt;0,$B1949="",$M1949=""),"",True)</f>
        <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5.0</v>
      </c>
      <c r="B1950" s="26" t="s">
        <v>2042</v>
      </c>
      <c r="C1950" s="26" t="s">
        <v>2043</v>
      </c>
      <c r="D1950" s="1"/>
      <c r="E1950" s="29" t="s">
        <v>33</v>
      </c>
      <c r="F1950" s="15"/>
      <c r="G1950" s="30">
        <v>30.0</v>
      </c>
      <c r="H1950" s="22" t="s">
        <v>2044</v>
      </c>
      <c r="I1950" s="7"/>
      <c r="J1950" s="7" t="str">
        <f>IFERROR(LET(_xlpm.v,
VLOOKUP($I1950,'用語辞書'!$A:$B,COLUMN('用語辞書'!B$1),FALSE),
IF(_xlpm.v=0,"",_xlpm.v)
),"")</f>
        <v/>
      </c>
      <c r="K1950" s="17"/>
      <c r="L1950" s="17" t="b">
        <f>IF(OR(COUNTIF('クラス'!$A$1:$A$1267,$B1950)&gt;0,$B1950="",$M1950=""),"",True)</f>
        <v>1</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6.0</v>
      </c>
      <c r="B1951" s="1"/>
      <c r="C1951" s="1"/>
      <c r="D1951" s="1"/>
      <c r="E1951" s="14"/>
      <c r="F1951" s="15"/>
      <c r="G1951" s="16"/>
      <c r="H1951" s="11"/>
      <c r="I1951" s="7"/>
      <c r="J1951" s="7" t="str">
        <f>IFERROR(LET(_xlpm.v,
VLOOKUP($I1951,'用語辞書'!$A:$B,COLUMN('用語辞書'!B$1),FALSE),
IF(_xlpm.v=0,"",_xlpm.v)
),"")</f>
        <v/>
      </c>
      <c r="K1951" s="17"/>
      <c r="L1951" s="17" t="str">
        <f>IF(OR(COUNTIF('クラス'!$A$1:$A$1267,$B1951)&gt;0,$B1951="",$M1951=""),"",True)</f>
        <v/>
      </c>
      <c r="M1951" s="1" t="str">
        <f t="shared" si="27"/>
        <v>存在しない</v>
      </c>
      <c r="N1951" s="1" t="s">
        <v>29</v>
      </c>
      <c r="O1951" s="1"/>
      <c r="P1951" s="11"/>
      <c r="Q1951" s="11"/>
      <c r="R1951" s="11"/>
      <c r="S1951" s="11"/>
      <c r="T1951" s="1"/>
      <c r="U1951" s="1"/>
      <c r="V1951" s="1"/>
      <c r="W1951" s="1"/>
      <c r="X1951" s="1"/>
      <c r="Y1951" s="1"/>
      <c r="Z1951" s="1"/>
    </row>
    <row r="1952" ht="18.0" hidden="1" customHeight="1" outlineLevel="1">
      <c r="A1952" s="1">
        <v>7.0</v>
      </c>
      <c r="B1952" s="26" t="s">
        <v>1998</v>
      </c>
      <c r="C1952" s="1"/>
      <c r="D1952" s="1"/>
      <c r="E1952" s="29" t="s">
        <v>55</v>
      </c>
      <c r="F1952" s="15"/>
      <c r="G1952" s="16"/>
      <c r="H1952" s="22" t="s">
        <v>2045</v>
      </c>
      <c r="I1952" s="7"/>
      <c r="J1952" s="7" t="str">
        <f>IFERROR(LET(_xlpm.v,
VLOOKUP($I1952,'用語辞書'!$A:$B,COLUMN('用語辞書'!B$1),FALSE),
IF(_xlpm.v=0,"",_xlpm.v)
),"")</f>
        <v/>
      </c>
      <c r="K1952" s="17"/>
      <c r="L1952" s="17" t="str">
        <f>IF(OR(COUNTIF('クラス'!$A$1:$A$1267,$B1952)&gt;0,$B1952="",$M1952=""),"",True)</f>
        <v/>
      </c>
      <c r="M1952" s="1" t="str">
        <f t="shared" si="27"/>
        <v/>
      </c>
      <c r="N1952" s="1" t="s">
        <v>29</v>
      </c>
      <c r="O1952" s="1"/>
      <c r="P1952" s="11"/>
      <c r="Q1952" s="11"/>
      <c r="R1952" s="11"/>
      <c r="S1952" s="11"/>
      <c r="T1952" s="1"/>
      <c r="U1952" s="1"/>
      <c r="V1952" s="1"/>
      <c r="W1952" s="1"/>
      <c r="X1952" s="1"/>
      <c r="Y1952" s="1"/>
      <c r="Z1952" s="1"/>
    </row>
    <row r="1953" ht="18.0" hidden="1" customHeight="1" outlineLevel="1">
      <c r="A1953" s="1">
        <v>8.0</v>
      </c>
      <c r="B1953" s="1"/>
      <c r="C1953" s="1"/>
      <c r="D1953" s="1"/>
      <c r="E1953" s="14"/>
      <c r="F1953" s="15"/>
      <c r="G1953" s="16"/>
      <c r="H1953" s="11"/>
      <c r="I1953" s="7"/>
      <c r="J1953" s="7" t="str">
        <f>IFERROR(LET(_xlpm.v,
VLOOKUP($I1953,'用語辞書'!$A:$B,COLUMN('用語辞書'!B$1),FALSE),
IF(_xlpm.v=0,"",_xlpm.v)
),"")</f>
        <v/>
      </c>
      <c r="K1953" s="17"/>
      <c r="L1953" s="17" t="str">
        <f>IF(OR(COUNTIF('クラス'!$A$1:$A$1267,$B1953)&gt;0,$B1953="",$M1953=""),"",True)</f>
        <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9.0</v>
      </c>
      <c r="B1954" s="26" t="s">
        <v>2046</v>
      </c>
      <c r="C1954" s="26" t="s">
        <v>2047</v>
      </c>
      <c r="D1954" s="1"/>
      <c r="E1954" s="29" t="s">
        <v>33</v>
      </c>
      <c r="F1954" s="15"/>
      <c r="G1954" s="30">
        <v>60.0</v>
      </c>
      <c r="H1954" s="22" t="s">
        <v>2048</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hidden="1" customHeight="1" outlineLevel="1">
      <c r="A1955" s="1">
        <v>10.0</v>
      </c>
      <c r="B1955" s="26" t="s">
        <v>2049</v>
      </c>
      <c r="C1955" s="1"/>
      <c r="D1955" s="1"/>
      <c r="E1955" s="29" t="s">
        <v>55</v>
      </c>
      <c r="F1955" s="15"/>
      <c r="G1955" s="16"/>
      <c r="H1955" s="22" t="s">
        <v>2050</v>
      </c>
      <c r="I1955" s="7"/>
      <c r="J1955" s="7" t="str">
        <f>IFERROR(LET(_xlpm.v,
VLOOKUP($I1955,'用語辞書'!$A:$B,COLUMN('用語辞書'!B$1),FALSE),
IF(_xlpm.v=0,"",_xlpm.v)
),"")</f>
        <v/>
      </c>
      <c r="K1955" s="17"/>
      <c r="L1955" s="17" t="b">
        <f>IF(OR(COUNTIF('クラス'!$A$1:$A$1267,$B1955)&gt;0,$B1955="",$M1955=""),"",True)</f>
        <v>1</v>
      </c>
      <c r="M1955" s="1" t="str">
        <f t="shared" si="27"/>
        <v>存在しない</v>
      </c>
      <c r="N1955" s="1" t="s">
        <v>29</v>
      </c>
      <c r="O1955" s="1"/>
      <c r="P1955" s="11"/>
      <c r="Q1955" s="11"/>
      <c r="R1955" s="11"/>
      <c r="S1955" s="11"/>
      <c r="T1955" s="1"/>
      <c r="U1955" s="1"/>
      <c r="V1955" s="1"/>
      <c r="W1955" s="1"/>
      <c r="X1955" s="1"/>
      <c r="Y1955" s="1"/>
      <c r="Z1955" s="1"/>
    </row>
    <row r="1956" ht="18.0" customHeight="1" collapsed="1">
      <c r="A1956" s="1"/>
      <c r="B1956" s="1"/>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customHeight="1">
      <c r="A1957" s="1"/>
      <c r="B1957" s="26" t="s">
        <v>2051</v>
      </c>
      <c r="C1957" s="1"/>
      <c r="D1957" s="1"/>
      <c r="E1957" s="14"/>
      <c r="F1957" s="15"/>
      <c r="G1957" s="16"/>
      <c r="H1957" s="11"/>
      <c r="I1957" s="7"/>
      <c r="J1957" s="7" t="str">
        <f>IFERROR(LET(_xlpm.v,
VLOOKUP($I1957,'用語辞書'!$A:$B,COLUMN('用語辞書'!B$1),FALSE),
IF(_xlpm.v=0,"",_xlpm.v)
),"")</f>
        <v/>
      </c>
      <c r="K1957" s="17"/>
      <c r="L1957" s="17" t="str">
        <f>IF(OR(COUNTIF('クラス'!$A$1:$A$1267,$B1957)&gt;0,$B1957="",$M1957=""),"",True)</f>
        <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1.0</v>
      </c>
      <c r="B1958" s="26" t="s">
        <v>2052</v>
      </c>
      <c r="C1958" s="26" t="s">
        <v>2053</v>
      </c>
      <c r="D1958" s="1"/>
      <c r="E1958" s="29" t="s">
        <v>33</v>
      </c>
      <c r="F1958" s="15"/>
      <c r="G1958" s="30">
        <v>30.0</v>
      </c>
      <c r="H1958" s="22" t="s">
        <v>2054</v>
      </c>
      <c r="I1958" s="7"/>
      <c r="J1958" s="7" t="str">
        <f>IFERROR(LET(_xlpm.v,
VLOOKUP($I1958,'用語辞書'!$A:$B,COLUMN('用語辞書'!B$1),FALSE),
IF(_xlpm.v=0,"",_xlpm.v)
),"")</f>
        <v/>
      </c>
      <c r="K1958" s="17"/>
      <c r="L1958" s="17" t="b">
        <f>IF(OR(COUNTIF('クラス'!$A$1:$A$1267,$B1958)&gt;0,$B1958="",$M1958=""),"",True)</f>
        <v>1</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2.0</v>
      </c>
      <c r="B1959" s="1"/>
      <c r="C1959" s="1"/>
      <c r="D1959" s="1"/>
      <c r="E1959" s="14"/>
      <c r="F1959" s="15"/>
      <c r="G1959" s="16"/>
      <c r="H1959" s="11"/>
      <c r="I1959" s="7"/>
      <c r="J1959" s="7" t="str">
        <f>IFERROR(LET(_xlpm.v,
VLOOKUP($I1959,'用語辞書'!$A:$B,COLUMN('用語辞書'!B$1),FALSE),
IF(_xlpm.v=0,"",_xlpm.v)
),"")</f>
        <v/>
      </c>
      <c r="K1959" s="17"/>
      <c r="L1959" s="17" t="str">
        <f>IF(OR(COUNTIF('クラス'!$A$1:$A$1267,$B1959)&gt;0,$B1959="",$M1959=""),"",True)</f>
        <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3.0</v>
      </c>
      <c r="B1960" s="26" t="s">
        <v>2055</v>
      </c>
      <c r="C1960" s="1"/>
      <c r="D1960" s="1"/>
      <c r="E1960" s="29" t="s">
        <v>55</v>
      </c>
      <c r="F1960" s="15"/>
      <c r="G1960" s="16"/>
      <c r="H1960" s="22" t="s">
        <v>2056</v>
      </c>
      <c r="I1960" s="7"/>
      <c r="J1960" s="7" t="str">
        <f>IFERROR(LET(_xlpm.v,
VLOOKUP($I1960,'用語辞書'!$A:$B,COLUMN('用語辞書'!B$1),FALSE),
IF(_xlpm.v=0,"",_xlpm.v)
),"")</f>
        <v/>
      </c>
      <c r="K1960" s="17"/>
      <c r="L1960" s="17" t="b">
        <f>IF(OR(COUNTIF('クラス'!$A$1:$A$1267,$B1960)&gt;0,$B1960="",$M1960=""),"",True)</f>
        <v>1</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4.0</v>
      </c>
      <c r="B1961" s="1"/>
      <c r="C1961" s="1"/>
      <c r="D1961" s="1"/>
      <c r="E1961" s="14"/>
      <c r="F1961" s="15"/>
      <c r="G1961" s="16"/>
      <c r="H1961" s="11"/>
      <c r="I1961" s="7"/>
      <c r="J1961" s="7" t="str">
        <f>IFERROR(LET(_xlpm.v,
VLOOKUP($I1961,'用語辞書'!$A:$B,COLUMN('用語辞書'!B$1),FALSE),
IF(_xlpm.v=0,"",_xlpm.v)
),"")</f>
        <v/>
      </c>
      <c r="K1961" s="17"/>
      <c r="L1961" s="17" t="str">
        <f>IF(OR(COUNTIF('クラス'!$A$1:$A$1267,$B1961)&gt;0,$B1961="",$M1961=""),"",True)</f>
        <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5.0</v>
      </c>
      <c r="B1962" s="26" t="s">
        <v>2057</v>
      </c>
      <c r="C1962" s="26" t="s">
        <v>2058</v>
      </c>
      <c r="D1962" s="1"/>
      <c r="E1962" s="29" t="s">
        <v>33</v>
      </c>
      <c r="F1962" s="15"/>
      <c r="G1962" s="30">
        <v>30.0</v>
      </c>
      <c r="H1962" s="22" t="s">
        <v>2059</v>
      </c>
      <c r="I1962" s="7"/>
      <c r="J1962" s="7" t="str">
        <f>IFERROR(LET(_xlpm.v,
VLOOKUP($I1962,'用語辞書'!$A:$B,COLUMN('用語辞書'!B$1),FALSE),
IF(_xlpm.v=0,"",_xlpm.v)
),"")</f>
        <v/>
      </c>
      <c r="K1962" s="17"/>
      <c r="L1962" s="17" t="b">
        <f>IF(OR(COUNTIF('クラス'!$A$1:$A$1267,$B1962)&gt;0,$B1962="",$M1962=""),"",True)</f>
        <v>1</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6.0</v>
      </c>
      <c r="B1963" s="1"/>
      <c r="C1963" s="1"/>
      <c r="D1963" s="1"/>
      <c r="E1963" s="14"/>
      <c r="F1963" s="15"/>
      <c r="G1963" s="16"/>
      <c r="H1963" s="11"/>
      <c r="I1963" s="7"/>
      <c r="J1963" s="7" t="str">
        <f>IFERROR(LET(_xlpm.v,
VLOOKUP($I1963,'用語辞書'!$A:$B,COLUMN('用語辞書'!B$1),FALSE),
IF(_xlpm.v=0,"",_xlpm.v)
),"")</f>
        <v/>
      </c>
      <c r="K1963" s="17"/>
      <c r="L1963" s="17" t="str">
        <f>IF(OR(COUNTIF('クラス'!$A$1:$A$1267,$B1963)&gt;0,$B1963="",$M1963=""),"",True)</f>
        <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7.0</v>
      </c>
      <c r="B1964" s="26" t="s">
        <v>2060</v>
      </c>
      <c r="C1964" s="26" t="s">
        <v>2061</v>
      </c>
      <c r="D1964" s="1"/>
      <c r="E1964" s="29" t="s">
        <v>55</v>
      </c>
      <c r="F1964" s="15"/>
      <c r="G1964" s="16"/>
      <c r="H1964" s="22" t="s">
        <v>2062</v>
      </c>
      <c r="I1964" s="7"/>
      <c r="J1964" s="7" t="str">
        <f>IFERROR(LET(_xlpm.v,
VLOOKUP($I1964,'用語辞書'!$A:$B,COLUMN('用語辞書'!B$1),FALSE),
IF(_xlpm.v=0,"",_xlpm.v)
),"")</f>
        <v/>
      </c>
      <c r="K1964" s="17"/>
      <c r="L1964" s="17" t="b">
        <f>IF(OR(COUNTIF('クラス'!$A$1:$A$1267,$B1964)&gt;0,$B1964="",$M1964=""),"",True)</f>
        <v>1</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8.0</v>
      </c>
      <c r="B1965" s="1"/>
      <c r="C1965" s="1"/>
      <c r="D1965" s="1"/>
      <c r="E1965" s="14"/>
      <c r="F1965" s="15"/>
      <c r="G1965" s="16"/>
      <c r="H1965" s="11"/>
      <c r="I1965" s="7"/>
      <c r="J1965" s="7" t="str">
        <f>IFERROR(LET(_xlpm.v,
VLOOKUP($I1965,'用語辞書'!$A:$B,COLUMN('用語辞書'!B$1),FALSE),
IF(_xlpm.v=0,"",_xlpm.v)
),"")</f>
        <v/>
      </c>
      <c r="K1965" s="17"/>
      <c r="L1965" s="17" t="str">
        <f>IF(OR(COUNTIF('クラス'!$A$1:$A$1267,$B1965)&gt;0,$B1965="",$M1965=""),"",True)</f>
        <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9.0</v>
      </c>
      <c r="B1966" s="26" t="s">
        <v>2063</v>
      </c>
      <c r="C1966" s="26" t="s">
        <v>2064</v>
      </c>
      <c r="D1966" s="1"/>
      <c r="E1966" s="29" t="s">
        <v>33</v>
      </c>
      <c r="F1966" s="15"/>
      <c r="G1966" s="30">
        <v>60.0</v>
      </c>
      <c r="H1966" s="22" t="s">
        <v>2065</v>
      </c>
      <c r="I1966" s="7"/>
      <c r="J1966" s="7" t="str">
        <f>IFERROR(LET(_xlpm.v,
VLOOKUP($I1966,'用語辞書'!$A:$B,COLUMN('用語辞書'!B$1),FALSE),
IF(_xlpm.v=0,"",_xlpm.v)
),"")</f>
        <v/>
      </c>
      <c r="K1966" s="17"/>
      <c r="L1966" s="17" t="b">
        <f>IF(OR(COUNTIF('クラス'!$A$1:$A$1267,$B1966)&gt;0,$B1966="",$M1966=""),"",True)</f>
        <v>1</v>
      </c>
      <c r="M1966" s="1" t="str">
        <f t="shared" si="27"/>
        <v>存在しない</v>
      </c>
      <c r="N1966" s="1" t="s">
        <v>29</v>
      </c>
      <c r="O1966" s="1"/>
      <c r="P1966" s="11"/>
      <c r="Q1966" s="11"/>
      <c r="R1966" s="11"/>
      <c r="S1966" s="11"/>
      <c r="T1966" s="1"/>
      <c r="U1966" s="1"/>
      <c r="V1966" s="1"/>
      <c r="W1966" s="1"/>
      <c r="X1966" s="1"/>
      <c r="Y1966" s="1"/>
      <c r="Z1966" s="1"/>
    </row>
    <row r="1967" ht="18.0" hidden="1" customHeight="1" outlineLevel="1">
      <c r="A1967" s="1">
        <v>10.0</v>
      </c>
      <c r="B1967" s="26" t="s">
        <v>2051</v>
      </c>
      <c r="C1967" s="1"/>
      <c r="D1967" s="1"/>
      <c r="E1967" s="29" t="s">
        <v>55</v>
      </c>
      <c r="F1967" s="15"/>
      <c r="G1967" s="16"/>
      <c r="H1967" s="22" t="s">
        <v>2066</v>
      </c>
      <c r="I1967" s="7"/>
      <c r="J1967" s="7" t="str">
        <f>IFERROR(LET(_xlpm.v,
VLOOKUP($I1967,'用語辞書'!$A:$B,COLUMN('用語辞書'!B$1),FALSE),
IF(_xlpm.v=0,"",_xlpm.v)
),"")</f>
        <v/>
      </c>
      <c r="K1967" s="17"/>
      <c r="L1967" s="17" t="str">
        <f>IF(OR(COUNTIF('クラス'!$A$1:$A$1267,$B1967)&gt;0,$B1967="",$M1967=""),"",True)</f>
        <v/>
      </c>
      <c r="M1967" s="1" t="str">
        <f t="shared" si="27"/>
        <v/>
      </c>
      <c r="N1967" s="1" t="s">
        <v>29</v>
      </c>
      <c r="O1967" s="1"/>
      <c r="P1967" s="11"/>
      <c r="Q1967" s="11"/>
      <c r="R1967" s="11"/>
      <c r="S1967" s="11"/>
      <c r="T1967" s="1"/>
      <c r="U1967" s="1"/>
      <c r="V1967" s="1"/>
      <c r="W1967" s="1"/>
      <c r="X1967" s="1"/>
      <c r="Y1967" s="1"/>
      <c r="Z1967" s="1"/>
    </row>
    <row r="1968" ht="18.0" customHeight="1" collapsed="1">
      <c r="A1968" s="1"/>
      <c r="B1968" s="1"/>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customHeight="1">
      <c r="A1969" s="1"/>
      <c r="B1969" s="26" t="s">
        <v>2067</v>
      </c>
      <c r="C1969" s="1"/>
      <c r="D1969" s="1"/>
      <c r="E1969" s="14"/>
      <c r="F1969" s="15"/>
      <c r="G1969" s="16"/>
      <c r="H1969" s="11"/>
      <c r="I1969" s="7"/>
      <c r="J1969" s="7" t="str">
        <f>IFERROR(LET(_xlpm.v,
VLOOKUP($I1969,'用語辞書'!$A:$B,COLUMN('用語辞書'!B$1),FALSE),
IF(_xlpm.v=0,"",_xlpm.v)
),"")</f>
        <v/>
      </c>
      <c r="K1969" s="17"/>
      <c r="L1969" s="17" t="str">
        <f>IF(OR(COUNTIF('クラス'!$A$1:$A$1267,$B1969)&gt;0,$B1969="",$M1969=""),"",True)</f>
        <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1.0</v>
      </c>
      <c r="B1970" s="26" t="s">
        <v>2068</v>
      </c>
      <c r="C1970" s="1"/>
      <c r="D1970" s="1"/>
      <c r="E1970" s="29" t="s">
        <v>33</v>
      </c>
      <c r="F1970" s="15"/>
      <c r="G1970" s="30">
        <v>30.0</v>
      </c>
      <c r="H1970" s="22" t="s">
        <v>2069</v>
      </c>
      <c r="I1970" s="7"/>
      <c r="J1970" s="7" t="str">
        <f>IFERROR(LET(_xlpm.v,
VLOOKUP($I1970,'用語辞書'!$A:$B,COLUMN('用語辞書'!B$1),FALSE),
IF(_xlpm.v=0,"",_xlpm.v)
),"")</f>
        <v/>
      </c>
      <c r="K1970" s="17"/>
      <c r="L1970" s="17" t="b">
        <f>IF(OR(COUNTIF('クラス'!$A$1:$A$1267,$B1970)&gt;0,$B1970="",$M1970=""),"",True)</f>
        <v>1</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2.0</v>
      </c>
      <c r="B1971" s="1"/>
      <c r="C1971" s="1"/>
      <c r="D1971" s="1"/>
      <c r="E1971" s="14"/>
      <c r="F1971" s="15"/>
      <c r="G1971" s="16"/>
      <c r="H1971" s="11"/>
      <c r="I1971" s="7"/>
      <c r="J1971" s="7" t="str">
        <f>IFERROR(LET(_xlpm.v,
VLOOKUP($I1971,'用語辞書'!$A:$B,COLUMN('用語辞書'!B$1),FALSE),
IF(_xlpm.v=0,"",_xlpm.v)
),"")</f>
        <v/>
      </c>
      <c r="K1971" s="17"/>
      <c r="L1971" s="17" t="str">
        <f>IF(OR(COUNTIF('クラス'!$A$1:$A$1267,$B1971)&gt;0,$B1971="",$M1971=""),"",True)</f>
        <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3.0</v>
      </c>
      <c r="B1972" s="26" t="s">
        <v>2070</v>
      </c>
      <c r="C1972" s="1"/>
      <c r="D1972" s="1"/>
      <c r="E1972" s="29" t="s">
        <v>55</v>
      </c>
      <c r="F1972" s="15"/>
      <c r="G1972" s="16"/>
      <c r="H1972" s="22" t="s">
        <v>2071</v>
      </c>
      <c r="I1972" s="7"/>
      <c r="J1972" s="7" t="str">
        <f>IFERROR(LET(_xlpm.v,
VLOOKUP($I1972,'用語辞書'!$A:$B,COLUMN('用語辞書'!B$1),FALSE),
IF(_xlpm.v=0,"",_xlpm.v)
),"")</f>
        <v/>
      </c>
      <c r="K1972" s="17"/>
      <c r="L1972" s="17" t="b">
        <f>IF(OR(COUNTIF('クラス'!$A$1:$A$1267,$B1972)&gt;0,$B1972="",$M1972=""),"",True)</f>
        <v>1</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4.0</v>
      </c>
      <c r="B1973" s="1"/>
      <c r="C1973" s="1"/>
      <c r="D1973" s="1"/>
      <c r="E1973" s="14"/>
      <c r="F1973" s="15"/>
      <c r="G1973" s="16"/>
      <c r="H1973" s="11"/>
      <c r="I1973" s="7"/>
      <c r="J1973" s="7" t="str">
        <f>IFERROR(LET(_xlpm.v,
VLOOKUP($I1973,'用語辞書'!$A:$B,COLUMN('用語辞書'!B$1),FALSE),
IF(_xlpm.v=0,"",_xlpm.v)
),"")</f>
        <v/>
      </c>
      <c r="K1973" s="17"/>
      <c r="L1973" s="17" t="str">
        <f>IF(OR(COUNTIF('クラス'!$A$1:$A$1267,$B1973)&gt;0,$B1973="",$M1973=""),"",True)</f>
        <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5.0</v>
      </c>
      <c r="B1974" s="26" t="s">
        <v>2072</v>
      </c>
      <c r="C1974" s="1"/>
      <c r="D1974" s="1"/>
      <c r="E1974" s="29" t="s">
        <v>33</v>
      </c>
      <c r="F1974" s="15"/>
      <c r="G1974" s="30">
        <v>30.0</v>
      </c>
      <c r="H1974" s="22" t="s">
        <v>2073</v>
      </c>
      <c r="I1974" s="7"/>
      <c r="J1974" s="7" t="str">
        <f>IFERROR(LET(_xlpm.v,
VLOOKUP($I1974,'用語辞書'!$A:$B,COLUMN('用語辞書'!B$1),FALSE),
IF(_xlpm.v=0,"",_xlpm.v)
),"")</f>
        <v/>
      </c>
      <c r="K1974" s="17"/>
      <c r="L1974" s="17" t="b">
        <f>IF(OR(COUNTIF('クラス'!$A$1:$A$1267,$B1974)&gt;0,$B1974="",$M1974=""),"",True)</f>
        <v>1</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6.0</v>
      </c>
      <c r="B1975" s="1"/>
      <c r="C1975" s="1"/>
      <c r="D1975" s="1"/>
      <c r="E1975" s="14"/>
      <c r="F1975" s="15"/>
      <c r="G1975" s="16"/>
      <c r="H1975" s="11"/>
      <c r="I1975" s="7"/>
      <c r="J1975" s="7" t="str">
        <f>IFERROR(LET(_xlpm.v,
VLOOKUP($I1975,'用語辞書'!$A:$B,COLUMN('用語辞書'!B$1),FALSE),
IF(_xlpm.v=0,"",_xlpm.v)
),"")</f>
        <v/>
      </c>
      <c r="K1975" s="17"/>
      <c r="L1975" s="17" t="str">
        <f>IF(OR(COUNTIF('クラス'!$A$1:$A$1267,$B1975)&gt;0,$B1975="",$M1975=""),"",True)</f>
        <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7.0</v>
      </c>
      <c r="B1976" s="26" t="s">
        <v>2074</v>
      </c>
      <c r="C1976" s="1"/>
      <c r="D1976" s="1"/>
      <c r="E1976" s="29" t="s">
        <v>55</v>
      </c>
      <c r="F1976" s="15"/>
      <c r="G1976" s="16"/>
      <c r="H1976" s="31" t="s">
        <v>2075</v>
      </c>
      <c r="I1976" s="7"/>
      <c r="J1976" s="7" t="str">
        <f>IFERROR(LET(_xlpm.v,
VLOOKUP($I1976,'用語辞書'!$A:$B,COLUMN('用語辞書'!B$1),FALSE),
IF(_xlpm.v=0,"",_xlpm.v)
),"")</f>
        <v/>
      </c>
      <c r="K1976" s="17"/>
      <c r="L1976" s="17" t="b">
        <f>IF(OR(COUNTIF('クラス'!$A$1:$A$1267,$B1976)&gt;0,$B1976="",$M1976=""),"",True)</f>
        <v>1</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8.0</v>
      </c>
      <c r="B1977" s="1"/>
      <c r="C1977" s="1"/>
      <c r="D1977" s="1"/>
      <c r="E1977" s="14"/>
      <c r="F1977" s="15"/>
      <c r="G1977" s="16"/>
      <c r="H1977" s="11"/>
      <c r="I1977" s="7"/>
      <c r="J1977" s="7" t="str">
        <f>IFERROR(LET(_xlpm.v,
VLOOKUP($I1977,'用語辞書'!$A:$B,COLUMN('用語辞書'!B$1),FALSE),
IF(_xlpm.v=0,"",_xlpm.v)
),"")</f>
        <v/>
      </c>
      <c r="K1977" s="17"/>
      <c r="L1977" s="17" t="str">
        <f>IF(OR(COUNTIF('クラス'!$A$1:$A$1267,$B1977)&gt;0,$B1977="",$M1977=""),"",True)</f>
        <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9.0</v>
      </c>
      <c r="B1978" s="26" t="s">
        <v>2076</v>
      </c>
      <c r="C1978" s="1"/>
      <c r="D1978" s="1"/>
      <c r="E1978" s="29" t="s">
        <v>33</v>
      </c>
      <c r="F1978" s="15"/>
      <c r="G1978" s="30">
        <v>60.0</v>
      </c>
      <c r="H1978" s="22" t="s">
        <v>2077</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hidden="1" customHeight="1" outlineLevel="1">
      <c r="A1979" s="1">
        <v>10.0</v>
      </c>
      <c r="B1979" s="26" t="s">
        <v>2078</v>
      </c>
      <c r="C1979" s="1"/>
      <c r="D1979" s="1"/>
      <c r="E1979" s="29" t="s">
        <v>55</v>
      </c>
      <c r="F1979" s="15"/>
      <c r="G1979" s="16"/>
      <c r="H1979" s="22" t="s">
        <v>1258</v>
      </c>
      <c r="I1979" s="7"/>
      <c r="J1979" s="7" t="str">
        <f>IFERROR(LET(_xlpm.v,
VLOOKUP($I1979,'用語辞書'!$A:$B,COLUMN('用語辞書'!B$1),FALSE),
IF(_xlpm.v=0,"",_xlpm.v)
),"")</f>
        <v/>
      </c>
      <c r="K1979" s="17"/>
      <c r="L1979" s="17" t="b">
        <f>IF(OR(COUNTIF('クラス'!$A$1:$A$1267,$B1979)&gt;0,$B1979="",$M1979=""),"",True)</f>
        <v>1</v>
      </c>
      <c r="M1979" s="1" t="str">
        <f t="shared" si="27"/>
        <v>存在しない</v>
      </c>
      <c r="N1979" s="1" t="s">
        <v>29</v>
      </c>
      <c r="O1979" s="1"/>
      <c r="P1979" s="11"/>
      <c r="Q1979" s="11"/>
      <c r="R1979" s="11"/>
      <c r="S1979" s="11"/>
      <c r="T1979" s="1"/>
      <c r="U1979" s="1"/>
      <c r="V1979" s="1"/>
      <c r="W1979" s="1"/>
      <c r="X1979" s="1"/>
      <c r="Y1979" s="1"/>
      <c r="Z1979" s="1"/>
    </row>
    <row r="1980" ht="18.0" customHeight="1" collapsed="1">
      <c r="A1980" s="1"/>
      <c r="B1980" s="1"/>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customHeight="1">
      <c r="A1981" s="1"/>
      <c r="B1981" s="26" t="s">
        <v>2079</v>
      </c>
      <c r="C1981" s="1"/>
      <c r="D1981" s="1"/>
      <c r="E1981" s="14"/>
      <c r="F1981" s="15"/>
      <c r="G1981" s="16"/>
      <c r="H1981" s="11"/>
      <c r="I1981" s="7"/>
      <c r="J1981" s="7" t="str">
        <f>IFERROR(LET(_xlpm.v,
VLOOKUP($I1981,'用語辞書'!$A:$B,COLUMN('用語辞書'!B$1),FALSE),
IF(_xlpm.v=0,"",_xlpm.v)
),"")</f>
        <v/>
      </c>
      <c r="K1981" s="17"/>
      <c r="L1981" s="17" t="str">
        <f>IF(OR(COUNTIF('クラス'!$A$1:$A$1267,$B1981)&gt;0,$B1981="",$M1981=""),"",True)</f>
        <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1.0</v>
      </c>
      <c r="B1982" s="26" t="s">
        <v>2080</v>
      </c>
      <c r="C1982" s="26" t="s">
        <v>2081</v>
      </c>
      <c r="D1982" s="1"/>
      <c r="E1982" s="29" t="s">
        <v>33</v>
      </c>
      <c r="F1982" s="15"/>
      <c r="G1982" s="30">
        <v>60.0</v>
      </c>
      <c r="H1982" s="22" t="s">
        <v>2082</v>
      </c>
      <c r="I1982" s="7"/>
      <c r="J1982" s="7" t="str">
        <f>IFERROR(LET(_xlpm.v,
VLOOKUP($I1982,'用語辞書'!$A:$B,COLUMN('用語辞書'!B$1),FALSE),
IF(_xlpm.v=0,"",_xlpm.v)
),"")</f>
        <v/>
      </c>
      <c r="K1982" s="17"/>
      <c r="L1982" s="17" t="b">
        <f>IF(OR(COUNTIF('クラス'!$A$1:$A$1267,$B1982)&gt;0,$B1982="",$M1982=""),"",True)</f>
        <v>1</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2.0</v>
      </c>
      <c r="B1983" s="1"/>
      <c r="C1983" s="1"/>
      <c r="D1983" s="1"/>
      <c r="E1983" s="14"/>
      <c r="F1983" s="15"/>
      <c r="G1983" s="16"/>
      <c r="H1983" s="11"/>
      <c r="I1983" s="7"/>
      <c r="J1983" s="7" t="str">
        <f>IFERROR(LET(_xlpm.v,
VLOOKUP($I1983,'用語辞書'!$A:$B,COLUMN('用語辞書'!B$1),FALSE),
IF(_xlpm.v=0,"",_xlpm.v)
),"")</f>
        <v/>
      </c>
      <c r="K1983" s="17"/>
      <c r="L1983" s="17" t="str">
        <f>IF(OR(COUNTIF('クラス'!$A$1:$A$1267,$B1983)&gt;0,$B1983="",$M1983=""),"",True)</f>
        <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3.0</v>
      </c>
      <c r="B1984" s="26" t="s">
        <v>2083</v>
      </c>
      <c r="C1984" s="1"/>
      <c r="D1984" s="1"/>
      <c r="E1984" s="29" t="s">
        <v>55</v>
      </c>
      <c r="F1984" s="15"/>
      <c r="G1984" s="16"/>
      <c r="H1984" s="22" t="s">
        <v>2084</v>
      </c>
      <c r="I1984" s="7"/>
      <c r="J1984" s="7" t="str">
        <f>IFERROR(LET(_xlpm.v,
VLOOKUP($I1984,'用語辞書'!$A:$B,COLUMN('用語辞書'!B$1),FALSE),
IF(_xlpm.v=0,"",_xlpm.v)
),"")</f>
        <v/>
      </c>
      <c r="K1984" s="17"/>
      <c r="L1984" s="17" t="b">
        <f>IF(OR(COUNTIF('クラス'!$A$1:$A$1267,$B1984)&gt;0,$B1984="",$M1984=""),"",True)</f>
        <v>1</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4.0</v>
      </c>
      <c r="B1985" s="1"/>
      <c r="C1985" s="1"/>
      <c r="D1985" s="1"/>
      <c r="E1985" s="14"/>
      <c r="F1985" s="15"/>
      <c r="G1985" s="16"/>
      <c r="H1985" s="11"/>
      <c r="I1985" s="7"/>
      <c r="J1985" s="7" t="str">
        <f>IFERROR(LET(_xlpm.v,
VLOOKUP($I1985,'用語辞書'!$A:$B,COLUMN('用語辞書'!B$1),FALSE),
IF(_xlpm.v=0,"",_xlpm.v)
),"")</f>
        <v/>
      </c>
      <c r="K1985" s="17"/>
      <c r="L1985" s="17" t="str">
        <f>IF(OR(COUNTIF('クラス'!$A$1:$A$1267,$B1985)&gt;0,$B1985="",$M1985=""),"",True)</f>
        <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5.0</v>
      </c>
      <c r="B1986" s="26" t="s">
        <v>2085</v>
      </c>
      <c r="C1986" s="1"/>
      <c r="D1986" s="1"/>
      <c r="E1986" s="29" t="s">
        <v>33</v>
      </c>
      <c r="F1986" s="15"/>
      <c r="G1986" s="30">
        <v>30.0</v>
      </c>
      <c r="H1986" s="22" t="s">
        <v>2086</v>
      </c>
      <c r="I1986" s="7"/>
      <c r="J1986" s="7" t="str">
        <f>IFERROR(LET(_xlpm.v,
VLOOKUP($I1986,'用語辞書'!$A:$B,COLUMN('用語辞書'!B$1),FALSE),
IF(_xlpm.v=0,"",_xlpm.v)
),"")</f>
        <v/>
      </c>
      <c r="K1986" s="17"/>
      <c r="L1986" s="17" t="b">
        <f>IF(OR(COUNTIF('クラス'!$A$1:$A$1267,$B1986)&gt;0,$B1986="",$M1986=""),"",True)</f>
        <v>1</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6.0</v>
      </c>
      <c r="B1987" s="1"/>
      <c r="C1987" s="1"/>
      <c r="D1987" s="1"/>
      <c r="E1987" s="14"/>
      <c r="F1987" s="15"/>
      <c r="G1987" s="16"/>
      <c r="H1987" s="11"/>
      <c r="I1987" s="7"/>
      <c r="J1987" s="7" t="str">
        <f>IFERROR(LET(_xlpm.v,
VLOOKUP($I1987,'用語辞書'!$A:$B,COLUMN('用語辞書'!B$1),FALSE),
IF(_xlpm.v=0,"",_xlpm.v)
),"")</f>
        <v/>
      </c>
      <c r="K1987" s="17"/>
      <c r="L1987" s="17" t="str">
        <f>IF(OR(COUNTIF('クラス'!$A$1:$A$1267,$B1987)&gt;0,$B1987="",$M1987=""),"",True)</f>
        <v/>
      </c>
      <c r="M1987" s="1" t="str">
        <f t="shared" si="27"/>
        <v>存在しない</v>
      </c>
      <c r="N1987" s="1" t="s">
        <v>29</v>
      </c>
      <c r="O1987" s="1"/>
      <c r="P1987" s="11"/>
      <c r="Q1987" s="11"/>
      <c r="R1987" s="11"/>
      <c r="S1987" s="11"/>
      <c r="T1987" s="1"/>
      <c r="U1987" s="1"/>
      <c r="V1987" s="1"/>
      <c r="W1987" s="1"/>
      <c r="X1987" s="1"/>
      <c r="Y1987" s="1"/>
      <c r="Z1987" s="1"/>
    </row>
    <row r="1988" ht="18.0" hidden="1" customHeight="1" outlineLevel="1">
      <c r="A1988" s="1">
        <v>7.0</v>
      </c>
      <c r="B1988" s="26" t="s">
        <v>2060</v>
      </c>
      <c r="C1988" s="26" t="s">
        <v>2061</v>
      </c>
      <c r="D1988" s="1"/>
      <c r="E1988" s="29" t="s">
        <v>55</v>
      </c>
      <c r="F1988" s="15"/>
      <c r="G1988" s="16"/>
      <c r="H1988" s="22" t="s">
        <v>2087</v>
      </c>
      <c r="I1988" s="7"/>
      <c r="J1988" s="7" t="str">
        <f>IFERROR(LET(_xlpm.v,
VLOOKUP($I1988,'用語辞書'!$A:$B,COLUMN('用語辞書'!B$1),FALSE),
IF(_xlpm.v=0,"",_xlpm.v)
),"")</f>
        <v/>
      </c>
      <c r="K1988" s="17"/>
      <c r="L1988" s="17" t="str">
        <f>IF(OR(COUNTIF('クラス'!$A$1:$A$1267,$B1988)&gt;0,$B1988="",$M1988=""),"",True)</f>
        <v/>
      </c>
      <c r="M1988" s="1" t="str">
        <f t="shared" si="27"/>
        <v/>
      </c>
      <c r="N1988" s="1" t="s">
        <v>29</v>
      </c>
      <c r="O1988" s="1"/>
      <c r="P1988" s="11"/>
      <c r="Q1988" s="11"/>
      <c r="R1988" s="11"/>
      <c r="S1988" s="11"/>
      <c r="T1988" s="1"/>
      <c r="U1988" s="1"/>
      <c r="V1988" s="1"/>
      <c r="W1988" s="1"/>
      <c r="X1988" s="1"/>
      <c r="Y1988" s="1"/>
      <c r="Z1988" s="1"/>
    </row>
    <row r="1989" ht="18.0" hidden="1" customHeight="1" outlineLevel="1">
      <c r="A1989" s="1">
        <v>8.0</v>
      </c>
      <c r="B1989" s="1"/>
      <c r="C1989" s="1"/>
      <c r="D1989" s="1"/>
      <c r="E1989" s="14"/>
      <c r="F1989" s="15"/>
      <c r="G1989" s="16"/>
      <c r="H1989" s="11"/>
      <c r="I1989" s="7"/>
      <c r="J1989" s="7" t="str">
        <f>IFERROR(LET(_xlpm.v,
VLOOKUP($I1989,'用語辞書'!$A:$B,COLUMN('用語辞書'!B$1),FALSE),
IF(_xlpm.v=0,"",_xlpm.v)
),"")</f>
        <v/>
      </c>
      <c r="K1989" s="17"/>
      <c r="L1989" s="17" t="str">
        <f>IF(OR(COUNTIF('クラス'!$A$1:$A$1267,$B1989)&gt;0,$B1989="",$M1989=""),"",True)</f>
        <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9.0</v>
      </c>
      <c r="B1990" s="26" t="s">
        <v>2088</v>
      </c>
      <c r="C1990" s="1"/>
      <c r="D1990" s="1"/>
      <c r="E1990" s="29" t="s">
        <v>33</v>
      </c>
      <c r="F1990" s="15"/>
      <c r="G1990" s="30">
        <v>60.0</v>
      </c>
      <c r="H1990" s="22" t="s">
        <v>2089</v>
      </c>
      <c r="I1990" s="7"/>
      <c r="J1990" s="7" t="str">
        <f>IFERROR(LET(_xlpm.v,
VLOOKUP($I1990,'用語辞書'!$A:$B,COLUMN('用語辞書'!B$1),FALSE),
IF(_xlpm.v=0,"",_xlpm.v)
),"")</f>
        <v/>
      </c>
      <c r="K1990" s="17"/>
      <c r="L1990" s="17" t="b">
        <f>IF(OR(COUNTIF('クラス'!$A$1:$A$1267,$B1990)&gt;0,$B1990="",$M1990=""),"",True)</f>
        <v>1</v>
      </c>
      <c r="M1990" s="1" t="str">
        <f t="shared" si="27"/>
        <v>存在しない</v>
      </c>
      <c r="N1990" s="1" t="s">
        <v>29</v>
      </c>
      <c r="O1990" s="1"/>
      <c r="P1990" s="11"/>
      <c r="Q1990" s="11"/>
      <c r="R1990" s="11"/>
      <c r="S1990" s="11"/>
      <c r="T1990" s="1"/>
      <c r="U1990" s="1"/>
      <c r="V1990" s="1"/>
      <c r="W1990" s="1"/>
      <c r="X1990" s="1"/>
      <c r="Y1990" s="1"/>
      <c r="Z1990" s="1"/>
    </row>
    <row r="1991" ht="18.0" hidden="1" customHeight="1" outlineLevel="1">
      <c r="A1991" s="1">
        <v>10.0</v>
      </c>
      <c r="B1991" s="26" t="s">
        <v>2079</v>
      </c>
      <c r="C1991" s="1"/>
      <c r="D1991" s="1"/>
      <c r="E1991" s="29" t="s">
        <v>55</v>
      </c>
      <c r="F1991" s="15"/>
      <c r="G1991" s="16"/>
      <c r="H1991" s="22" t="s">
        <v>2090</v>
      </c>
      <c r="I1991" s="7"/>
      <c r="J1991" s="7" t="str">
        <f>IFERROR(LET(_xlpm.v,
VLOOKUP($I1991,'用語辞書'!$A:$B,COLUMN('用語辞書'!B$1),FALSE),
IF(_xlpm.v=0,"",_xlpm.v)
),"")</f>
        <v/>
      </c>
      <c r="K1991" s="17"/>
      <c r="L1991" s="17" t="str">
        <f>IF(OR(COUNTIF('クラス'!$A$1:$A$1267,$B1991)&gt;0,$B1991="",$M1991=""),"",True)</f>
        <v/>
      </c>
      <c r="M1991" s="1" t="str">
        <f t="shared" si="27"/>
        <v/>
      </c>
      <c r="N1991" s="1" t="s">
        <v>29</v>
      </c>
      <c r="O1991" s="1"/>
      <c r="P1991" s="11"/>
      <c r="Q1991" s="11"/>
      <c r="R1991" s="11"/>
      <c r="S1991" s="11"/>
      <c r="T1991" s="1"/>
      <c r="U1991" s="1"/>
      <c r="V1991" s="1"/>
      <c r="W1991" s="1"/>
      <c r="X1991" s="1"/>
      <c r="Y1991" s="1"/>
      <c r="Z1991" s="1"/>
    </row>
    <row r="1992" ht="18.0" customHeight="1" collapsed="1">
      <c r="A1992" s="1"/>
      <c r="B1992" s="1"/>
      <c r="C1992" s="26" t="s">
        <v>2091</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customHeight="1" outlineLevel="1">
      <c r="A1993" s="1"/>
      <c r="B1993" s="26" t="s">
        <v>2092</v>
      </c>
      <c r="C1993" s="26" t="s">
        <v>2093</v>
      </c>
      <c r="D1993" s="1"/>
      <c r="E1993" s="14"/>
      <c r="F1993" s="15"/>
      <c r="G1993" s="16"/>
      <c r="H1993" s="11"/>
      <c r="I1993" s="7"/>
      <c r="J1993" s="7" t="str">
        <f>IFERROR(LET(_xlpm.v,
VLOOKUP($I1993,'用語辞書'!$A:$B,COLUMN('用語辞書'!B$1),FALSE),
IF(_xlpm.v=0,"",_xlpm.v)
),"")</f>
        <v/>
      </c>
      <c r="K1993" s="17"/>
      <c r="L1993" s="17" t="str">
        <f>IF(OR(COUNTIF('クラス'!$A$1:$A$1267,$B1993)&gt;0,$B1993="",$M1993=""),"",True)</f>
        <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1.0</v>
      </c>
      <c r="B1994" s="26" t="s">
        <v>2094</v>
      </c>
      <c r="C1994" s="26" t="s">
        <v>2095</v>
      </c>
      <c r="D1994" s="26" t="s">
        <v>2096</v>
      </c>
      <c r="E1994" s="29" t="s">
        <v>33</v>
      </c>
      <c r="F1994" s="15"/>
      <c r="G1994" s="30">
        <v>60.0</v>
      </c>
      <c r="H1994" s="22" t="s">
        <v>2097</v>
      </c>
      <c r="I1994" s="7"/>
      <c r="J1994" s="7" t="str">
        <f>IFERROR(LET(_xlpm.v,
VLOOKUP($I1994,'用語辞書'!$A:$B,COLUMN('用語辞書'!B$1),FALSE),
IF(_xlpm.v=0,"",_xlpm.v)
),"")</f>
        <v/>
      </c>
      <c r="K1994" s="17"/>
      <c r="L1994" s="17" t="b">
        <f>IF(OR(COUNTIF('クラス'!$A$1:$A$1267,$B1994)&gt;0,$B1994="",$M1994=""),"",True)</f>
        <v>1</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2.0</v>
      </c>
      <c r="B1995" s="1"/>
      <c r="C1995" s="1"/>
      <c r="D1995" s="1"/>
      <c r="E1995" s="14"/>
      <c r="F1995" s="15"/>
      <c r="G1995" s="16"/>
      <c r="H1995" s="11"/>
      <c r="I1995" s="7"/>
      <c r="J1995" s="7" t="str">
        <f>IFERROR(LET(_xlpm.v,
VLOOKUP($I1995,'用語辞書'!$A:$B,COLUMN('用語辞書'!B$1),FALSE),
IF(_xlpm.v=0,"",_xlpm.v)
),"")</f>
        <v/>
      </c>
      <c r="K1995" s="17"/>
      <c r="L1995" s="17" t="str">
        <f>IF(OR(COUNTIF('クラス'!$A$1:$A$1267,$B1995)&gt;0,$B1995="",$M1995=""),"",True)</f>
        <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3.0</v>
      </c>
      <c r="B1996" s="26" t="s">
        <v>2098</v>
      </c>
      <c r="C1996" s="1"/>
      <c r="D1996" s="1"/>
      <c r="E1996" s="29" t="s">
        <v>55</v>
      </c>
      <c r="F1996" s="15"/>
      <c r="G1996" s="16"/>
      <c r="H1996" s="22" t="s">
        <v>2099</v>
      </c>
      <c r="I1996" s="7"/>
      <c r="J1996" s="7" t="str">
        <f>IFERROR(LET(_xlpm.v,
VLOOKUP($I1996,'用語辞書'!$A:$B,COLUMN('用語辞書'!B$1),FALSE),
IF(_xlpm.v=0,"",_xlpm.v)
),"")</f>
        <v/>
      </c>
      <c r="K1996" s="17"/>
      <c r="L1996" s="17" t="b">
        <f>IF(OR(COUNTIF('クラス'!$A$1:$A$1267,$B1996)&gt;0,$B1996="",$M1996=""),"",True)</f>
        <v>1</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4.0</v>
      </c>
      <c r="B1997" s="1"/>
      <c r="C1997" s="1"/>
      <c r="D1997" s="1"/>
      <c r="E1997" s="14"/>
      <c r="F1997" s="15"/>
      <c r="G1997" s="16"/>
      <c r="H1997" s="11"/>
      <c r="I1997" s="7"/>
      <c r="J1997" s="7" t="str">
        <f>IFERROR(LET(_xlpm.v,
VLOOKUP($I1997,'用語辞書'!$A:$B,COLUMN('用語辞書'!B$1),FALSE),
IF(_xlpm.v=0,"",_xlpm.v)
),"")</f>
        <v/>
      </c>
      <c r="K1997" s="17"/>
      <c r="L1997" s="17" t="str">
        <f>IF(OR(COUNTIF('クラス'!$A$1:$A$1267,$B1997)&gt;0,$B1997="",$M1997=""),"",True)</f>
        <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5.0</v>
      </c>
      <c r="B1998" s="26" t="s">
        <v>2100</v>
      </c>
      <c r="C1998" s="26" t="s">
        <v>2101</v>
      </c>
      <c r="D1998" s="26" t="s">
        <v>2102</v>
      </c>
      <c r="E1998" s="29" t="s">
        <v>33</v>
      </c>
      <c r="F1998" s="15"/>
      <c r="G1998" s="30">
        <v>30.0</v>
      </c>
      <c r="H1998" s="22" t="s">
        <v>2103</v>
      </c>
      <c r="I1998" s="7"/>
      <c r="J1998" s="7" t="str">
        <f>IFERROR(LET(_xlpm.v,
VLOOKUP($I1998,'用語辞書'!$A:$B,COLUMN('用語辞書'!B$1),FALSE),
IF(_xlpm.v=0,"",_xlpm.v)
),"")</f>
        <v/>
      </c>
      <c r="K1998" s="17"/>
      <c r="L1998" s="17" t="b">
        <f>IF(OR(COUNTIF('クラス'!$A$1:$A$1267,$B1998)&gt;0,$B1998="",$M1998=""),"",True)</f>
        <v>1</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6.0</v>
      </c>
      <c r="B1999" s="1"/>
      <c r="C1999" s="1"/>
      <c r="D1999" s="1"/>
      <c r="E1999" s="14"/>
      <c r="F1999" s="15"/>
      <c r="G1999" s="16"/>
      <c r="H1999" s="11"/>
      <c r="I1999" s="7"/>
      <c r="J1999" s="7" t="str">
        <f>IFERROR(LET(_xlpm.v,
VLOOKUP($I1999,'用語辞書'!$A:$B,COLUMN('用語辞書'!B$1),FALSE),
IF(_xlpm.v=0,"",_xlpm.v)
),"")</f>
        <v/>
      </c>
      <c r="K1999" s="17"/>
      <c r="L1999" s="17" t="str">
        <f>IF(OR(COUNTIF('クラス'!$A$1:$A$1267,$B1999)&gt;0,$B1999="",$M1999=""),"",True)</f>
        <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7.0</v>
      </c>
      <c r="B2000" s="26" t="s">
        <v>2104</v>
      </c>
      <c r="C2000" s="1"/>
      <c r="D2000" s="1"/>
      <c r="E2000" s="29" t="s">
        <v>55</v>
      </c>
      <c r="F2000" s="15"/>
      <c r="G2000" s="16"/>
      <c r="H2000" s="22" t="s">
        <v>2105</v>
      </c>
      <c r="I2000" s="7"/>
      <c r="J2000" s="7" t="str">
        <f>IFERROR(LET(_xlpm.v,
VLOOKUP($I2000,'用語辞書'!$A:$B,COLUMN('用語辞書'!B$1),FALSE),
IF(_xlpm.v=0,"",_xlpm.v)
),"")</f>
        <v/>
      </c>
      <c r="K2000" s="17"/>
      <c r="L2000" s="17" t="b">
        <f>IF(OR(COUNTIF('クラス'!$A$1:$A$1267,$B2000)&gt;0,$B2000="",$M2000=""),"",True)</f>
        <v>1</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8.0</v>
      </c>
      <c r="B2001" s="1"/>
      <c r="C2001" s="1"/>
      <c r="D2001" s="1"/>
      <c r="E2001" s="14"/>
      <c r="F2001" s="15"/>
      <c r="G2001" s="16"/>
      <c r="H2001" s="11"/>
      <c r="I2001" s="7"/>
      <c r="J2001" s="7" t="str">
        <f>IFERROR(LET(_xlpm.v,
VLOOKUP($I2001,'用語辞書'!$A:$B,COLUMN('用語辞書'!B$1),FALSE),
IF(_xlpm.v=0,"",_xlpm.v)
),"")</f>
        <v/>
      </c>
      <c r="K2001" s="17"/>
      <c r="L2001" s="17" t="str">
        <f>IF(OR(COUNTIF('クラス'!$A$1:$A$1267,$B2001)&gt;0,$B2001="",$M2001=""),"",True)</f>
        <v/>
      </c>
      <c r="M2001" s="1" t="str">
        <f t="shared" si="27"/>
        <v>存在しない</v>
      </c>
      <c r="N2001" s="1" t="s">
        <v>29</v>
      </c>
      <c r="O2001" s="1"/>
      <c r="P2001" s="11"/>
      <c r="Q2001" s="11"/>
      <c r="R2001" s="11"/>
      <c r="S2001" s="11"/>
      <c r="T2001" s="1"/>
      <c r="U2001" s="1"/>
      <c r="V2001" s="1"/>
      <c r="W2001" s="1"/>
      <c r="X2001" s="1"/>
      <c r="Y2001" s="1"/>
      <c r="Z2001" s="1"/>
    </row>
    <row r="2002" ht="18.0" hidden="1" customHeight="1" outlineLevel="2">
      <c r="A2002" s="1">
        <v>9.0</v>
      </c>
      <c r="B2002" s="26" t="s">
        <v>918</v>
      </c>
      <c r="C2002" s="26" t="s">
        <v>2106</v>
      </c>
      <c r="D2002" s="26" t="s">
        <v>2096</v>
      </c>
      <c r="E2002" s="29" t="s">
        <v>33</v>
      </c>
      <c r="F2002" s="15"/>
      <c r="G2002" s="30">
        <v>60.0</v>
      </c>
      <c r="H2002" s="31" t="s">
        <v>2107</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hidden="1" customHeight="1" outlineLevel="2">
      <c r="A2003" s="1">
        <v>10.0</v>
      </c>
      <c r="B2003" s="26" t="s">
        <v>2093</v>
      </c>
      <c r="C2003" s="1"/>
      <c r="D2003" s="1"/>
      <c r="E2003" s="29" t="s">
        <v>55</v>
      </c>
      <c r="F2003" s="15"/>
      <c r="G2003" s="16"/>
      <c r="H2003" s="22" t="s">
        <v>2108</v>
      </c>
      <c r="I2003" s="7"/>
      <c r="J2003" s="7" t="str">
        <f>IFERROR(LET(_xlpm.v,
VLOOKUP($I2003,'用語辞書'!$A:$B,COLUMN('用語辞書'!B$1),FALSE),
IF(_xlpm.v=0,"",_xlpm.v)
),"")</f>
        <v/>
      </c>
      <c r="K2003" s="17"/>
      <c r="L2003" s="17" t="str">
        <f>IF(OR(COUNTIF('クラス'!$A$1:$A$1267,$B2003)&gt;0,$B2003="",$M2003=""),"",True)</f>
        <v/>
      </c>
      <c r="M2003" s="1" t="str">
        <f t="shared" si="27"/>
        <v/>
      </c>
      <c r="N2003" s="1" t="s">
        <v>29</v>
      </c>
      <c r="O2003" s="1"/>
      <c r="P2003" s="11"/>
      <c r="Q2003" s="11"/>
      <c r="R2003" s="11"/>
      <c r="S2003" s="11"/>
      <c r="T2003" s="1"/>
      <c r="U2003" s="1"/>
      <c r="V2003" s="1"/>
      <c r="W2003" s="1"/>
      <c r="X2003" s="1"/>
      <c r="Y2003" s="1"/>
      <c r="Z2003" s="1"/>
    </row>
    <row r="2004" ht="18.0" customHeight="1" outlineLevel="1" collapsed="1">
      <c r="A2004" s="1"/>
      <c r="B2004" s="1"/>
      <c r="C2004" s="1"/>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customHeight="1" outlineLevel="1">
      <c r="A2005" s="1"/>
      <c r="B2005" s="26" t="s">
        <v>2109</v>
      </c>
      <c r="C2005" s="26" t="s">
        <v>2110</v>
      </c>
      <c r="D2005" s="1"/>
      <c r="E2005" s="14"/>
      <c r="F2005" s="15"/>
      <c r="G2005" s="16"/>
      <c r="H2005" s="11"/>
      <c r="I2005" s="7"/>
      <c r="J2005" s="7" t="str">
        <f>IFERROR(LET(_xlpm.v,
VLOOKUP($I2005,'用語辞書'!$A:$B,COLUMN('用語辞書'!B$1),FALSE),
IF(_xlpm.v=0,"",_xlpm.v)
),"")</f>
        <v/>
      </c>
      <c r="K2005" s="17"/>
      <c r="L2005" s="17" t="str">
        <f>IF(OR(COUNTIF('クラス'!$A$1:$A$1267,$B2005)&gt;0,$B2005="",$M2005=""),"",True)</f>
        <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1.0</v>
      </c>
      <c r="B2006" s="26" t="s">
        <v>2111</v>
      </c>
      <c r="C2006" s="26" t="s">
        <v>2112</v>
      </c>
      <c r="D2006" s="26" t="s">
        <v>2096</v>
      </c>
      <c r="E2006" s="29" t="s">
        <v>33</v>
      </c>
      <c r="F2006" s="15"/>
      <c r="G2006" s="30">
        <v>60.0</v>
      </c>
      <c r="H2006" s="22" t="s">
        <v>2113</v>
      </c>
      <c r="I2006" s="7"/>
      <c r="J2006" s="7" t="str">
        <f>IFERROR(LET(_xlpm.v,
VLOOKUP($I2006,'用語辞書'!$A:$B,COLUMN('用語辞書'!B$1),FALSE),
IF(_xlpm.v=0,"",_xlpm.v)
),"")</f>
        <v/>
      </c>
      <c r="K2006" s="17"/>
      <c r="L2006" s="17" t="b">
        <f>IF(OR(COUNTIF('クラス'!$A$1:$A$1267,$B2006)&gt;0,$B2006="",$M2006=""),"",True)</f>
        <v>1</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2.0</v>
      </c>
      <c r="B2007" s="1"/>
      <c r="C2007" s="1"/>
      <c r="D2007" s="1"/>
      <c r="E2007" s="14"/>
      <c r="F2007" s="15"/>
      <c r="G2007" s="16"/>
      <c r="H2007" s="11"/>
      <c r="I2007" s="7"/>
      <c r="J2007" s="7" t="str">
        <f>IFERROR(LET(_xlpm.v,
VLOOKUP($I2007,'用語辞書'!$A:$B,COLUMN('用語辞書'!B$1),FALSE),
IF(_xlpm.v=0,"",_xlpm.v)
),"")</f>
        <v/>
      </c>
      <c r="K2007" s="17"/>
      <c r="L2007" s="17" t="str">
        <f>IF(OR(COUNTIF('クラス'!$A$1:$A$1267,$B2007)&gt;0,$B2007="",$M2007=""),"",True)</f>
        <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3.0</v>
      </c>
      <c r="B2008" s="26" t="s">
        <v>2114</v>
      </c>
      <c r="C2008" s="1"/>
      <c r="D2008" s="1"/>
      <c r="E2008" s="29" t="s">
        <v>55</v>
      </c>
      <c r="F2008" s="15"/>
      <c r="G2008" s="16"/>
      <c r="H2008" s="22" t="s">
        <v>2115</v>
      </c>
      <c r="I2008" s="7"/>
      <c r="J2008" s="7" t="str">
        <f>IFERROR(LET(_xlpm.v,
VLOOKUP($I2008,'用語辞書'!$A:$B,COLUMN('用語辞書'!B$1),FALSE),
IF(_xlpm.v=0,"",_xlpm.v)
),"")</f>
        <v/>
      </c>
      <c r="K2008" s="17"/>
      <c r="L2008" s="17" t="b">
        <f>IF(OR(COUNTIF('クラス'!$A$1:$A$1267,$B2008)&gt;0,$B2008="",$M2008=""),"",True)</f>
        <v>1</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4.0</v>
      </c>
      <c r="B2009" s="1"/>
      <c r="C2009" s="1"/>
      <c r="D2009" s="1"/>
      <c r="E2009" s="14"/>
      <c r="F2009" s="15"/>
      <c r="G2009" s="16"/>
      <c r="H2009" s="11"/>
      <c r="I2009" s="7"/>
      <c r="J2009" s="7" t="str">
        <f>IFERROR(LET(_xlpm.v,
VLOOKUP($I2009,'用語辞書'!$A:$B,COLUMN('用語辞書'!B$1),FALSE),
IF(_xlpm.v=0,"",_xlpm.v)
),"")</f>
        <v/>
      </c>
      <c r="K2009" s="17"/>
      <c r="L2009" s="17" t="str">
        <f>IF(OR(COUNTIF('クラス'!$A$1:$A$1267,$B2009)&gt;0,$B2009="",$M2009=""),"",True)</f>
        <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5.0</v>
      </c>
      <c r="B2010" s="26" t="s">
        <v>2116</v>
      </c>
      <c r="C2010" s="26" t="s">
        <v>2117</v>
      </c>
      <c r="D2010" s="26" t="s">
        <v>2102</v>
      </c>
      <c r="E2010" s="29" t="s">
        <v>33</v>
      </c>
      <c r="F2010" s="15"/>
      <c r="G2010" s="30">
        <v>30.0</v>
      </c>
      <c r="H2010" s="22" t="s">
        <v>2118</v>
      </c>
      <c r="I2010" s="7"/>
      <c r="J2010" s="7" t="str">
        <f>IFERROR(LET(_xlpm.v,
VLOOKUP($I2010,'用語辞書'!$A:$B,COLUMN('用語辞書'!B$1),FALSE),
IF(_xlpm.v=0,"",_xlpm.v)
),"")</f>
        <v/>
      </c>
      <c r="K2010" s="17"/>
      <c r="L2010" s="17" t="b">
        <f>IF(OR(COUNTIF('クラス'!$A$1:$A$1267,$B2010)&gt;0,$B2010="",$M2010=""),"",True)</f>
        <v>1</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6.0</v>
      </c>
      <c r="B2011" s="1"/>
      <c r="C2011" s="1"/>
      <c r="D2011" s="1"/>
      <c r="E2011" s="14"/>
      <c r="F2011" s="15"/>
      <c r="G2011" s="16"/>
      <c r="H2011" s="11"/>
      <c r="I2011" s="7"/>
      <c r="J2011" s="7" t="str">
        <f>IFERROR(LET(_xlpm.v,
VLOOKUP($I2011,'用語辞書'!$A:$B,COLUMN('用語辞書'!B$1),FALSE),
IF(_xlpm.v=0,"",_xlpm.v)
),"")</f>
        <v/>
      </c>
      <c r="K2011" s="17"/>
      <c r="L2011" s="17" t="str">
        <f>IF(OR(COUNTIF('クラス'!$A$1:$A$1267,$B2011)&gt;0,$B2011="",$M2011=""),"",True)</f>
        <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7.0</v>
      </c>
      <c r="B2012" s="26" t="s">
        <v>2119</v>
      </c>
      <c r="C2012" s="1"/>
      <c r="D2012" s="1"/>
      <c r="E2012" s="29" t="s">
        <v>55</v>
      </c>
      <c r="F2012" s="15"/>
      <c r="G2012" s="16"/>
      <c r="H2012" s="31" t="s">
        <v>2120</v>
      </c>
      <c r="I2012" s="7"/>
      <c r="J2012" s="7" t="str">
        <f>IFERROR(LET(_xlpm.v,
VLOOKUP($I2012,'用語辞書'!$A:$B,COLUMN('用語辞書'!B$1),FALSE),
IF(_xlpm.v=0,"",_xlpm.v)
),"")</f>
        <v/>
      </c>
      <c r="K2012" s="17"/>
      <c r="L2012" s="17" t="b">
        <f>IF(OR(COUNTIF('クラス'!$A$1:$A$1267,$B2012)&gt;0,$B2012="",$M2012=""),"",True)</f>
        <v>1</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8.0</v>
      </c>
      <c r="B2013" s="1"/>
      <c r="C2013" s="1"/>
      <c r="D2013" s="1"/>
      <c r="E2013" s="14"/>
      <c r="F2013" s="15"/>
      <c r="G2013" s="16"/>
      <c r="H2013" s="11"/>
      <c r="I2013" s="7"/>
      <c r="J2013" s="7" t="str">
        <f>IFERROR(LET(_xlpm.v,
VLOOKUP($I2013,'用語辞書'!$A:$B,COLUMN('用語辞書'!B$1),FALSE),
IF(_xlpm.v=0,"",_xlpm.v)
),"")</f>
        <v/>
      </c>
      <c r="K2013" s="17"/>
      <c r="L2013" s="17" t="str">
        <f>IF(OR(COUNTIF('クラス'!$A$1:$A$1267,$B2013)&gt;0,$B2013="",$M2013=""),"",True)</f>
        <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9.0</v>
      </c>
      <c r="B2014" s="26" t="s">
        <v>2121</v>
      </c>
      <c r="C2014" s="26" t="s">
        <v>2122</v>
      </c>
      <c r="D2014" s="26" t="s">
        <v>2096</v>
      </c>
      <c r="E2014" s="29" t="s">
        <v>33</v>
      </c>
      <c r="F2014" s="15"/>
      <c r="G2014" s="30">
        <v>60.0</v>
      </c>
      <c r="H2014" s="22" t="s">
        <v>2123</v>
      </c>
      <c r="I2014" s="7"/>
      <c r="J2014" s="7" t="str">
        <f>IFERROR(LET(_xlpm.v,
VLOOKUP($I2014,'用語辞書'!$A:$B,COLUMN('用語辞書'!B$1),FALSE),
IF(_xlpm.v=0,"",_xlpm.v)
),"")</f>
        <v/>
      </c>
      <c r="K2014" s="17"/>
      <c r="L2014" s="17" t="b">
        <f>IF(OR(COUNTIF('クラス'!$A$1:$A$1267,$B2014)&gt;0,$B2014="",$M2014=""),"",True)</f>
        <v>1</v>
      </c>
      <c r="M2014" s="1" t="str">
        <f t="shared" si="27"/>
        <v>存在しない</v>
      </c>
      <c r="N2014" s="1" t="s">
        <v>29</v>
      </c>
      <c r="O2014" s="1"/>
      <c r="P2014" s="11"/>
      <c r="Q2014" s="11"/>
      <c r="R2014" s="11"/>
      <c r="S2014" s="11"/>
      <c r="T2014" s="1"/>
      <c r="U2014" s="1"/>
      <c r="V2014" s="1"/>
      <c r="W2014" s="1"/>
      <c r="X2014" s="1"/>
      <c r="Y2014" s="1"/>
      <c r="Z2014" s="1"/>
    </row>
    <row r="2015" ht="18.0" hidden="1" customHeight="1" outlineLevel="2">
      <c r="A2015" s="1">
        <v>10.0</v>
      </c>
      <c r="B2015" s="26" t="s">
        <v>2110</v>
      </c>
      <c r="C2015" s="1"/>
      <c r="D2015" s="1"/>
      <c r="E2015" s="29" t="s">
        <v>55</v>
      </c>
      <c r="F2015" s="15"/>
      <c r="G2015" s="16"/>
      <c r="H2015" s="22" t="s">
        <v>2124</v>
      </c>
      <c r="I2015" s="7"/>
      <c r="J2015" s="7" t="str">
        <f>IFERROR(LET(_xlpm.v,
VLOOKUP($I2015,'用語辞書'!$A:$B,COLUMN('用語辞書'!B$1),FALSE),
IF(_xlpm.v=0,"",_xlpm.v)
),"")</f>
        <v/>
      </c>
      <c r="K2015" s="17"/>
      <c r="L2015" s="17" t="str">
        <f>IF(OR(COUNTIF('クラス'!$A$1:$A$1267,$B2015)&gt;0,$B2015="",$M2015=""),"",True)</f>
        <v/>
      </c>
      <c r="M2015" s="1" t="str">
        <f t="shared" si="27"/>
        <v/>
      </c>
      <c r="N2015" s="1" t="s">
        <v>29</v>
      </c>
      <c r="O2015" s="1"/>
      <c r="P2015" s="11"/>
      <c r="Q2015" s="11"/>
      <c r="R2015" s="11"/>
      <c r="S2015" s="11"/>
      <c r="T2015" s="1"/>
      <c r="U2015" s="1"/>
      <c r="V2015" s="1"/>
      <c r="W2015" s="1"/>
      <c r="X2015" s="1"/>
      <c r="Y2015" s="1"/>
      <c r="Z2015" s="1"/>
    </row>
    <row r="2016" ht="18.0" customHeight="1" outlineLevel="1" collapsed="1">
      <c r="A2016" s="1"/>
      <c r="B2016" s="1"/>
      <c r="C2016" s="1"/>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customHeight="1" outlineLevel="1">
      <c r="A2017" s="1"/>
      <c r="B2017" s="26" t="s">
        <v>2125</v>
      </c>
      <c r="C2017" s="26" t="s">
        <v>2126</v>
      </c>
      <c r="D2017" s="1"/>
      <c r="E2017" s="14"/>
      <c r="F2017" s="15"/>
      <c r="G2017" s="16"/>
      <c r="H2017" s="11"/>
      <c r="I2017" s="7"/>
      <c r="J2017" s="7" t="str">
        <f>IFERROR(LET(_xlpm.v,
VLOOKUP($I2017,'用語辞書'!$A:$B,COLUMN('用語辞書'!B$1),FALSE),
IF(_xlpm.v=0,"",_xlpm.v)
),"")</f>
        <v/>
      </c>
      <c r="K2017" s="17"/>
      <c r="L2017" s="17" t="str">
        <f>IF(OR(COUNTIF('クラス'!$A$1:$A$1267,$B2017)&gt;0,$B2017="",$M2017=""),"",True)</f>
        <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1.0</v>
      </c>
      <c r="B2018" s="26" t="s">
        <v>2127</v>
      </c>
      <c r="C2018" s="26" t="s">
        <v>2128</v>
      </c>
      <c r="D2018" s="26" t="s">
        <v>2096</v>
      </c>
      <c r="E2018" s="29" t="s">
        <v>33</v>
      </c>
      <c r="F2018" s="15"/>
      <c r="G2018" s="30">
        <v>60.0</v>
      </c>
      <c r="H2018" s="22" t="s">
        <v>2129</v>
      </c>
      <c r="I2018" s="7"/>
      <c r="J2018" s="7" t="str">
        <f>IFERROR(LET(_xlpm.v,
VLOOKUP($I2018,'用語辞書'!$A:$B,COLUMN('用語辞書'!B$1),FALSE),
IF(_xlpm.v=0,"",_xlpm.v)
),"")</f>
        <v/>
      </c>
      <c r="K2018" s="17"/>
      <c r="L2018" s="17" t="b">
        <f>IF(OR(COUNTIF('クラス'!$A$1:$A$1267,$B2018)&gt;0,$B2018="",$M2018=""),"",True)</f>
        <v>1</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2.0</v>
      </c>
      <c r="B2019" s="1"/>
      <c r="C2019" s="1"/>
      <c r="D2019" s="1"/>
      <c r="E2019" s="14"/>
      <c r="F2019" s="15"/>
      <c r="G2019" s="16"/>
      <c r="H2019" s="11"/>
      <c r="I2019" s="7"/>
      <c r="J2019" s="7" t="str">
        <f>IFERROR(LET(_xlpm.v,
VLOOKUP($I2019,'用語辞書'!$A:$B,COLUMN('用語辞書'!B$1),FALSE),
IF(_xlpm.v=0,"",_xlpm.v)
),"")</f>
        <v/>
      </c>
      <c r="K2019" s="17"/>
      <c r="L2019" s="17" t="str">
        <f>IF(OR(COUNTIF('クラス'!$A$1:$A$1267,$B2019)&gt;0,$B2019="",$M2019=""),"",True)</f>
        <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3.0</v>
      </c>
      <c r="B2020" s="26" t="s">
        <v>2130</v>
      </c>
      <c r="C2020" s="1"/>
      <c r="D2020" s="1"/>
      <c r="E2020" s="29" t="s">
        <v>55</v>
      </c>
      <c r="F2020" s="15"/>
      <c r="G2020" s="16"/>
      <c r="H2020" s="31" t="s">
        <v>2131</v>
      </c>
      <c r="I2020" s="7"/>
      <c r="J2020" s="7" t="str">
        <f>IFERROR(LET(_xlpm.v,
VLOOKUP($I2020,'用語辞書'!$A:$B,COLUMN('用語辞書'!B$1),FALSE),
IF(_xlpm.v=0,"",_xlpm.v)
),"")</f>
        <v/>
      </c>
      <c r="K2020" s="17"/>
      <c r="L2020" s="17" t="b">
        <f>IF(OR(COUNTIF('クラス'!$A$1:$A$1267,$B2020)&gt;0,$B2020="",$M2020=""),"",True)</f>
        <v>1</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4.0</v>
      </c>
      <c r="B2021" s="1"/>
      <c r="C2021" s="1"/>
      <c r="D2021" s="1"/>
      <c r="E2021" s="14"/>
      <c r="F2021" s="15"/>
      <c r="G2021" s="16"/>
      <c r="H2021" s="11"/>
      <c r="I2021" s="7"/>
      <c r="J2021" s="7" t="str">
        <f>IFERROR(LET(_xlpm.v,
VLOOKUP($I2021,'用語辞書'!$A:$B,COLUMN('用語辞書'!B$1),FALSE),
IF(_xlpm.v=0,"",_xlpm.v)
),"")</f>
        <v/>
      </c>
      <c r="K2021" s="17"/>
      <c r="L2021" s="17" t="str">
        <f>IF(OR(COUNTIF('クラス'!$A$1:$A$1267,$B2021)&gt;0,$B2021="",$M2021=""),"",True)</f>
        <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5.0</v>
      </c>
      <c r="B2022" s="26" t="s">
        <v>2132</v>
      </c>
      <c r="C2022" s="1"/>
      <c r="D2022" s="26" t="s">
        <v>2102</v>
      </c>
      <c r="E2022" s="29" t="s">
        <v>33</v>
      </c>
      <c r="F2022" s="15"/>
      <c r="G2022" s="30">
        <v>30.0</v>
      </c>
      <c r="H2022" s="22" t="s">
        <v>2133</v>
      </c>
      <c r="I2022" s="7"/>
      <c r="J2022" s="7" t="str">
        <f>IFERROR(LET(_xlpm.v,
VLOOKUP($I2022,'用語辞書'!$A:$B,COLUMN('用語辞書'!B$1),FALSE),
IF(_xlpm.v=0,"",_xlpm.v)
),"")</f>
        <v/>
      </c>
      <c r="K2022" s="17"/>
      <c r="L2022" s="17" t="b">
        <f>IF(OR(COUNTIF('クラス'!$A$1:$A$1267,$B2022)&gt;0,$B2022="",$M2022=""),"",True)</f>
        <v>1</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6.0</v>
      </c>
      <c r="B2023" s="1"/>
      <c r="C2023" s="1"/>
      <c r="D2023" s="1"/>
      <c r="E2023" s="14"/>
      <c r="F2023" s="15"/>
      <c r="G2023" s="16"/>
      <c r="H2023" s="11"/>
      <c r="I2023" s="7"/>
      <c r="J2023" s="7" t="str">
        <f>IFERROR(LET(_xlpm.v,
VLOOKUP($I2023,'用語辞書'!$A:$B,COLUMN('用語辞書'!B$1),FALSE),
IF(_xlpm.v=0,"",_xlpm.v)
),"")</f>
        <v/>
      </c>
      <c r="K2023" s="17"/>
      <c r="L2023" s="17" t="str">
        <f>IF(OR(COUNTIF('クラス'!$A$1:$A$1267,$B2023)&gt;0,$B2023="",$M2023=""),"",True)</f>
        <v/>
      </c>
      <c r="M2023" s="1" t="str">
        <f t="shared" si="27"/>
        <v>存在しない</v>
      </c>
      <c r="N2023" s="1" t="s">
        <v>29</v>
      </c>
      <c r="O2023" s="1"/>
      <c r="P2023" s="11"/>
      <c r="Q2023" s="11"/>
      <c r="R2023" s="11"/>
      <c r="S2023" s="11"/>
      <c r="T2023" s="1"/>
      <c r="U2023" s="1"/>
      <c r="V2023" s="1"/>
      <c r="W2023" s="1"/>
      <c r="X2023" s="1"/>
      <c r="Y2023" s="1"/>
      <c r="Z2023" s="1"/>
    </row>
    <row r="2024" ht="18.0" hidden="1" customHeight="1" outlineLevel="2">
      <c r="A2024" s="1">
        <v>7.0</v>
      </c>
      <c r="B2024" s="26" t="s">
        <v>1854</v>
      </c>
      <c r="C2024" s="26" t="s">
        <v>2134</v>
      </c>
      <c r="D2024" s="1"/>
      <c r="E2024" s="29" t="s">
        <v>33</v>
      </c>
      <c r="F2024" s="15"/>
      <c r="G2024" s="30">
        <v>30.0</v>
      </c>
      <c r="H2024" s="22" t="s">
        <v>2135</v>
      </c>
      <c r="I2024" s="7"/>
      <c r="J2024" s="7" t="str">
        <f>IFERROR(LET(_xlpm.v,
VLOOKUP($I2024,'用語辞書'!$A:$B,COLUMN('用語辞書'!B$1),FALSE),
IF(_xlpm.v=0,"",_xlpm.v)
),"")</f>
        <v/>
      </c>
      <c r="K2024" s="17"/>
      <c r="L2024" s="17" t="str">
        <f>IF(OR(COUNTIF('クラス'!$A$1:$A$1267,$B2024)&gt;0,$B2024="",$M2024=""),"",True)</f>
        <v/>
      </c>
      <c r="M2024" s="1" t="str">
        <f t="shared" si="27"/>
        <v/>
      </c>
      <c r="N2024" s="1" t="s">
        <v>29</v>
      </c>
      <c r="O2024" s="1"/>
      <c r="P2024" s="11"/>
      <c r="Q2024" s="11"/>
      <c r="R2024" s="11"/>
      <c r="S2024" s="11"/>
      <c r="T2024" s="1"/>
      <c r="U2024" s="1"/>
      <c r="V2024" s="1"/>
      <c r="W2024" s="1"/>
      <c r="X2024" s="1"/>
      <c r="Y2024" s="1"/>
      <c r="Z2024" s="1"/>
    </row>
    <row r="2025" ht="18.0" hidden="1" customHeight="1" outlineLevel="2">
      <c r="A2025" s="1">
        <v>8.0</v>
      </c>
      <c r="B2025" s="1"/>
      <c r="C2025" s="1"/>
      <c r="D2025" s="1"/>
      <c r="E2025" s="14"/>
      <c r="F2025" s="15"/>
      <c r="G2025" s="16"/>
      <c r="H2025" s="11"/>
      <c r="I2025" s="7"/>
      <c r="J2025" s="7" t="str">
        <f>IFERROR(LET(_xlpm.v,
VLOOKUP($I2025,'用語辞書'!$A:$B,COLUMN('用語辞書'!B$1),FALSE),
IF(_xlpm.v=0,"",_xlpm.v)
),"")</f>
        <v/>
      </c>
      <c r="K2025" s="17"/>
      <c r="L2025" s="17" t="str">
        <f>IF(OR(COUNTIF('クラス'!$A$1:$A$1267,$B2025)&gt;0,$B2025="",$M2025=""),"",True)</f>
        <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9.0</v>
      </c>
      <c r="B2026" s="26" t="s">
        <v>2136</v>
      </c>
      <c r="C2026" s="1"/>
      <c r="D2026" s="1"/>
      <c r="E2026" s="29" t="s">
        <v>55</v>
      </c>
      <c r="F2026" s="15"/>
      <c r="G2026" s="16"/>
      <c r="H2026" s="22" t="s">
        <v>2137</v>
      </c>
      <c r="I2026" s="7"/>
      <c r="J2026" s="7" t="str">
        <f>IFERROR(LET(_xlpm.v,
VLOOKUP($I2026,'用語辞書'!$A:$B,COLUMN('用語辞書'!B$1),FALSE),
IF(_xlpm.v=0,"",_xlpm.v)
),"")</f>
        <v/>
      </c>
      <c r="K2026" s="17"/>
      <c r="L2026" s="17" t="b">
        <f>IF(OR(COUNTIF('クラス'!$A$1:$A$1267,$B2026)&gt;0,$B2026="",$M2026=""),"",True)</f>
        <v>1</v>
      </c>
      <c r="M2026" s="1" t="str">
        <f t="shared" si="27"/>
        <v>存在しない</v>
      </c>
      <c r="N2026" s="1" t="s">
        <v>29</v>
      </c>
      <c r="O2026" s="1"/>
      <c r="P2026" s="11"/>
      <c r="Q2026" s="11"/>
      <c r="R2026" s="11"/>
      <c r="S2026" s="11"/>
      <c r="T2026" s="1"/>
      <c r="U2026" s="1"/>
      <c r="V2026" s="1"/>
      <c r="W2026" s="1"/>
      <c r="X2026" s="1"/>
      <c r="Y2026" s="1"/>
      <c r="Z2026" s="1"/>
    </row>
    <row r="2027" ht="18.0" hidden="1" customHeight="1" outlineLevel="2">
      <c r="A2027" s="1">
        <v>10.0</v>
      </c>
      <c r="B2027" s="26" t="s">
        <v>2126</v>
      </c>
      <c r="C2027" s="1"/>
      <c r="D2027" s="1"/>
      <c r="E2027" s="29" t="s">
        <v>55</v>
      </c>
      <c r="F2027" s="15"/>
      <c r="G2027" s="16"/>
      <c r="H2027" s="22" t="s">
        <v>2138</v>
      </c>
      <c r="I2027" s="7"/>
      <c r="J2027" s="7" t="str">
        <f>IFERROR(LET(_xlpm.v,
VLOOKUP($I2027,'用語辞書'!$A:$B,COLUMN('用語辞書'!B$1),FALSE),
IF(_xlpm.v=0,"",_xlpm.v)
),"")</f>
        <v/>
      </c>
      <c r="K2027" s="17"/>
      <c r="L2027" s="17" t="str">
        <f>IF(OR(COUNTIF('クラス'!$A$1:$A$1267,$B2027)&gt;0,$B2027="",$M2027=""),"",True)</f>
        <v/>
      </c>
      <c r="M2027" s="1" t="str">
        <f t="shared" si="27"/>
        <v/>
      </c>
      <c r="N2027" s="1" t="s">
        <v>29</v>
      </c>
      <c r="O2027" s="1"/>
      <c r="P2027" s="11"/>
      <c r="Q2027" s="11"/>
      <c r="R2027" s="11"/>
      <c r="S2027" s="11"/>
      <c r="T2027" s="1"/>
      <c r="U2027" s="1"/>
      <c r="V2027" s="1"/>
      <c r="W2027" s="1"/>
      <c r="X2027" s="1"/>
      <c r="Y2027" s="1"/>
      <c r="Z2027" s="1"/>
    </row>
    <row r="2028" ht="18.0" customHeight="1" outlineLevel="1" collapsed="1">
      <c r="A2028" s="1"/>
      <c r="B2028" s="1"/>
      <c r="C2028" s="1"/>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customHeight="1" outlineLevel="1">
      <c r="A2029" s="1"/>
      <c r="B2029" s="26" t="s">
        <v>2139</v>
      </c>
      <c r="C2029" s="26" t="s">
        <v>2140</v>
      </c>
      <c r="D2029" s="1"/>
      <c r="E2029" s="14"/>
      <c r="F2029" s="15"/>
      <c r="G2029" s="16"/>
      <c r="H2029" s="11"/>
      <c r="I2029" s="7"/>
      <c r="J2029" s="7" t="str">
        <f>IFERROR(LET(_xlpm.v,
VLOOKUP($I2029,'用語辞書'!$A:$B,COLUMN('用語辞書'!B$1),FALSE),
IF(_xlpm.v=0,"",_xlpm.v)
),"")</f>
        <v/>
      </c>
      <c r="K2029" s="17"/>
      <c r="L2029" s="17" t="str">
        <f>IF(OR(COUNTIF('クラス'!$A$1:$A$1267,$B2029)&gt;0,$B2029="",$M2029=""),"",True)</f>
        <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1.0</v>
      </c>
      <c r="B2030" s="26" t="s">
        <v>2141</v>
      </c>
      <c r="C2030" s="1"/>
      <c r="D2030" s="26" t="s">
        <v>2142</v>
      </c>
      <c r="E2030" s="29" t="s">
        <v>33</v>
      </c>
      <c r="F2030" s="15"/>
      <c r="G2030" s="30">
        <v>60.0</v>
      </c>
      <c r="H2030" s="31" t="s">
        <v>2143</v>
      </c>
      <c r="I2030" s="7"/>
      <c r="J2030" s="7" t="str">
        <f>IFERROR(LET(_xlpm.v,
VLOOKUP($I2030,'用語辞書'!$A:$B,COLUMN('用語辞書'!B$1),FALSE),
IF(_xlpm.v=0,"",_xlpm.v)
),"")</f>
        <v/>
      </c>
      <c r="K2030" s="17"/>
      <c r="L2030" s="17" t="b">
        <f>IF(OR(COUNTIF('クラス'!$A$1:$A$1267,$B2030)&gt;0,$B2030="",$M2030=""),"",True)</f>
        <v>1</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2.0</v>
      </c>
      <c r="B2031" s="1"/>
      <c r="C2031" s="1"/>
      <c r="D2031" s="1"/>
      <c r="E2031" s="14"/>
      <c r="F2031" s="15"/>
      <c r="G2031" s="16"/>
      <c r="H2031" s="11"/>
      <c r="I2031" s="7"/>
      <c r="J2031" s="7" t="str">
        <f>IFERROR(LET(_xlpm.v,
VLOOKUP($I2031,'用語辞書'!$A:$B,COLUMN('用語辞書'!B$1),FALSE),
IF(_xlpm.v=0,"",_xlpm.v)
),"")</f>
        <v/>
      </c>
      <c r="K2031" s="17"/>
      <c r="L2031" s="17" t="str">
        <f>IF(OR(COUNTIF('クラス'!$A$1:$A$1267,$B2031)&gt;0,$B2031="",$M2031=""),"",True)</f>
        <v/>
      </c>
      <c r="M2031" s="1" t="str">
        <f t="shared" si="27"/>
        <v>存在しない</v>
      </c>
      <c r="N2031" s="1" t="s">
        <v>29</v>
      </c>
      <c r="O2031" s="1"/>
      <c r="P2031" s="11"/>
      <c r="Q2031" s="11"/>
      <c r="R2031" s="11"/>
      <c r="S2031" s="11"/>
      <c r="T2031" s="1"/>
      <c r="U2031" s="1"/>
      <c r="V2031" s="1"/>
      <c r="W2031" s="1"/>
      <c r="X2031" s="1"/>
      <c r="Y2031" s="1"/>
      <c r="Z2031" s="1"/>
    </row>
    <row r="2032" ht="18.0" hidden="1" customHeight="1" outlineLevel="2">
      <c r="A2032" s="1">
        <v>3.0</v>
      </c>
      <c r="B2032" s="26" t="s">
        <v>2098</v>
      </c>
      <c r="C2032" s="1"/>
      <c r="D2032" s="1"/>
      <c r="E2032" s="29" t="s">
        <v>55</v>
      </c>
      <c r="F2032" s="15"/>
      <c r="G2032" s="16"/>
      <c r="H2032" s="22" t="s">
        <v>2099</v>
      </c>
      <c r="I2032" s="7"/>
      <c r="J2032" s="7" t="str">
        <f>IFERROR(LET(_xlpm.v,
VLOOKUP($I2032,'用語辞書'!$A:$B,COLUMN('用語辞書'!B$1),FALSE),
IF(_xlpm.v=0,"",_xlpm.v)
),"")</f>
        <v/>
      </c>
      <c r="K2032" s="17"/>
      <c r="L2032" s="17" t="str">
        <f>IF(OR(COUNTIF('クラス'!$A$1:$A$1267,$B2032)&gt;0,$B2032="",$M2032=""),"",True)</f>
        <v/>
      </c>
      <c r="M2032" s="1" t="str">
        <f t="shared" si="27"/>
        <v/>
      </c>
      <c r="N2032" s="1" t="s">
        <v>29</v>
      </c>
      <c r="O2032" s="1"/>
      <c r="P2032" s="11"/>
      <c r="Q2032" s="11"/>
      <c r="R2032" s="11"/>
      <c r="S2032" s="11"/>
      <c r="T2032" s="1"/>
      <c r="U2032" s="1"/>
      <c r="V2032" s="1"/>
      <c r="W2032" s="1"/>
      <c r="X2032" s="1"/>
      <c r="Y2032" s="1"/>
      <c r="Z2032" s="1"/>
    </row>
    <row r="2033" ht="18.0" hidden="1" customHeight="1" outlineLevel="2">
      <c r="A2033" s="1">
        <v>4.0</v>
      </c>
      <c r="B2033" s="1"/>
      <c r="C2033" s="1"/>
      <c r="D2033" s="1"/>
      <c r="E2033" s="14"/>
      <c r="F2033" s="15"/>
      <c r="G2033" s="16"/>
      <c r="H2033" s="11"/>
      <c r="I2033" s="7"/>
      <c r="J2033" s="7" t="str">
        <f>IFERROR(LET(_xlpm.v,
VLOOKUP($I2033,'用語辞書'!$A:$B,COLUMN('用語辞書'!B$1),FALSE),
IF(_xlpm.v=0,"",_xlpm.v)
),"")</f>
        <v/>
      </c>
      <c r="K2033" s="17"/>
      <c r="L2033" s="17" t="str">
        <f>IF(OR(COUNTIF('クラス'!$A$1:$A$1267,$B2033)&gt;0,$B2033="",$M2033=""),"",True)</f>
        <v/>
      </c>
      <c r="M2033" s="1" t="str">
        <f t="shared" si="27"/>
        <v>存在しない</v>
      </c>
      <c r="N2033" s="1" t="s">
        <v>29</v>
      </c>
      <c r="O2033" s="1"/>
      <c r="P2033" s="11"/>
      <c r="Q2033" s="11"/>
      <c r="R2033" s="11"/>
      <c r="S2033" s="11"/>
      <c r="T2033" s="1"/>
      <c r="U2033" s="1"/>
      <c r="V2033" s="1"/>
      <c r="W2033" s="1"/>
      <c r="X2033" s="1"/>
      <c r="Y2033" s="1"/>
      <c r="Z2033" s="1"/>
    </row>
    <row r="2034" ht="18.0" hidden="1" customHeight="1" outlineLevel="2">
      <c r="A2034" s="1">
        <v>5.0</v>
      </c>
      <c r="B2034" s="26" t="s">
        <v>2100</v>
      </c>
      <c r="C2034" s="26" t="s">
        <v>2101</v>
      </c>
      <c r="D2034" s="26" t="s">
        <v>2102</v>
      </c>
      <c r="E2034" s="29" t="s">
        <v>33</v>
      </c>
      <c r="F2034" s="15"/>
      <c r="G2034" s="30">
        <v>30.0</v>
      </c>
      <c r="H2034" s="22" t="s">
        <v>2103</v>
      </c>
      <c r="I2034" s="7"/>
      <c r="J2034" s="7" t="str">
        <f>IFERROR(LET(_xlpm.v,
VLOOKUP($I2034,'用語辞書'!$A:$B,COLUMN('用語辞書'!B$1),FALSE),
IF(_xlpm.v=0,"",_xlpm.v)
),"")</f>
        <v/>
      </c>
      <c r="K2034" s="17"/>
      <c r="L2034" s="17" t="str">
        <f>IF(OR(COUNTIF('クラス'!$A$1:$A$1267,$B2034)&gt;0,$B2034="",$M2034=""),"",True)</f>
        <v/>
      </c>
      <c r="M2034" s="1" t="str">
        <f t="shared" si="27"/>
        <v/>
      </c>
      <c r="N2034" s="1" t="s">
        <v>29</v>
      </c>
      <c r="O2034" s="1"/>
      <c r="P2034" s="11"/>
      <c r="Q2034" s="11"/>
      <c r="R2034" s="11"/>
      <c r="S2034" s="11"/>
      <c r="T2034" s="1"/>
      <c r="U2034" s="1"/>
      <c r="V2034" s="1"/>
      <c r="W2034" s="1"/>
      <c r="X2034" s="1"/>
      <c r="Y2034" s="1"/>
      <c r="Z2034" s="1"/>
    </row>
    <row r="2035" ht="18.0" hidden="1" customHeight="1" outlineLevel="2">
      <c r="A2035" s="1">
        <v>6.0</v>
      </c>
      <c r="B2035" s="1"/>
      <c r="C2035" s="1"/>
      <c r="D2035" s="1"/>
      <c r="E2035" s="14"/>
      <c r="F2035" s="15"/>
      <c r="G2035" s="16"/>
      <c r="H2035" s="11"/>
      <c r="I2035" s="7"/>
      <c r="J2035" s="7" t="str">
        <f>IFERROR(LET(_xlpm.v,
VLOOKUP($I2035,'用語辞書'!$A:$B,COLUMN('用語辞書'!B$1),FALSE),
IF(_xlpm.v=0,"",_xlpm.v)
),"")</f>
        <v/>
      </c>
      <c r="K2035" s="17"/>
      <c r="L2035" s="17" t="str">
        <f>IF(OR(COUNTIF('クラス'!$A$1:$A$1267,$B2035)&gt;0,$B2035="",$M2035=""),"",True)</f>
        <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7.0</v>
      </c>
      <c r="B2036" s="26" t="s">
        <v>2144</v>
      </c>
      <c r="C2036" s="1"/>
      <c r="D2036" s="1"/>
      <c r="E2036" s="29" t="s">
        <v>55</v>
      </c>
      <c r="F2036" s="15"/>
      <c r="G2036" s="16"/>
      <c r="H2036" s="31" t="s">
        <v>2145</v>
      </c>
      <c r="I2036" s="7"/>
      <c r="J2036" s="7" t="str">
        <f>IFERROR(LET(_xlpm.v,
VLOOKUP($I2036,'用語辞書'!$A:$B,COLUMN('用語辞書'!B$1),FALSE),
IF(_xlpm.v=0,"",_xlpm.v)
),"")</f>
        <v/>
      </c>
      <c r="K2036" s="17"/>
      <c r="L2036" s="17" t="b">
        <f>IF(OR(COUNTIF('クラス'!$A$1:$A$1267,$B2036)&gt;0,$B2036="",$M2036=""),"",True)</f>
        <v>1</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8.0</v>
      </c>
      <c r="B2037" s="1"/>
      <c r="C2037" s="1"/>
      <c r="D2037" s="1"/>
      <c r="E2037" s="14"/>
      <c r="F2037" s="15"/>
      <c r="G2037" s="16"/>
      <c r="H2037" s="11"/>
      <c r="I2037" s="7"/>
      <c r="J2037" s="7" t="str">
        <f>IFERROR(LET(_xlpm.v,
VLOOKUP($I2037,'用語辞書'!$A:$B,COLUMN('用語辞書'!B$1),FALSE),
IF(_xlpm.v=0,"",_xlpm.v)
),"")</f>
        <v/>
      </c>
      <c r="K2037" s="17"/>
      <c r="L2037" s="17" t="str">
        <f>IF(OR(COUNTIF('クラス'!$A$1:$A$1267,$B2037)&gt;0,$B2037="",$M2037=""),"",True)</f>
        <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9.0</v>
      </c>
      <c r="B2038" s="26" t="s">
        <v>2146</v>
      </c>
      <c r="C2038" s="26" t="s">
        <v>2147</v>
      </c>
      <c r="D2038" s="26" t="s">
        <v>2142</v>
      </c>
      <c r="E2038" s="29" t="s">
        <v>33</v>
      </c>
      <c r="F2038" s="15"/>
      <c r="G2038" s="30">
        <v>60.0</v>
      </c>
      <c r="H2038" s="22" t="s">
        <v>2148</v>
      </c>
      <c r="I2038" s="7"/>
      <c r="J2038" s="7" t="str">
        <f>IFERROR(LET(_xlpm.v,
VLOOKUP($I2038,'用語辞書'!$A:$B,COLUMN('用語辞書'!B$1),FALSE),
IF(_xlpm.v=0,"",_xlpm.v)
),"")</f>
        <v/>
      </c>
      <c r="K2038" s="17"/>
      <c r="L2038" s="17" t="b">
        <f>IF(OR(COUNTIF('クラス'!$A$1:$A$1267,$B2038)&gt;0,$B2038="",$M2038=""),"",True)</f>
        <v>1</v>
      </c>
      <c r="M2038" s="1" t="str">
        <f t="shared" si="27"/>
        <v>存在しない</v>
      </c>
      <c r="N2038" s="1" t="s">
        <v>29</v>
      </c>
      <c r="O2038" s="1"/>
      <c r="P2038" s="11"/>
      <c r="Q2038" s="11"/>
      <c r="R2038" s="11"/>
      <c r="S2038" s="11"/>
      <c r="T2038" s="1"/>
      <c r="U2038" s="1"/>
      <c r="V2038" s="1"/>
      <c r="W2038" s="1"/>
      <c r="X2038" s="1"/>
      <c r="Y2038" s="1"/>
      <c r="Z2038" s="1"/>
    </row>
    <row r="2039" ht="18.0" hidden="1" customHeight="1" outlineLevel="2">
      <c r="A2039" s="1">
        <v>10.0</v>
      </c>
      <c r="B2039" s="26" t="s">
        <v>2140</v>
      </c>
      <c r="C2039" s="1"/>
      <c r="D2039" s="1"/>
      <c r="E2039" s="29" t="s">
        <v>55</v>
      </c>
      <c r="F2039" s="15"/>
      <c r="G2039" s="16"/>
      <c r="H2039" s="22" t="s">
        <v>2149</v>
      </c>
      <c r="I2039" s="7"/>
      <c r="J2039" s="7" t="str">
        <f>IFERROR(LET(_xlpm.v,
VLOOKUP($I2039,'用語辞書'!$A:$B,COLUMN('用語辞書'!B$1),FALSE),
IF(_xlpm.v=0,"",_xlpm.v)
),"")</f>
        <v/>
      </c>
      <c r="K2039" s="17"/>
      <c r="L2039" s="17" t="str">
        <f>IF(OR(COUNTIF('クラス'!$A$1:$A$1267,$B2039)&gt;0,$B2039="",$M2039=""),"",True)</f>
        <v/>
      </c>
      <c r="M2039" s="1" t="str">
        <f t="shared" si="27"/>
        <v/>
      </c>
      <c r="N2039" s="1" t="s">
        <v>29</v>
      </c>
      <c r="O2039" s="1"/>
      <c r="P2039" s="11"/>
      <c r="Q2039" s="11"/>
      <c r="R2039" s="11"/>
      <c r="S2039" s="11"/>
      <c r="T2039" s="1"/>
      <c r="U2039" s="1"/>
      <c r="V2039" s="1"/>
      <c r="W2039" s="1"/>
      <c r="X2039" s="1"/>
      <c r="Y2039" s="1"/>
      <c r="Z2039" s="1"/>
    </row>
    <row r="2040" ht="18.0" customHeight="1" outlineLevel="1" collapsed="1">
      <c r="A2040" s="1"/>
      <c r="B2040" s="1"/>
      <c r="C2040" s="1"/>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customHeight="1" outlineLevel="1">
      <c r="A2041" s="1"/>
      <c r="B2041" s="26" t="s">
        <v>2150</v>
      </c>
      <c r="C2041" s="26" t="s">
        <v>2151</v>
      </c>
      <c r="D2041" s="1"/>
      <c r="E2041" s="14"/>
      <c r="F2041" s="15"/>
      <c r="G2041" s="16"/>
      <c r="H2041" s="11"/>
      <c r="I2041" s="7"/>
      <c r="J2041" s="7" t="str">
        <f>IFERROR(LET(_xlpm.v,
VLOOKUP($I2041,'用語辞書'!$A:$B,COLUMN('用語辞書'!B$1),FALSE),
IF(_xlpm.v=0,"",_xlpm.v)
),"")</f>
        <v/>
      </c>
      <c r="K2041" s="17"/>
      <c r="L2041" s="17" t="str">
        <f>IF(OR(COUNTIF('クラス'!$A$1:$A$1267,$B2041)&gt;0,$B2041="",$M2041=""),"",True)</f>
        <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1.0</v>
      </c>
      <c r="B2042" s="26" t="s">
        <v>2152</v>
      </c>
      <c r="C2042" s="26" t="s">
        <v>2153</v>
      </c>
      <c r="D2042" s="26" t="s">
        <v>2142</v>
      </c>
      <c r="E2042" s="29" t="s">
        <v>33</v>
      </c>
      <c r="F2042" s="15"/>
      <c r="G2042" s="30">
        <v>60.0</v>
      </c>
      <c r="H2042" s="22" t="s">
        <v>2154</v>
      </c>
      <c r="I2042" s="7"/>
      <c r="J2042" s="7" t="str">
        <f>IFERROR(LET(_xlpm.v,
VLOOKUP($I2042,'用語辞書'!$A:$B,COLUMN('用語辞書'!B$1),FALSE),
IF(_xlpm.v=0,"",_xlpm.v)
),"")</f>
        <v/>
      </c>
      <c r="K2042" s="17"/>
      <c r="L2042" s="17" t="b">
        <f>IF(OR(COUNTIF('クラス'!$A$1:$A$1267,$B2042)&gt;0,$B2042="",$M2042=""),"",True)</f>
        <v>1</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2.0</v>
      </c>
      <c r="B2043" s="1"/>
      <c r="C2043" s="1"/>
      <c r="D2043" s="1"/>
      <c r="E2043" s="14"/>
      <c r="F2043" s="15"/>
      <c r="G2043" s="16"/>
      <c r="H2043" s="11"/>
      <c r="I2043" s="7"/>
      <c r="J2043" s="7" t="str">
        <f>IFERROR(LET(_xlpm.v,
VLOOKUP($I2043,'用語辞書'!$A:$B,COLUMN('用語辞書'!B$1),FALSE),
IF(_xlpm.v=0,"",_xlpm.v)
),"")</f>
        <v/>
      </c>
      <c r="K2043" s="17"/>
      <c r="L2043" s="17" t="str">
        <f>IF(OR(COUNTIF('クラス'!$A$1:$A$1267,$B2043)&gt;0,$B2043="",$M2043=""),"",True)</f>
        <v/>
      </c>
      <c r="M2043" s="1" t="str">
        <f t="shared" si="27"/>
        <v>存在しない</v>
      </c>
      <c r="N2043" s="1" t="s">
        <v>29</v>
      </c>
      <c r="O2043" s="1"/>
      <c r="P2043" s="11"/>
      <c r="Q2043" s="11"/>
      <c r="R2043" s="11"/>
      <c r="S2043" s="11"/>
      <c r="T2043" s="1"/>
      <c r="U2043" s="1"/>
      <c r="V2043" s="1"/>
      <c r="W2043" s="1"/>
      <c r="X2043" s="1"/>
      <c r="Y2043" s="1"/>
      <c r="Z2043" s="1"/>
    </row>
    <row r="2044" ht="18.0" hidden="1" customHeight="1" outlineLevel="2">
      <c r="A2044" s="1">
        <v>3.0</v>
      </c>
      <c r="B2044" s="26" t="s">
        <v>2114</v>
      </c>
      <c r="C2044" s="1"/>
      <c r="D2044" s="1"/>
      <c r="E2044" s="29" t="s">
        <v>55</v>
      </c>
      <c r="F2044" s="15"/>
      <c r="G2044" s="16"/>
      <c r="H2044" s="22" t="s">
        <v>2115</v>
      </c>
      <c r="I2044" s="7"/>
      <c r="J2044" s="7" t="str">
        <f>IFERROR(LET(_xlpm.v,
VLOOKUP($I2044,'用語辞書'!$A:$B,COLUMN('用語辞書'!B$1),FALSE),
IF(_xlpm.v=0,"",_xlpm.v)
),"")</f>
        <v/>
      </c>
      <c r="K2044" s="17"/>
      <c r="L2044" s="17" t="str">
        <f>IF(OR(COUNTIF('クラス'!$A$1:$A$1267,$B2044)&gt;0,$B2044="",$M2044=""),"",True)</f>
        <v/>
      </c>
      <c r="M2044" s="1" t="str">
        <f t="shared" si="27"/>
        <v/>
      </c>
      <c r="N2044" s="1" t="s">
        <v>29</v>
      </c>
      <c r="O2044" s="1"/>
      <c r="P2044" s="11"/>
      <c r="Q2044" s="11"/>
      <c r="R2044" s="11"/>
      <c r="S2044" s="11"/>
      <c r="T2044" s="1"/>
      <c r="U2044" s="1"/>
      <c r="V2044" s="1"/>
      <c r="W2044" s="1"/>
      <c r="X2044" s="1"/>
      <c r="Y2044" s="1"/>
      <c r="Z2044" s="1"/>
    </row>
    <row r="2045" ht="18.0" hidden="1" customHeight="1" outlineLevel="2">
      <c r="A2045" s="1">
        <v>4.0</v>
      </c>
      <c r="B2045" s="1"/>
      <c r="C2045" s="1"/>
      <c r="D2045" s="1"/>
      <c r="E2045" s="14"/>
      <c r="F2045" s="15"/>
      <c r="G2045" s="16"/>
      <c r="H2045" s="11"/>
      <c r="I2045" s="7"/>
      <c r="J2045" s="7" t="str">
        <f>IFERROR(LET(_xlpm.v,
VLOOKUP($I2045,'用語辞書'!$A:$B,COLUMN('用語辞書'!B$1),FALSE),
IF(_xlpm.v=0,"",_xlpm.v)
),"")</f>
        <v/>
      </c>
      <c r="K2045" s="17"/>
      <c r="L2045" s="17" t="str">
        <f>IF(OR(COUNTIF('クラス'!$A$1:$A$1267,$B2045)&gt;0,$B2045="",$M2045=""),"",True)</f>
        <v/>
      </c>
      <c r="M2045" s="1" t="str">
        <f t="shared" si="27"/>
        <v>存在しない</v>
      </c>
      <c r="N2045" s="1" t="s">
        <v>29</v>
      </c>
      <c r="O2045" s="1"/>
      <c r="P2045" s="11"/>
      <c r="Q2045" s="11"/>
      <c r="R2045" s="11"/>
      <c r="S2045" s="11"/>
      <c r="T2045" s="1"/>
      <c r="U2045" s="1"/>
      <c r="V2045" s="1"/>
      <c r="W2045" s="1"/>
      <c r="X2045" s="1"/>
      <c r="Y2045" s="1"/>
      <c r="Z2045" s="1"/>
    </row>
    <row r="2046" ht="18.0" hidden="1" customHeight="1" outlineLevel="2">
      <c r="A2046" s="1">
        <v>5.0</v>
      </c>
      <c r="B2046" s="26" t="s">
        <v>2116</v>
      </c>
      <c r="C2046" s="26" t="s">
        <v>2117</v>
      </c>
      <c r="D2046" s="26" t="s">
        <v>2102</v>
      </c>
      <c r="E2046" s="29" t="s">
        <v>33</v>
      </c>
      <c r="F2046" s="15"/>
      <c r="G2046" s="30">
        <v>30.0</v>
      </c>
      <c r="H2046" s="22" t="s">
        <v>2118</v>
      </c>
      <c r="I2046" s="7"/>
      <c r="J2046" s="7" t="str">
        <f>IFERROR(LET(_xlpm.v,
VLOOKUP($I2046,'用語辞書'!$A:$B,COLUMN('用語辞書'!B$1),FALSE),
IF(_xlpm.v=0,"",_xlpm.v)
),"")</f>
        <v/>
      </c>
      <c r="K2046" s="17"/>
      <c r="L2046" s="17" t="str">
        <f>IF(OR(COUNTIF('クラス'!$A$1:$A$1267,$B2046)&gt;0,$B2046="",$M2046=""),"",True)</f>
        <v/>
      </c>
      <c r="M2046" s="1" t="str">
        <f t="shared" si="27"/>
        <v/>
      </c>
      <c r="N2046" s="1" t="s">
        <v>29</v>
      </c>
      <c r="O2046" s="1"/>
      <c r="P2046" s="11"/>
      <c r="Q2046" s="11"/>
      <c r="R2046" s="11"/>
      <c r="S2046" s="11"/>
      <c r="T2046" s="1"/>
      <c r="U2046" s="1"/>
      <c r="V2046" s="1"/>
      <c r="W2046" s="1"/>
      <c r="X2046" s="1"/>
      <c r="Y2046" s="1"/>
      <c r="Z2046" s="1"/>
    </row>
    <row r="2047" ht="18.0" hidden="1" customHeight="1" outlineLevel="2">
      <c r="A2047" s="1">
        <v>6.0</v>
      </c>
      <c r="B2047" s="1"/>
      <c r="C2047" s="1"/>
      <c r="D2047" s="1"/>
      <c r="E2047" s="14"/>
      <c r="F2047" s="15"/>
      <c r="G2047" s="16"/>
      <c r="H2047" s="11"/>
      <c r="I2047" s="7"/>
      <c r="J2047" s="7" t="str">
        <f>IFERROR(LET(_xlpm.v,
VLOOKUP($I2047,'用語辞書'!$A:$B,COLUMN('用語辞書'!B$1),FALSE),
IF(_xlpm.v=0,"",_xlpm.v)
),"")</f>
        <v/>
      </c>
      <c r="K2047" s="17"/>
      <c r="L2047" s="17" t="str">
        <f>IF(OR(COUNTIF('クラス'!$A$1:$A$1267,$B2047)&gt;0,$B2047="",$M2047=""),"",True)</f>
        <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7.0</v>
      </c>
      <c r="B2048" s="26" t="s">
        <v>2155</v>
      </c>
      <c r="C2048" s="1"/>
      <c r="D2048" s="1"/>
      <c r="E2048" s="29" t="s">
        <v>55</v>
      </c>
      <c r="F2048" s="15"/>
      <c r="G2048" s="16"/>
      <c r="H2048" s="31" t="s">
        <v>2156</v>
      </c>
      <c r="I2048" s="7"/>
      <c r="J2048" s="7" t="str">
        <f>IFERROR(LET(_xlpm.v,
VLOOKUP($I2048,'用語辞書'!$A:$B,COLUMN('用語辞書'!B$1),FALSE),
IF(_xlpm.v=0,"",_xlpm.v)
),"")</f>
        <v/>
      </c>
      <c r="K2048" s="17"/>
      <c r="L2048" s="17" t="b">
        <f>IF(OR(COUNTIF('クラス'!$A$1:$A$1267,$B2048)&gt;0,$B2048="",$M2048=""),"",True)</f>
        <v>1</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8.0</v>
      </c>
      <c r="B2049" s="1"/>
      <c r="C2049" s="1"/>
      <c r="D2049" s="1"/>
      <c r="E2049" s="14"/>
      <c r="F2049" s="15"/>
      <c r="G2049" s="16"/>
      <c r="H2049" s="11"/>
      <c r="I2049" s="7"/>
      <c r="J2049" s="7" t="str">
        <f>IFERROR(LET(_xlpm.v,
VLOOKUP($I2049,'用語辞書'!$A:$B,COLUMN('用語辞書'!B$1),FALSE),
IF(_xlpm.v=0,"",_xlpm.v)
),"")</f>
        <v/>
      </c>
      <c r="K2049" s="17"/>
      <c r="L2049" s="17" t="str">
        <f>IF(OR(COUNTIF('クラス'!$A$1:$A$1267,$B2049)&gt;0,$B2049="",$M2049=""),"",True)</f>
        <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9.0</v>
      </c>
      <c r="B2050" s="26" t="s">
        <v>2157</v>
      </c>
      <c r="C2050" s="26" t="s">
        <v>2158</v>
      </c>
      <c r="D2050" s="26" t="s">
        <v>2142</v>
      </c>
      <c r="E2050" s="29" t="s">
        <v>33</v>
      </c>
      <c r="F2050" s="15"/>
      <c r="G2050" s="30">
        <v>60.0</v>
      </c>
      <c r="H2050" s="31" t="s">
        <v>2159</v>
      </c>
      <c r="I2050" s="7"/>
      <c r="J2050" s="7" t="str">
        <f>IFERROR(LET(_xlpm.v,
VLOOKUP($I2050,'用語辞書'!$A:$B,COLUMN('用語辞書'!B$1),FALSE),
IF(_xlpm.v=0,"",_xlpm.v)
),"")</f>
        <v/>
      </c>
      <c r="K2050" s="17"/>
      <c r="L2050" s="17" t="b">
        <f>IF(OR(COUNTIF('クラス'!$A$1:$A$1267,$B2050)&gt;0,$B2050="",$M2050=""),"",True)</f>
        <v>1</v>
      </c>
      <c r="M2050" s="1" t="str">
        <f t="shared" si="27"/>
        <v>存在しない</v>
      </c>
      <c r="N2050" s="1" t="s">
        <v>29</v>
      </c>
      <c r="O2050" s="1"/>
      <c r="P2050" s="11"/>
      <c r="Q2050" s="11"/>
      <c r="R2050" s="11"/>
      <c r="S2050" s="11"/>
      <c r="T2050" s="1"/>
      <c r="U2050" s="1"/>
      <c r="V2050" s="1"/>
      <c r="W2050" s="1"/>
      <c r="X2050" s="1"/>
      <c r="Y2050" s="1"/>
      <c r="Z2050" s="1"/>
    </row>
    <row r="2051" ht="18.0" hidden="1" customHeight="1" outlineLevel="2">
      <c r="A2051" s="1">
        <v>10.0</v>
      </c>
      <c r="B2051" s="26" t="s">
        <v>2151</v>
      </c>
      <c r="C2051" s="1"/>
      <c r="D2051" s="1"/>
      <c r="E2051" s="29" t="s">
        <v>55</v>
      </c>
      <c r="F2051" s="15"/>
      <c r="G2051" s="16"/>
      <c r="H2051" s="22" t="s">
        <v>2160</v>
      </c>
      <c r="I2051" s="7"/>
      <c r="J2051" s="7" t="str">
        <f>IFERROR(LET(_xlpm.v,
VLOOKUP($I2051,'用語辞書'!$A:$B,COLUMN('用語辞書'!B$1),FALSE),
IF(_xlpm.v=0,"",_xlpm.v)
),"")</f>
        <v/>
      </c>
      <c r="K2051" s="17"/>
      <c r="L2051" s="17" t="str">
        <f>IF(OR(COUNTIF('クラス'!$A$1:$A$1267,$B2051)&gt;0,$B2051="",$M2051=""),"",True)</f>
        <v/>
      </c>
      <c r="M2051" s="1" t="str">
        <f t="shared" si="27"/>
        <v/>
      </c>
      <c r="N2051" s="1" t="s">
        <v>29</v>
      </c>
      <c r="O2051" s="1"/>
      <c r="P2051" s="11"/>
      <c r="Q2051" s="11"/>
      <c r="R2051" s="11"/>
      <c r="S2051" s="11"/>
      <c r="T2051" s="1"/>
      <c r="U2051" s="1"/>
      <c r="V2051" s="1"/>
      <c r="W2051" s="1"/>
      <c r="X2051" s="1"/>
      <c r="Y2051" s="1"/>
      <c r="Z2051" s="1"/>
    </row>
    <row r="2052" ht="18.0" customHeight="1" outlineLevel="1" collapsed="1">
      <c r="A2052" s="1"/>
      <c r="B2052" s="1"/>
      <c r="C2052" s="1"/>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customHeight="1" outlineLevel="1">
      <c r="A2053" s="1"/>
      <c r="B2053" s="26" t="s">
        <v>2161</v>
      </c>
      <c r="C2053" s="26" t="s">
        <v>2162</v>
      </c>
      <c r="D2053" s="1"/>
      <c r="E2053" s="14"/>
      <c r="F2053" s="15"/>
      <c r="G2053" s="16"/>
      <c r="H2053" s="11"/>
      <c r="I2053" s="7"/>
      <c r="J2053" s="7" t="str">
        <f>IFERROR(LET(_xlpm.v,
VLOOKUP($I2053,'用語辞書'!$A:$B,COLUMN('用語辞書'!B$1),FALSE),
IF(_xlpm.v=0,"",_xlpm.v)
),"")</f>
        <v/>
      </c>
      <c r="K2053" s="17"/>
      <c r="L2053" s="17" t="str">
        <f>IF(OR(COUNTIF('クラス'!$A$1:$A$1267,$B2053)&gt;0,$B2053="",$M2053=""),"",True)</f>
        <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1.0</v>
      </c>
      <c r="B2054" s="26" t="s">
        <v>2163</v>
      </c>
      <c r="C2054" s="1"/>
      <c r="D2054" s="26" t="s">
        <v>2142</v>
      </c>
      <c r="E2054" s="29" t="s">
        <v>33</v>
      </c>
      <c r="F2054" s="15"/>
      <c r="G2054" s="30">
        <v>60.0</v>
      </c>
      <c r="H2054" s="31" t="s">
        <v>2164</v>
      </c>
      <c r="I2054" s="7"/>
      <c r="J2054" s="7" t="str">
        <f>IFERROR(LET(_xlpm.v,
VLOOKUP($I2054,'用語辞書'!$A:$B,COLUMN('用語辞書'!B$1),FALSE),
IF(_xlpm.v=0,"",_xlpm.v)
),"")</f>
        <v/>
      </c>
      <c r="K2054" s="17"/>
      <c r="L2054" s="17" t="b">
        <f>IF(OR(COUNTIF('クラス'!$A$1:$A$1267,$B2054)&gt;0,$B2054="",$M2054=""),"",True)</f>
        <v>1</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2.0</v>
      </c>
      <c r="B2055" s="1"/>
      <c r="C2055" s="1"/>
      <c r="D2055" s="1"/>
      <c r="E2055" s="14"/>
      <c r="F2055" s="15"/>
      <c r="G2055" s="16"/>
      <c r="H2055" s="11"/>
      <c r="I2055" s="7"/>
      <c r="J2055" s="7" t="str">
        <f>IFERROR(LET(_xlpm.v,
VLOOKUP($I2055,'用語辞書'!$A:$B,COLUMN('用語辞書'!B$1),FALSE),
IF(_xlpm.v=0,"",_xlpm.v)
),"")</f>
        <v/>
      </c>
      <c r="K2055" s="17"/>
      <c r="L2055" s="17" t="str">
        <f>IF(OR(COUNTIF('クラス'!$A$1:$A$1267,$B2055)&gt;0,$B2055="",$M2055=""),"",True)</f>
        <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3.0</v>
      </c>
      <c r="B2056" s="26" t="s">
        <v>2165</v>
      </c>
      <c r="C2056" s="1"/>
      <c r="D2056" s="1"/>
      <c r="E2056" s="29" t="s">
        <v>55</v>
      </c>
      <c r="F2056" s="15"/>
      <c r="G2056" s="16"/>
      <c r="H2056" s="31" t="s">
        <v>2166</v>
      </c>
      <c r="I2056" s="7"/>
      <c r="J2056" s="7" t="str">
        <f>IFERROR(LET(_xlpm.v,
VLOOKUP($I2056,'用語辞書'!$A:$B,COLUMN('用語辞書'!B$1),FALSE),
IF(_xlpm.v=0,"",_xlpm.v)
),"")</f>
        <v/>
      </c>
      <c r="K2056" s="17"/>
      <c r="L2056" s="17" t="b">
        <f>IF(OR(COUNTIF('クラス'!$A$1:$A$1267,$B2056)&gt;0,$B2056="",$M2056=""),"",True)</f>
        <v>1</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4.0</v>
      </c>
      <c r="B2057" s="1"/>
      <c r="C2057" s="1"/>
      <c r="D2057" s="1"/>
      <c r="E2057" s="14"/>
      <c r="F2057" s="15"/>
      <c r="G2057" s="16"/>
      <c r="H2057" s="11"/>
      <c r="I2057" s="7"/>
      <c r="J2057" s="7" t="str">
        <f>IFERROR(LET(_xlpm.v,
VLOOKUP($I2057,'用語辞書'!$A:$B,COLUMN('用語辞書'!B$1),FALSE),
IF(_xlpm.v=0,"",_xlpm.v)
),"")</f>
        <v/>
      </c>
      <c r="K2057" s="17"/>
      <c r="L2057" s="17" t="str">
        <f>IF(OR(COUNTIF('クラス'!$A$1:$A$1267,$B2057)&gt;0,$B2057="",$M2057=""),"",True)</f>
        <v/>
      </c>
      <c r="M2057" s="1" t="str">
        <f t="shared" si="27"/>
        <v>存在しない</v>
      </c>
      <c r="N2057" s="1" t="s">
        <v>29</v>
      </c>
      <c r="O2057" s="1"/>
      <c r="P2057" s="11"/>
      <c r="Q2057" s="11"/>
      <c r="R2057" s="11"/>
      <c r="S2057" s="11"/>
      <c r="T2057" s="1"/>
      <c r="U2057" s="1"/>
      <c r="V2057" s="1"/>
      <c r="W2057" s="1"/>
      <c r="X2057" s="1"/>
      <c r="Y2057" s="1"/>
      <c r="Z2057" s="1"/>
    </row>
    <row r="2058" ht="18.0" hidden="1" customHeight="1" outlineLevel="2">
      <c r="A2058" s="1">
        <v>5.0</v>
      </c>
      <c r="B2058" s="26" t="s">
        <v>2132</v>
      </c>
      <c r="C2058" s="1"/>
      <c r="D2058" s="26" t="s">
        <v>2102</v>
      </c>
      <c r="E2058" s="29" t="s">
        <v>33</v>
      </c>
      <c r="F2058" s="15"/>
      <c r="G2058" s="30">
        <v>30.0</v>
      </c>
      <c r="H2058" s="22" t="s">
        <v>2133</v>
      </c>
      <c r="I2058" s="7"/>
      <c r="J2058" s="7" t="str">
        <f>IFERROR(LET(_xlpm.v,
VLOOKUP($I2058,'用語辞書'!$A:$B,COLUMN('用語辞書'!B$1),FALSE),
IF(_xlpm.v=0,"",_xlpm.v)
),"")</f>
        <v/>
      </c>
      <c r="K2058" s="17"/>
      <c r="L2058" s="17" t="str">
        <f>IF(OR(COUNTIF('クラス'!$A$1:$A$1267,$B2058)&gt;0,$B2058="",$M2058=""),"",True)</f>
        <v/>
      </c>
      <c r="M2058" s="1" t="str">
        <f t="shared" si="27"/>
        <v/>
      </c>
      <c r="N2058" s="1" t="s">
        <v>29</v>
      </c>
      <c r="O2058" s="1"/>
      <c r="P2058" s="11"/>
      <c r="Q2058" s="11"/>
      <c r="R2058" s="11"/>
      <c r="S2058" s="11"/>
      <c r="T2058" s="1"/>
      <c r="U2058" s="1"/>
      <c r="V2058" s="1"/>
      <c r="W2058" s="1"/>
      <c r="X2058" s="1"/>
      <c r="Y2058" s="1"/>
      <c r="Z2058" s="1"/>
    </row>
    <row r="2059" ht="18.0" hidden="1" customHeight="1" outlineLevel="2">
      <c r="A2059" s="1">
        <v>6.0</v>
      </c>
      <c r="B2059" s="1"/>
      <c r="C2059" s="1"/>
      <c r="D2059" s="1"/>
      <c r="E2059" s="14"/>
      <c r="F2059" s="15"/>
      <c r="G2059" s="16"/>
      <c r="H2059" s="11"/>
      <c r="I2059" s="7"/>
      <c r="J2059" s="7" t="str">
        <f>IFERROR(LET(_xlpm.v,
VLOOKUP($I2059,'用語辞書'!$A:$B,COLUMN('用語辞書'!B$1),FALSE),
IF(_xlpm.v=0,"",_xlpm.v)
),"")</f>
        <v/>
      </c>
      <c r="K2059" s="17"/>
      <c r="L2059" s="17" t="str">
        <f>IF(OR(COUNTIF('クラス'!$A$1:$A$1267,$B2059)&gt;0,$B2059="",$M2059=""),"",True)</f>
        <v/>
      </c>
      <c r="M2059" s="1" t="str">
        <f t="shared" si="27"/>
        <v>存在しない</v>
      </c>
      <c r="N2059" s="1" t="s">
        <v>29</v>
      </c>
      <c r="O2059" s="1"/>
      <c r="P2059" s="11"/>
      <c r="Q2059" s="11"/>
      <c r="R2059" s="11"/>
      <c r="S2059" s="11"/>
      <c r="T2059" s="1"/>
      <c r="U2059" s="1"/>
      <c r="V2059" s="1"/>
      <c r="W2059" s="1"/>
      <c r="X2059" s="1"/>
      <c r="Y2059" s="1"/>
      <c r="Z2059" s="1"/>
    </row>
    <row r="2060" ht="18.0" hidden="1" customHeight="1" outlineLevel="2">
      <c r="A2060" s="1">
        <v>7.0</v>
      </c>
      <c r="B2060" s="26" t="s">
        <v>1854</v>
      </c>
      <c r="C2060" s="26" t="s">
        <v>2134</v>
      </c>
      <c r="D2060" s="1"/>
      <c r="E2060" s="29" t="s">
        <v>33</v>
      </c>
      <c r="F2060" s="15"/>
      <c r="G2060" s="30">
        <v>30.0</v>
      </c>
      <c r="H2060" s="22" t="s">
        <v>2135</v>
      </c>
      <c r="I2060" s="7"/>
      <c r="J2060" s="7" t="str">
        <f>IFERROR(LET(_xlpm.v,
VLOOKUP($I2060,'用語辞書'!$A:$B,COLUMN('用語辞書'!B$1),FALSE),
IF(_xlpm.v=0,"",_xlpm.v)
),"")</f>
        <v/>
      </c>
      <c r="K2060" s="17"/>
      <c r="L2060" s="17" t="str">
        <f>IF(OR(COUNTIF('クラス'!$A$1:$A$1267,$B2060)&gt;0,$B2060="",$M2060=""),"",True)</f>
        <v/>
      </c>
      <c r="M2060" s="1" t="str">
        <f t="shared" si="27"/>
        <v/>
      </c>
      <c r="N2060" s="1" t="s">
        <v>29</v>
      </c>
      <c r="O2060" s="1"/>
      <c r="P2060" s="11"/>
      <c r="Q2060" s="11"/>
      <c r="R2060" s="11"/>
      <c r="S2060" s="11"/>
      <c r="T2060" s="1"/>
      <c r="U2060" s="1"/>
      <c r="V2060" s="1"/>
      <c r="W2060" s="1"/>
      <c r="X2060" s="1"/>
      <c r="Y2060" s="1"/>
      <c r="Z2060" s="1"/>
    </row>
    <row r="2061" ht="18.0" hidden="1" customHeight="1" outlineLevel="2">
      <c r="A2061" s="1">
        <v>8.0</v>
      </c>
      <c r="B2061" s="1"/>
      <c r="C2061" s="1"/>
      <c r="D2061" s="1"/>
      <c r="E2061" s="14"/>
      <c r="F2061" s="15"/>
      <c r="G2061" s="16"/>
      <c r="H2061" s="11"/>
      <c r="I2061" s="7"/>
      <c r="J2061" s="7" t="str">
        <f>IFERROR(LET(_xlpm.v,
VLOOKUP($I2061,'用語辞書'!$A:$B,COLUMN('用語辞書'!B$1),FALSE),
IF(_xlpm.v=0,"",_xlpm.v)
),"")</f>
        <v/>
      </c>
      <c r="K2061" s="17"/>
      <c r="L2061" s="17" t="str">
        <f>IF(OR(COUNTIF('クラス'!$A$1:$A$1267,$B2061)&gt;0,$B2061="",$M2061=""),"",True)</f>
        <v/>
      </c>
      <c r="M2061" s="1" t="str">
        <f t="shared" si="27"/>
        <v>存在しない</v>
      </c>
      <c r="N2061" s="1" t="s">
        <v>29</v>
      </c>
      <c r="O2061" s="1"/>
      <c r="P2061" s="11"/>
      <c r="Q2061" s="11"/>
      <c r="R2061" s="11"/>
      <c r="S2061" s="11"/>
      <c r="T2061" s="1"/>
      <c r="U2061" s="1"/>
      <c r="V2061" s="1"/>
      <c r="W2061" s="1"/>
      <c r="X2061" s="1"/>
      <c r="Y2061" s="1"/>
      <c r="Z2061" s="1"/>
    </row>
    <row r="2062" ht="18.0" hidden="1" customHeight="1" outlineLevel="2">
      <c r="A2062" s="1">
        <v>9.0</v>
      </c>
      <c r="B2062" s="26" t="s">
        <v>2136</v>
      </c>
      <c r="C2062" s="1"/>
      <c r="D2062" s="1"/>
      <c r="E2062" s="29" t="s">
        <v>55</v>
      </c>
      <c r="F2062" s="15"/>
      <c r="G2062" s="16"/>
      <c r="H2062" s="22" t="s">
        <v>2137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hidden="1" customHeight="1" outlineLevel="2">
      <c r="A2063" s="1">
        <v>10.0</v>
      </c>
      <c r="B2063" s="26" t="s">
        <v>2162</v>
      </c>
      <c r="C2063" s="1"/>
      <c r="D2063" s="1"/>
      <c r="E2063" s="29" t="s">
        <v>55</v>
      </c>
      <c r="F2063" s="15"/>
      <c r="G2063" s="16"/>
      <c r="H2063" s="22" t="s">
        <v>2167</v>
      </c>
      <c r="I2063" s="7"/>
      <c r="J2063" s="7" t="str">
        <f>IFERROR(LET(_xlpm.v,
VLOOKUP($I2063,'用語辞書'!$A:$B,COLUMN('用語辞書'!B$1),FALSE),
IF(_xlpm.v=0,"",_xlpm.v)
),"")</f>
        <v/>
      </c>
      <c r="K2063" s="17"/>
      <c r="L2063" s="17" t="str">
        <f>IF(OR(COUNTIF('クラス'!$A$1:$A$1267,$B2063)&gt;0,$B2063="",$M2063=""),"",True)</f>
        <v/>
      </c>
      <c r="M2063" s="1" t="str">
        <f t="shared" si="27"/>
        <v/>
      </c>
      <c r="N2063" s="1" t="s">
        <v>29</v>
      </c>
      <c r="O2063" s="1"/>
      <c r="P2063" s="11"/>
      <c r="Q2063" s="11"/>
      <c r="R2063" s="11"/>
      <c r="S2063" s="11"/>
      <c r="T2063" s="1"/>
      <c r="U2063" s="1"/>
      <c r="V2063" s="1"/>
      <c r="W2063" s="1"/>
      <c r="X2063" s="1"/>
      <c r="Y2063" s="1"/>
      <c r="Z2063" s="1"/>
    </row>
    <row r="2064" ht="18.0" customHeight="1" outlineLevel="1" collapsed="1">
      <c r="A2064" s="1"/>
      <c r="B2064" s="1"/>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customHeight="1" outlineLevel="1">
      <c r="A2065" s="1"/>
      <c r="B2065" s="26" t="s">
        <v>2168</v>
      </c>
      <c r="C2065" s="1"/>
      <c r="D2065" s="1"/>
      <c r="E2065" s="14"/>
      <c r="F2065" s="15"/>
      <c r="G2065" s="16"/>
      <c r="H2065" s="11"/>
      <c r="I2065" s="7"/>
      <c r="J2065" s="7" t="str">
        <f>IFERROR(LET(_xlpm.v,
VLOOKUP($I2065,'用語辞書'!$A:$B,COLUMN('用語辞書'!B$1),FALSE),
IF(_xlpm.v=0,"",_xlpm.v)
),"")</f>
        <v/>
      </c>
      <c r="K2065" s="17"/>
      <c r="L2065" s="17" t="str">
        <f>IF(OR(COUNTIF('クラス'!$A$1:$A$1267,$B2065)&gt;0,$B2065="",$M2065=""),"",True)</f>
        <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1.0</v>
      </c>
      <c r="B2066" s="26" t="s">
        <v>2169</v>
      </c>
      <c r="C2066" s="26" t="s">
        <v>29</v>
      </c>
      <c r="D2066" s="26" t="s">
        <v>29</v>
      </c>
      <c r="E2066" s="29" t="s">
        <v>33</v>
      </c>
      <c r="F2066" s="34" t="s">
        <v>29</v>
      </c>
      <c r="G2066" s="30">
        <v>60.0</v>
      </c>
      <c r="H2066" s="22" t="s">
        <v>2170</v>
      </c>
      <c r="I2066" s="7"/>
      <c r="J2066" s="7" t="str">
        <f>IFERROR(LET(_xlpm.v,
VLOOKUP($I2066,'用語辞書'!$A:$B,COLUMN('用語辞書'!B$1),FALSE),
IF(_xlpm.v=0,"",_xlpm.v)
),"")</f>
        <v/>
      </c>
      <c r="K2066" s="17"/>
      <c r="L2066" s="17" t="b">
        <f>IF(OR(COUNTIF('クラス'!$A$1:$A$1267,$B2066)&gt;0,$B2066="",$M2066=""),"",True)</f>
        <v>1</v>
      </c>
      <c r="M2066" s="1" t="str">
        <f t="shared" si="27"/>
        <v>存在しない</v>
      </c>
      <c r="N2066" s="1" t="s">
        <v>29</v>
      </c>
      <c r="O2066" s="1"/>
      <c r="P2066" s="11"/>
      <c r="Q2066" s="11"/>
      <c r="R2066" s="11"/>
      <c r="S2066" s="11"/>
      <c r="T2066" s="1"/>
      <c r="U2066" s="1"/>
      <c r="V2066" s="1"/>
      <c r="W2066" s="1"/>
      <c r="X2066" s="1"/>
      <c r="Y2066" s="1"/>
      <c r="Z2066" s="1"/>
    </row>
    <row r="2067" ht="18.0" hidden="1" customHeight="1" outlineLevel="2">
      <c r="A2067" s="1">
        <v>2.0</v>
      </c>
      <c r="B2067" s="26" t="s">
        <v>29</v>
      </c>
      <c r="C2067" s="1"/>
      <c r="D2067" s="1"/>
      <c r="E2067" s="14"/>
      <c r="F2067" s="15"/>
      <c r="G2067" s="16"/>
      <c r="H2067" s="11"/>
      <c r="I2067" s="7"/>
      <c r="J2067" s="7" t="str">
        <f>IFERROR(LET(_xlpm.v,
VLOOKUP($I2067,'用語辞書'!$A:$B,COLUMN('用語辞書'!B$1),FALSE),
IF(_xlpm.v=0,"",_xlpm.v)
),"")</f>
        <v/>
      </c>
      <c r="K2067" s="17"/>
      <c r="L2067" s="17" t="str">
        <f>IF(OR(COUNTIF('クラス'!$A$1:$A$1267,$B2067)&gt;0,$B2067="",$M2067=""),"",True)</f>
        <v/>
      </c>
      <c r="M2067" s="1" t="str">
        <f t="shared" si="27"/>
        <v/>
      </c>
      <c r="N2067" s="1" t="s">
        <v>29</v>
      </c>
      <c r="O2067" s="1"/>
      <c r="P2067" s="11"/>
      <c r="Q2067" s="11"/>
      <c r="R2067" s="11"/>
      <c r="S2067" s="11"/>
      <c r="T2067" s="1"/>
      <c r="U2067" s="1"/>
      <c r="V2067" s="1"/>
      <c r="W2067" s="1"/>
      <c r="X2067" s="1"/>
      <c r="Y2067" s="1"/>
      <c r="Z2067" s="1"/>
    </row>
    <row r="2068" ht="18.0" hidden="1" customHeight="1" outlineLevel="2">
      <c r="A2068" s="1">
        <v>3.0</v>
      </c>
      <c r="B2068" s="26" t="s">
        <v>2171</v>
      </c>
      <c r="C2068" s="26" t="s">
        <v>29</v>
      </c>
      <c r="D2068" s="26" t="s">
        <v>29</v>
      </c>
      <c r="E2068" s="29" t="s">
        <v>55</v>
      </c>
      <c r="F2068" s="34" t="s">
        <v>29</v>
      </c>
      <c r="G2068" s="30" t="s">
        <v>29</v>
      </c>
      <c r="H2068" s="22" t="s">
        <v>2172</v>
      </c>
      <c r="I2068" s="7"/>
      <c r="J2068" s="7" t="str">
        <f>IFERROR(LET(_xlpm.v,
VLOOKUP($I2068,'用語辞書'!$A:$B,COLUMN('用語辞書'!B$1),FALSE),
IF(_xlpm.v=0,"",_xlpm.v)
),"")</f>
        <v/>
      </c>
      <c r="K2068" s="17"/>
      <c r="L2068" s="17" t="b">
        <f>IF(OR(COUNTIF('クラス'!$A$1:$A$1267,$B2068)&gt;0,$B2068="",$M2068=""),"",True)</f>
        <v>1</v>
      </c>
      <c r="M2068" s="1" t="str">
        <f t="shared" si="27"/>
        <v>存在しない</v>
      </c>
      <c r="N2068" s="1" t="s">
        <v>29</v>
      </c>
      <c r="O2068" s="1"/>
      <c r="P2068" s="11"/>
      <c r="Q2068" s="11"/>
      <c r="R2068" s="11"/>
      <c r="S2068" s="11"/>
      <c r="T2068" s="1"/>
      <c r="U2068" s="1"/>
      <c r="V2068" s="1"/>
      <c r="W2068" s="1"/>
      <c r="X2068" s="1"/>
      <c r="Y2068" s="1"/>
      <c r="Z2068" s="1"/>
    </row>
    <row r="2069" ht="18.0" hidden="1" customHeight="1" outlineLevel="2">
      <c r="A2069" s="1">
        <v>4.0</v>
      </c>
      <c r="B2069" s="26" t="s">
        <v>29</v>
      </c>
      <c r="C2069" s="1"/>
      <c r="D2069" s="1"/>
      <c r="E2069" s="14"/>
      <c r="F2069" s="15"/>
      <c r="G2069" s="16"/>
      <c r="H2069" s="11"/>
      <c r="I2069" s="7"/>
      <c r="J2069" s="7" t="str">
        <f>IFERROR(LET(_xlpm.v,
VLOOKUP($I2069,'用語辞書'!$A:$B,COLUMN('用語辞書'!B$1),FALSE),
IF(_xlpm.v=0,"",_xlpm.v)
),"")</f>
        <v/>
      </c>
      <c r="K2069" s="17"/>
      <c r="L2069" s="17" t="str">
        <f>IF(OR(COUNTIF('クラス'!$A$1:$A$1267,$B2069)&gt;0,$B2069="",$M2069=""),"",True)</f>
        <v/>
      </c>
      <c r="M2069" s="1" t="str">
        <f t="shared" si="27"/>
        <v/>
      </c>
      <c r="N2069" s="1" t="s">
        <v>29</v>
      </c>
      <c r="O2069" s="1"/>
      <c r="P2069" s="11"/>
      <c r="Q2069" s="11"/>
      <c r="R2069" s="11"/>
      <c r="S2069" s="11"/>
      <c r="T2069" s="1"/>
      <c r="U2069" s="1"/>
      <c r="V2069" s="1"/>
      <c r="W2069" s="1"/>
      <c r="X2069" s="1"/>
      <c r="Y2069" s="1"/>
      <c r="Z2069" s="1"/>
    </row>
    <row r="2070" ht="18.0" hidden="1" customHeight="1" outlineLevel="2">
      <c r="A2070" s="1">
        <v>5.0</v>
      </c>
      <c r="B2070" s="26" t="s">
        <v>2173</v>
      </c>
      <c r="C2070" s="26" t="s">
        <v>29</v>
      </c>
      <c r="D2070" s="26" t="s">
        <v>29</v>
      </c>
      <c r="E2070" s="29" t="s">
        <v>33</v>
      </c>
      <c r="F2070" s="34" t="s">
        <v>29</v>
      </c>
      <c r="G2070" s="30">
        <v>60.0</v>
      </c>
      <c r="H2070" s="22" t="s">
        <v>2174</v>
      </c>
      <c r="I2070" s="7"/>
      <c r="J2070" s="7" t="str">
        <f>IFERROR(LET(_xlpm.v,
VLOOKUP($I2070,'用語辞書'!$A:$B,COLUMN('用語辞書'!B$1),FALSE),
IF(_xlpm.v=0,"",_xlpm.v)
),"")</f>
        <v/>
      </c>
      <c r="K2070" s="17"/>
      <c r="L2070" s="17" t="b">
        <f>IF(OR(COUNTIF('クラス'!$A$1:$A$1267,$B2070)&gt;0,$B2070="",$M2070=""),"",True)</f>
        <v>1</v>
      </c>
      <c r="M2070" s="1" t="str">
        <f t="shared" si="27"/>
        <v>存在しない</v>
      </c>
      <c r="N2070" s="1" t="s">
        <v>29</v>
      </c>
      <c r="O2070" s="1"/>
      <c r="P2070" s="11"/>
      <c r="Q2070" s="11"/>
      <c r="R2070" s="11"/>
      <c r="S2070" s="11"/>
      <c r="T2070" s="1"/>
      <c r="U2070" s="1"/>
      <c r="V2070" s="1"/>
      <c r="W2070" s="1"/>
      <c r="X2070" s="1"/>
      <c r="Y2070" s="1"/>
      <c r="Z2070" s="1"/>
    </row>
    <row r="2071" ht="18.0" hidden="1" customHeight="1" outlineLevel="2">
      <c r="A2071" s="1">
        <v>6.0</v>
      </c>
      <c r="B2071" s="26" t="s">
        <v>29</v>
      </c>
      <c r="C2071" s="1"/>
      <c r="D2071" s="1"/>
      <c r="E2071" s="14"/>
      <c r="F2071" s="15"/>
      <c r="G2071" s="16"/>
      <c r="H2071" s="11"/>
      <c r="I2071" s="7"/>
      <c r="J2071" s="7" t="str">
        <f>IFERROR(LET(_xlpm.v,
VLOOKUP($I2071,'用語辞書'!$A:$B,COLUMN('用語辞書'!B$1),FALSE),
IF(_xlpm.v=0,"",_xlpm.v)
),"")</f>
        <v/>
      </c>
      <c r="K2071" s="17"/>
      <c r="L2071" s="17" t="str">
        <f>IF(OR(COUNTIF('クラス'!$A$1:$A$1267,$B2071)&gt;0,$B2071="",$M2071=""),"",True)</f>
        <v/>
      </c>
      <c r="M2071" s="1" t="str">
        <f t="shared" si="27"/>
        <v/>
      </c>
      <c r="N2071" s="1" t="s">
        <v>29</v>
      </c>
      <c r="O2071" s="1"/>
      <c r="P2071" s="11"/>
      <c r="Q2071" s="11"/>
      <c r="R2071" s="11"/>
      <c r="S2071" s="11"/>
      <c r="T2071" s="1"/>
      <c r="U2071" s="1"/>
      <c r="V2071" s="1"/>
      <c r="W2071" s="1"/>
      <c r="X2071" s="1"/>
      <c r="Y2071" s="1"/>
      <c r="Z2071" s="1"/>
    </row>
    <row r="2072" ht="18.0" hidden="1" customHeight="1" outlineLevel="2">
      <c r="A2072" s="1">
        <v>7.0</v>
      </c>
      <c r="B2072" s="26" t="s">
        <v>2175</v>
      </c>
      <c r="C2072" s="26" t="s">
        <v>29</v>
      </c>
      <c r="D2072" s="26" t="s">
        <v>29</v>
      </c>
      <c r="E2072" s="29" t="s">
        <v>33</v>
      </c>
      <c r="F2072" s="34" t="s">
        <v>29</v>
      </c>
      <c r="G2072" s="30">
        <v>60.0</v>
      </c>
      <c r="H2072" s="22" t="s">
        <v>2176</v>
      </c>
      <c r="I2072" s="7"/>
      <c r="J2072" s="7" t="str">
        <f>IFERROR(LET(_xlpm.v,
VLOOKUP($I2072,'用語辞書'!$A:$B,COLUMN('用語辞書'!B$1),FALSE),
IF(_xlpm.v=0,"",_xlpm.v)
),"")</f>
        <v/>
      </c>
      <c r="K2072" s="17"/>
      <c r="L2072" s="17" t="b">
        <f>IF(OR(COUNTIF('クラス'!$A$1:$A$1267,$B2072)&gt;0,$B2072="",$M2072=""),"",True)</f>
        <v>1</v>
      </c>
      <c r="M2072" s="1" t="str">
        <f t="shared" si="27"/>
        <v>存在しない</v>
      </c>
      <c r="N2072" s="1" t="s">
        <v>29</v>
      </c>
      <c r="O2072" s="1"/>
      <c r="P2072" s="11"/>
      <c r="Q2072" s="11"/>
      <c r="R2072" s="11"/>
      <c r="S2072" s="11"/>
      <c r="T2072" s="1"/>
      <c r="U2072" s="1"/>
      <c r="V2072" s="1"/>
      <c r="W2072" s="1"/>
      <c r="X2072" s="1"/>
      <c r="Y2072" s="1"/>
      <c r="Z2072" s="1"/>
    </row>
    <row r="2073" ht="18.0" hidden="1" customHeight="1" outlineLevel="2">
      <c r="A2073" s="1">
        <v>8.0</v>
      </c>
      <c r="B2073" s="26" t="s">
        <v>29</v>
      </c>
      <c r="C2073" s="1"/>
      <c r="D2073" s="1"/>
      <c r="E2073" s="14"/>
      <c r="F2073" s="15"/>
      <c r="G2073" s="16"/>
      <c r="H2073" s="11"/>
      <c r="I2073" s="7"/>
      <c r="J2073" s="7" t="str">
        <f>IFERROR(LET(_xlpm.v,
VLOOKUP($I2073,'用語辞書'!$A:$B,COLUMN('用語辞書'!B$1),FALSE),
IF(_xlpm.v=0,"",_xlpm.v)
),"")</f>
        <v/>
      </c>
      <c r="K2073" s="17"/>
      <c r="L2073" s="17" t="str">
        <f>IF(OR(COUNTIF('クラス'!$A$1:$A$1267,$B2073)&gt;0,$B2073="",$M2073=""),"",True)</f>
        <v/>
      </c>
      <c r="M2073" s="1" t="str">
        <f t="shared" si="27"/>
        <v/>
      </c>
      <c r="N2073" s="1" t="s">
        <v>29</v>
      </c>
      <c r="O2073" s="1"/>
      <c r="P2073" s="11"/>
      <c r="Q2073" s="11"/>
      <c r="R2073" s="11"/>
      <c r="S2073" s="11"/>
      <c r="T2073" s="1"/>
      <c r="U2073" s="1"/>
      <c r="V2073" s="1"/>
      <c r="W2073" s="1"/>
      <c r="X2073" s="1"/>
      <c r="Y2073" s="1"/>
      <c r="Z2073" s="1"/>
    </row>
    <row r="2074" ht="18.0" hidden="1" customHeight="1" outlineLevel="2">
      <c r="A2074" s="1">
        <v>9.0</v>
      </c>
      <c r="B2074" s="26" t="s">
        <v>2177</v>
      </c>
      <c r="C2074" s="26" t="s">
        <v>29</v>
      </c>
      <c r="D2074" s="26" t="s">
        <v>29</v>
      </c>
      <c r="E2074" s="29" t="s">
        <v>55</v>
      </c>
      <c r="F2074" s="34" t="s">
        <v>29</v>
      </c>
      <c r="G2074" s="30" t="s">
        <v>29</v>
      </c>
      <c r="H2074" s="31" t="s">
        <v>2178</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hidden="1" customHeight="1" outlineLevel="2">
      <c r="A2075" s="1">
        <v>10.0</v>
      </c>
      <c r="B2075" s="26" t="s">
        <v>2179</v>
      </c>
      <c r="C2075" s="26" t="s">
        <v>29</v>
      </c>
      <c r="D2075" s="26" t="s">
        <v>29</v>
      </c>
      <c r="E2075" s="29" t="s">
        <v>33</v>
      </c>
      <c r="F2075" s="34" t="s">
        <v>29</v>
      </c>
      <c r="G2075" s="30">
        <v>60.0</v>
      </c>
      <c r="H2075" s="22" t="s">
        <v>2180</v>
      </c>
      <c r="I2075" s="7"/>
      <c r="J2075" s="7" t="str">
        <f>IFERROR(LET(_xlpm.v,
VLOOKUP($I2075,'用語辞書'!$A:$B,COLUMN('用語辞書'!B$1),FALSE),
IF(_xlpm.v=0,"",_xlpm.v)
),"")</f>
        <v/>
      </c>
      <c r="K2075" s="17"/>
      <c r="L2075" s="17" t="b">
        <f>IF(OR(COUNTIF('クラス'!$A$1:$A$1267,$B2075)&gt;0,$B2075="",$M2075=""),"",True)</f>
        <v>1</v>
      </c>
      <c r="M2075" s="1" t="str">
        <f t="shared" si="27"/>
        <v>存在しない</v>
      </c>
      <c r="N2075" s="1" t="s">
        <v>29</v>
      </c>
      <c r="O2075" s="1"/>
      <c r="P2075" s="11"/>
      <c r="Q2075" s="11"/>
      <c r="R2075" s="11"/>
      <c r="S2075" s="11"/>
      <c r="T2075" s="1"/>
      <c r="U2075" s="1"/>
      <c r="V2075" s="1"/>
      <c r="W2075" s="1"/>
      <c r="X2075" s="1"/>
      <c r="Y2075" s="1"/>
      <c r="Z2075" s="1"/>
    </row>
    <row r="2076" ht="18.0" customHeight="1" outlineLevel="1" collapsed="1">
      <c r="A2076" s="1"/>
      <c r="B2076" s="1"/>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customHeight="1" outlineLevel="1">
      <c r="A2077" s="1"/>
      <c r="B2077" s="26" t="s">
        <v>2181</v>
      </c>
      <c r="C2077" s="1"/>
      <c r="D2077" s="1"/>
      <c r="E2077" s="14"/>
      <c r="F2077" s="15"/>
      <c r="G2077" s="16"/>
      <c r="H2077" s="11"/>
      <c r="I2077" s="7"/>
      <c r="J2077" s="7" t="str">
        <f>IFERROR(LET(_xlpm.v,
VLOOKUP($I2077,'用語辞書'!$A:$B,COLUMN('用語辞書'!B$1),FALSE),
IF(_xlpm.v=0,"",_xlpm.v)
),"")</f>
        <v/>
      </c>
      <c r="K2077" s="17"/>
      <c r="L2077" s="17" t="str">
        <f>IF(OR(COUNTIF('クラス'!$A$1:$A$1267,$B2077)&gt;0,$B2077="",$M2077=""),"",True)</f>
        <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1.0</v>
      </c>
      <c r="B2078" s="26" t="s">
        <v>2182</v>
      </c>
      <c r="C2078" s="26" t="s">
        <v>29</v>
      </c>
      <c r="D2078" s="26" t="s">
        <v>29</v>
      </c>
      <c r="E2078" s="29" t="s">
        <v>33</v>
      </c>
      <c r="F2078" s="34" t="s">
        <v>29</v>
      </c>
      <c r="G2078" s="30">
        <v>30.0</v>
      </c>
      <c r="H2078" s="22" t="s">
        <v>2183</v>
      </c>
      <c r="I2078" s="7"/>
      <c r="J2078" s="7" t="str">
        <f>IFERROR(LET(_xlpm.v,
VLOOKUP($I2078,'用語辞書'!$A:$B,COLUMN('用語辞書'!B$1),FALSE),
IF(_xlpm.v=0,"",_xlpm.v)
),"")</f>
        <v/>
      </c>
      <c r="K2078" s="17"/>
      <c r="L2078" s="17" t="b">
        <f>IF(OR(COUNTIF('クラス'!$A$1:$A$1267,$B2078)&gt;0,$B2078="",$M2078=""),"",True)</f>
        <v>1</v>
      </c>
      <c r="M2078" s="1" t="str">
        <f t="shared" si="27"/>
        <v>存在しない</v>
      </c>
      <c r="N2078" s="1" t="s">
        <v>29</v>
      </c>
      <c r="O2078" s="1"/>
      <c r="P2078" s="11"/>
      <c r="Q2078" s="11"/>
      <c r="R2078" s="11"/>
      <c r="S2078" s="11"/>
      <c r="T2078" s="1"/>
      <c r="U2078" s="1"/>
      <c r="V2078" s="1"/>
      <c r="W2078" s="1"/>
      <c r="X2078" s="1"/>
      <c r="Y2078" s="1"/>
      <c r="Z2078" s="1"/>
    </row>
    <row r="2079" ht="18.0" hidden="1" customHeight="1" outlineLevel="2">
      <c r="A2079" s="1">
        <v>2.0</v>
      </c>
      <c r="B2079" s="26" t="s">
        <v>29</v>
      </c>
      <c r="C2079" s="1"/>
      <c r="D2079" s="1"/>
      <c r="E2079" s="14"/>
      <c r="F2079" s="15"/>
      <c r="G2079" s="16"/>
      <c r="H2079" s="11"/>
      <c r="I2079" s="7"/>
      <c r="J2079" s="7" t="str">
        <f>IFERROR(LET(_xlpm.v,
VLOOKUP($I2079,'用語辞書'!$A:$B,COLUMN('用語辞書'!B$1),FALSE),
IF(_xlpm.v=0,"",_xlpm.v)
),"")</f>
        <v/>
      </c>
      <c r="K2079" s="17"/>
      <c r="L2079" s="17" t="str">
        <f>IF(OR(COUNTIF('クラス'!$A$1:$A$1267,$B2079)&gt;0,$B2079="",$M2079=""),"",True)</f>
        <v/>
      </c>
      <c r="M2079" s="1" t="str">
        <f t="shared" si="27"/>
        <v/>
      </c>
      <c r="N2079" s="1" t="s">
        <v>29</v>
      </c>
      <c r="O2079" s="1"/>
      <c r="P2079" s="11"/>
      <c r="Q2079" s="11"/>
      <c r="R2079" s="11"/>
      <c r="S2079" s="11"/>
      <c r="T2079" s="1"/>
      <c r="U2079" s="1"/>
      <c r="V2079" s="1"/>
      <c r="W2079" s="1"/>
      <c r="X2079" s="1"/>
      <c r="Y2079" s="1"/>
      <c r="Z2079" s="1"/>
    </row>
    <row r="2080" ht="18.0" hidden="1" customHeight="1" outlineLevel="2">
      <c r="A2080" s="1">
        <v>3.0</v>
      </c>
      <c r="B2080" s="26" t="s">
        <v>2184</v>
      </c>
      <c r="C2080" s="26" t="s">
        <v>29</v>
      </c>
      <c r="D2080" s="26" t="s">
        <v>29</v>
      </c>
      <c r="E2080" s="29" t="s">
        <v>55</v>
      </c>
      <c r="F2080" s="34" t="s">
        <v>29</v>
      </c>
      <c r="G2080" s="30" t="s">
        <v>29</v>
      </c>
      <c r="H2080" s="22" t="s">
        <v>2185</v>
      </c>
      <c r="I2080" s="7"/>
      <c r="J2080" s="7" t="str">
        <f>IFERROR(LET(_xlpm.v,
VLOOKUP($I2080,'用語辞書'!$A:$B,COLUMN('用語辞書'!B$1),FALSE),
IF(_xlpm.v=0,"",_xlpm.v)
),"")</f>
        <v/>
      </c>
      <c r="K2080" s="17"/>
      <c r="L2080" s="17" t="b">
        <f>IF(OR(COUNTIF('クラス'!$A$1:$A$1267,$B2080)&gt;0,$B2080="",$M2080=""),"",True)</f>
        <v>1</v>
      </c>
      <c r="M2080" s="1" t="str">
        <f t="shared" si="27"/>
        <v>存在しない</v>
      </c>
      <c r="N2080" s="1" t="s">
        <v>29</v>
      </c>
      <c r="O2080" s="1"/>
      <c r="P2080" s="11"/>
      <c r="Q2080" s="11"/>
      <c r="R2080" s="11"/>
      <c r="S2080" s="11"/>
      <c r="T2080" s="1"/>
      <c r="U2080" s="1"/>
      <c r="V2080" s="1"/>
      <c r="W2080" s="1"/>
      <c r="X2080" s="1"/>
      <c r="Y2080" s="1"/>
      <c r="Z2080" s="1"/>
    </row>
    <row r="2081" ht="18.0" hidden="1" customHeight="1" outlineLevel="2">
      <c r="A2081" s="1">
        <v>4.0</v>
      </c>
      <c r="B2081" s="26" t="s">
        <v>29</v>
      </c>
      <c r="C2081" s="1"/>
      <c r="D2081" s="1"/>
      <c r="E2081" s="14"/>
      <c r="F2081" s="15"/>
      <c r="G2081" s="16"/>
      <c r="H2081" s="11"/>
      <c r="I2081" s="7"/>
      <c r="J2081" s="7" t="str">
        <f>IFERROR(LET(_xlpm.v,
VLOOKUP($I2081,'用語辞書'!$A:$B,COLUMN('用語辞書'!B$1),FALSE),
IF(_xlpm.v=0,"",_xlpm.v)
),"")</f>
        <v/>
      </c>
      <c r="K2081" s="17"/>
      <c r="L2081" s="17" t="str">
        <f>IF(OR(COUNTIF('クラス'!$A$1:$A$1267,$B2081)&gt;0,$B2081="",$M2081=""),"",True)</f>
        <v/>
      </c>
      <c r="M2081" s="1" t="str">
        <f t="shared" si="27"/>
        <v/>
      </c>
      <c r="N2081" s="1" t="s">
        <v>29</v>
      </c>
      <c r="O2081" s="1"/>
      <c r="P2081" s="11"/>
      <c r="Q2081" s="11"/>
      <c r="R2081" s="11"/>
      <c r="S2081" s="11"/>
      <c r="T2081" s="1"/>
      <c r="U2081" s="1"/>
      <c r="V2081" s="1"/>
      <c r="W2081" s="1"/>
      <c r="X2081" s="1"/>
      <c r="Y2081" s="1"/>
      <c r="Z2081" s="1"/>
    </row>
    <row r="2082" ht="18.0" hidden="1" customHeight="1" outlineLevel="2">
      <c r="A2082" s="1">
        <v>5.0</v>
      </c>
      <c r="B2082" s="26" t="s">
        <v>2186</v>
      </c>
      <c r="C2082" s="26" t="s">
        <v>29</v>
      </c>
      <c r="D2082" s="26" t="s">
        <v>29</v>
      </c>
      <c r="E2082" s="29" t="s">
        <v>33</v>
      </c>
      <c r="F2082" s="34" t="s">
        <v>29</v>
      </c>
      <c r="G2082" s="30">
        <v>40.0</v>
      </c>
      <c r="H2082" s="22" t="s">
        <v>2187</v>
      </c>
      <c r="I2082" s="7"/>
      <c r="J2082" s="7" t="str">
        <f>IFERROR(LET(_xlpm.v,
VLOOKUP($I2082,'用語辞書'!$A:$B,COLUMN('用語辞書'!B$1),FALSE),
IF(_xlpm.v=0,"",_xlpm.v)
),"")</f>
        <v/>
      </c>
      <c r="K2082" s="17"/>
      <c r="L2082" s="17" t="b">
        <f>IF(OR(COUNTIF('クラス'!$A$1:$A$1267,$B2082)&gt;0,$B2082="",$M2082=""),"",True)</f>
        <v>1</v>
      </c>
      <c r="M2082" s="1" t="str">
        <f t="shared" si="27"/>
        <v>存在しない</v>
      </c>
      <c r="N2082" s="1" t="s">
        <v>29</v>
      </c>
      <c r="O2082" s="1"/>
      <c r="P2082" s="11"/>
      <c r="Q2082" s="11"/>
      <c r="R2082" s="11"/>
      <c r="S2082" s="11"/>
      <c r="T2082" s="1"/>
      <c r="U2082" s="1"/>
      <c r="V2082" s="1"/>
      <c r="W2082" s="1"/>
      <c r="X2082" s="1"/>
      <c r="Y2082" s="1"/>
      <c r="Z2082" s="1"/>
    </row>
    <row r="2083" ht="18.0" hidden="1" customHeight="1" outlineLevel="2">
      <c r="A2083" s="1">
        <v>6.0</v>
      </c>
      <c r="B2083" s="26" t="s">
        <v>29</v>
      </c>
      <c r="C2083" s="1"/>
      <c r="D2083" s="1"/>
      <c r="E2083" s="14"/>
      <c r="F2083" s="15"/>
      <c r="G2083" s="16"/>
      <c r="H2083" s="11"/>
      <c r="I2083" s="7"/>
      <c r="J2083" s="7" t="str">
        <f>IFERROR(LET(_xlpm.v,
VLOOKUP($I2083,'用語辞書'!$A:$B,COLUMN('用語辞書'!B$1),FALSE),
IF(_xlpm.v=0,"",_xlpm.v)
),"")</f>
        <v/>
      </c>
      <c r="K2083" s="17"/>
      <c r="L2083" s="17" t="str">
        <f>IF(OR(COUNTIF('クラス'!$A$1:$A$1267,$B2083)&gt;0,$B2083="",$M2083=""),"",True)</f>
        <v/>
      </c>
      <c r="M2083" s="1" t="str">
        <f t="shared" si="27"/>
        <v/>
      </c>
      <c r="N2083" s="1" t="s">
        <v>29</v>
      </c>
      <c r="O2083" s="1"/>
      <c r="P2083" s="11"/>
      <c r="Q2083" s="11"/>
      <c r="R2083" s="11"/>
      <c r="S2083" s="11"/>
      <c r="T2083" s="1"/>
      <c r="U2083" s="1"/>
      <c r="V2083" s="1"/>
      <c r="W2083" s="1"/>
      <c r="X2083" s="1"/>
      <c r="Y2083" s="1"/>
      <c r="Z2083" s="1"/>
    </row>
    <row r="2084" ht="18.0" hidden="1" customHeight="1" outlineLevel="2">
      <c r="A2084" s="1">
        <v>7.0</v>
      </c>
      <c r="B2084" s="26" t="s">
        <v>2188</v>
      </c>
      <c r="C2084" s="26" t="s">
        <v>29</v>
      </c>
      <c r="D2084" s="26" t="s">
        <v>29</v>
      </c>
      <c r="E2084" s="29" t="s">
        <v>33</v>
      </c>
      <c r="F2084" s="34" t="s">
        <v>29</v>
      </c>
      <c r="G2084" s="30">
        <v>30.0</v>
      </c>
      <c r="H2084" s="22" t="s">
        <v>2189</v>
      </c>
      <c r="I2084" s="7"/>
      <c r="J2084" s="7" t="str">
        <f>IFERROR(LET(_xlpm.v,
VLOOKUP($I2084,'用語辞書'!$A:$B,COLUMN('用語辞書'!B$1),FALSE),
IF(_xlpm.v=0,"",_xlpm.v)
),"")</f>
        <v/>
      </c>
      <c r="K2084" s="17"/>
      <c r="L2084" s="17" t="b">
        <f>IF(OR(COUNTIF('クラス'!$A$1:$A$1267,$B2084)&gt;0,$B2084="",$M2084=""),"",True)</f>
        <v>1</v>
      </c>
      <c r="M2084" s="1" t="str">
        <f t="shared" si="27"/>
        <v>存在しない</v>
      </c>
      <c r="N2084" s="1" t="s">
        <v>29</v>
      </c>
      <c r="O2084" s="1"/>
      <c r="P2084" s="11"/>
      <c r="Q2084" s="11"/>
      <c r="R2084" s="11"/>
      <c r="S2084" s="11"/>
      <c r="T2084" s="1"/>
      <c r="U2084" s="1"/>
      <c r="V2084" s="1"/>
      <c r="W2084" s="1"/>
      <c r="X2084" s="1"/>
      <c r="Y2084" s="1"/>
      <c r="Z2084" s="1"/>
    </row>
    <row r="2085" ht="18.0" hidden="1" customHeight="1" outlineLevel="2">
      <c r="A2085" s="1">
        <v>8.0</v>
      </c>
      <c r="B2085" s="26" t="s">
        <v>29</v>
      </c>
      <c r="C2085" s="1"/>
      <c r="D2085" s="1"/>
      <c r="E2085" s="14"/>
      <c r="F2085" s="15"/>
      <c r="G2085" s="16"/>
      <c r="H2085" s="11"/>
      <c r="I2085" s="7"/>
      <c r="J2085" s="7" t="str">
        <f>IFERROR(LET(_xlpm.v,
VLOOKUP($I2085,'用語辞書'!$A:$B,COLUMN('用語辞書'!B$1),FALSE),
IF(_xlpm.v=0,"",_xlpm.v)
),"")</f>
        <v/>
      </c>
      <c r="K2085" s="17"/>
      <c r="L2085" s="17" t="str">
        <f>IF(OR(COUNTIF('クラス'!$A$1:$A$1267,$B2085)&gt;0,$B2085="",$M2085=""),"",True)</f>
        <v/>
      </c>
      <c r="M2085" s="1" t="str">
        <f t="shared" si="27"/>
        <v/>
      </c>
      <c r="N2085" s="1" t="s">
        <v>29</v>
      </c>
      <c r="O2085" s="1"/>
      <c r="P2085" s="11"/>
      <c r="Q2085" s="11"/>
      <c r="R2085" s="11"/>
      <c r="S2085" s="11"/>
      <c r="T2085" s="1"/>
      <c r="U2085" s="1"/>
      <c r="V2085" s="1"/>
      <c r="W2085" s="1"/>
      <c r="X2085" s="1"/>
      <c r="Y2085" s="1"/>
      <c r="Z2085" s="1"/>
    </row>
    <row r="2086" ht="18.0" hidden="1" customHeight="1" outlineLevel="2">
      <c r="A2086" s="1">
        <v>9.0</v>
      </c>
      <c r="B2086" s="26" t="s">
        <v>2190</v>
      </c>
      <c r="C2086" s="26" t="s">
        <v>29</v>
      </c>
      <c r="D2086" s="26" t="s">
        <v>29</v>
      </c>
      <c r="E2086" s="29" t="s">
        <v>55</v>
      </c>
      <c r="F2086" s="34" t="s">
        <v>29</v>
      </c>
      <c r="G2086" s="30" t="s">
        <v>29</v>
      </c>
      <c r="H2086" s="22" t="s">
        <v>2191</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hidden="1" customHeight="1" outlineLevel="2">
      <c r="A2087" s="1">
        <v>10.0</v>
      </c>
      <c r="B2087" s="26" t="s">
        <v>2192</v>
      </c>
      <c r="C2087" s="26" t="s">
        <v>29</v>
      </c>
      <c r="D2087" s="26" t="s">
        <v>29</v>
      </c>
      <c r="E2087" s="29" t="s">
        <v>33</v>
      </c>
      <c r="F2087" s="34" t="s">
        <v>29</v>
      </c>
      <c r="G2087" s="30">
        <v>60.0</v>
      </c>
      <c r="H2087" s="22" t="s">
        <v>2193</v>
      </c>
      <c r="I2087" s="7"/>
      <c r="J2087" s="7" t="str">
        <f>IFERROR(LET(_xlpm.v,
VLOOKUP($I2087,'用語辞書'!$A:$B,COLUMN('用語辞書'!B$1),FALSE),
IF(_xlpm.v=0,"",_xlpm.v)
),"")</f>
        <v/>
      </c>
      <c r="K2087" s="17"/>
      <c r="L2087" s="17" t="b">
        <f>IF(OR(COUNTIF('クラス'!$A$1:$A$1267,$B2087)&gt;0,$B2087="",$M2087=""),"",True)</f>
        <v>1</v>
      </c>
      <c r="M2087" s="1" t="str">
        <f t="shared" si="27"/>
        <v>存在しない</v>
      </c>
      <c r="N2087" s="1" t="s">
        <v>29</v>
      </c>
      <c r="O2087" s="1"/>
      <c r="P2087" s="11"/>
      <c r="Q2087" s="11"/>
      <c r="R2087" s="11"/>
      <c r="S2087" s="11"/>
      <c r="T2087" s="1"/>
      <c r="U2087" s="1"/>
      <c r="V2087" s="1"/>
      <c r="W2087" s="1"/>
      <c r="X2087" s="1"/>
      <c r="Y2087" s="1"/>
      <c r="Z2087" s="1"/>
    </row>
    <row r="2088" ht="18.0" customHeight="1">
      <c r="A2088" s="1"/>
      <c r="B2088" s="1"/>
      <c r="C2088" s="26" t="s">
        <v>2194</v>
      </c>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customHeight="1" outlineLevel="1">
      <c r="A2089" s="1"/>
      <c r="B2089" s="26" t="s">
        <v>2195</v>
      </c>
      <c r="C2089" s="1"/>
      <c r="D2089" s="1"/>
      <c r="E2089" s="14"/>
      <c r="F2089" s="15"/>
      <c r="G2089" s="16"/>
      <c r="H2089" s="11"/>
      <c r="I2089" s="7"/>
      <c r="J2089" s="7" t="str">
        <f>IFERROR(LET(_xlpm.v,
VLOOKUP($I2089,'用語辞書'!$A:$B,COLUMN('用語辞書'!B$1),FALSE),
IF(_xlpm.v=0,"",_xlpm.v)
),"")</f>
        <v/>
      </c>
      <c r="K2089" s="17"/>
      <c r="L2089" s="17" t="str">
        <f>IF(OR(COUNTIF('クラス'!$A$1:$A$1267,$B2089)&gt;0,$B2089="",$M2089=""),"",True)</f>
        <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1.0</v>
      </c>
      <c r="B2090" s="26" t="s">
        <v>2196</v>
      </c>
      <c r="C2090" s="1"/>
      <c r="D2090" s="26" t="s">
        <v>284</v>
      </c>
      <c r="E2090" s="29" t="s">
        <v>33</v>
      </c>
      <c r="F2090" s="15"/>
      <c r="G2090" s="30">
        <v>60.0</v>
      </c>
      <c r="H2090" s="22" t="s">
        <v>2197</v>
      </c>
      <c r="I2090" s="7"/>
      <c r="J2090" s="7" t="str">
        <f>IFERROR(LET(_xlpm.v,
VLOOKUP($I2090,'用語辞書'!$A:$B,COLUMN('用語辞書'!B$1),FALSE),
IF(_xlpm.v=0,"",_xlpm.v)
),"")</f>
        <v/>
      </c>
      <c r="K2090" s="17"/>
      <c r="L2090" s="17" t="b">
        <f>IF(OR(COUNTIF('クラス'!$A$1:$A$1267,$B2090)&gt;0,$B2090="",$M2090=""),"",True)</f>
        <v>1</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2.0</v>
      </c>
      <c r="B2091" s="1"/>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存在しない</v>
      </c>
      <c r="N2091" s="1" t="s">
        <v>29</v>
      </c>
      <c r="O2091" s="1"/>
      <c r="P2091" s="11"/>
      <c r="Q2091" s="11"/>
      <c r="R2091" s="11"/>
      <c r="S2091" s="11"/>
      <c r="T2091" s="1"/>
      <c r="U2091" s="1"/>
      <c r="V2091" s="1"/>
      <c r="W2091" s="1"/>
      <c r="X2091" s="1"/>
      <c r="Y2091" s="1"/>
      <c r="Z2091" s="1"/>
    </row>
    <row r="2092" ht="18.0" hidden="1" customHeight="1" outlineLevel="2">
      <c r="A2092" s="1">
        <v>3.0</v>
      </c>
      <c r="B2092" s="26" t="s">
        <v>282</v>
      </c>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
      </c>
      <c r="N2092" s="1" t="s">
        <v>29</v>
      </c>
      <c r="O2092" s="1"/>
      <c r="P2092" s="11"/>
      <c r="Q2092" s="11"/>
      <c r="R2092" s="11"/>
      <c r="S2092" s="11"/>
      <c r="T2092" s="1"/>
      <c r="U2092" s="1"/>
      <c r="V2092" s="1"/>
      <c r="W2092" s="1"/>
      <c r="X2092" s="1"/>
      <c r="Y2092" s="1"/>
      <c r="Z2092" s="1"/>
    </row>
    <row r="2093" ht="18.0" hidden="1" customHeight="1" outlineLevel="2">
      <c r="A2093" s="1">
        <v>4.0</v>
      </c>
      <c r="B2093" s="1"/>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存在しない</v>
      </c>
      <c r="N2093" s="1" t="s">
        <v>29</v>
      </c>
      <c r="O2093" s="1"/>
      <c r="P2093" s="11"/>
      <c r="Q2093" s="11"/>
      <c r="R2093" s="11"/>
      <c r="S2093" s="11"/>
      <c r="T2093" s="1"/>
      <c r="U2093" s="1"/>
      <c r="V2093" s="1"/>
      <c r="W2093" s="1"/>
      <c r="X2093" s="1"/>
      <c r="Y2093" s="1"/>
      <c r="Z2093" s="1"/>
    </row>
    <row r="2094" ht="18.0" hidden="1" customHeight="1" outlineLevel="2">
      <c r="A2094" s="1">
        <v>5.0</v>
      </c>
      <c r="B2094" s="26" t="s">
        <v>2198</v>
      </c>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
      </c>
      <c r="N2094" s="1" t="s">
        <v>29</v>
      </c>
      <c r="O2094" s="1"/>
      <c r="P2094" s="11"/>
      <c r="Q2094" s="11"/>
      <c r="R2094" s="11"/>
      <c r="S2094" s="11"/>
      <c r="T2094" s="1"/>
      <c r="U2094" s="1"/>
      <c r="V2094" s="1"/>
      <c r="W2094" s="1"/>
      <c r="X2094" s="1"/>
      <c r="Y2094" s="1"/>
      <c r="Z2094" s="1"/>
    </row>
    <row r="2095" ht="18.0" hidden="1" customHeight="1" outlineLevel="2">
      <c r="A2095" s="1">
        <v>6.0</v>
      </c>
      <c r="B2095" s="1"/>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存在しない</v>
      </c>
      <c r="N2095" s="1" t="s">
        <v>29</v>
      </c>
      <c r="O2095" s="1"/>
      <c r="P2095" s="11"/>
      <c r="Q2095" s="11"/>
      <c r="R2095" s="11"/>
      <c r="S2095" s="11"/>
      <c r="T2095" s="1"/>
      <c r="U2095" s="1"/>
      <c r="V2095" s="1"/>
      <c r="W2095" s="1"/>
      <c r="X2095" s="1"/>
      <c r="Y2095" s="1"/>
      <c r="Z2095" s="1"/>
    </row>
    <row r="2096" ht="18.0" hidden="1" customHeight="1" outlineLevel="2">
      <c r="A2096" s="1">
        <v>7.0</v>
      </c>
      <c r="B2096" s="26" t="s">
        <v>297</v>
      </c>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
      </c>
      <c r="N2096" s="1" t="s">
        <v>29</v>
      </c>
      <c r="O2096" s="1"/>
      <c r="P2096" s="11"/>
      <c r="Q2096" s="11"/>
      <c r="R2096" s="11"/>
      <c r="S2096" s="11"/>
      <c r="T2096" s="1"/>
      <c r="U2096" s="1"/>
      <c r="V2096" s="1"/>
      <c r="W2096" s="1"/>
      <c r="X2096" s="1"/>
      <c r="Y2096" s="1"/>
      <c r="Z2096" s="1"/>
    </row>
    <row r="2097" ht="18.0" hidden="1" customHeight="1" outlineLevel="2">
      <c r="A2097" s="1">
        <v>8.0</v>
      </c>
      <c r="B2097" s="1"/>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存在しない</v>
      </c>
      <c r="N2097" s="1" t="s">
        <v>29</v>
      </c>
      <c r="O2097" s="1"/>
      <c r="P2097" s="11"/>
      <c r="Q2097" s="11"/>
      <c r="R2097" s="11"/>
      <c r="S2097" s="11"/>
      <c r="T2097" s="1"/>
      <c r="U2097" s="1"/>
      <c r="V2097" s="1"/>
      <c r="W2097" s="1"/>
      <c r="X2097" s="1"/>
      <c r="Y2097" s="1"/>
      <c r="Z2097" s="1"/>
    </row>
    <row r="2098" ht="18.0" hidden="1" customHeight="1" outlineLevel="2">
      <c r="A2098" s="1">
        <v>9.0</v>
      </c>
      <c r="B2098" s="26" t="s">
        <v>2199</v>
      </c>
      <c r="C2098" s="1"/>
      <c r="D2098" s="1"/>
      <c r="E2098" s="14"/>
      <c r="F2098" s="15"/>
      <c r="G2098" s="16"/>
      <c r="H2098" s="11"/>
      <c r="I2098" s="7"/>
      <c r="J2098" s="7" t="str">
        <f>IFERROR(LET(_xlpm.v,
VLOOKUP($I2098,'用語辞書'!$A:$B,COLUMN('用語辞書'!B$1),FALSE),
IF(_xlpm.v=0,"",_xlpm.v)
),"")</f>
        <v/>
      </c>
      <c r="K2098" s="17"/>
      <c r="L2098" s="17" t="str">
        <f>IF(OR(COUNTIF('クラス'!$A$1:$A$1267,$B2098)&gt;0,$B2098="",$M2098=""),"",True)</f>
        <v/>
      </c>
      <c r="M2098" s="1" t="str">
        <f t="shared" si="27"/>
        <v/>
      </c>
      <c r="N2098" s="1" t="s">
        <v>29</v>
      </c>
      <c r="O2098" s="1"/>
      <c r="P2098" s="11"/>
      <c r="Q2098" s="11"/>
      <c r="R2098" s="11"/>
      <c r="S2098" s="11"/>
      <c r="T2098" s="1"/>
      <c r="U2098" s="1"/>
      <c r="V2098" s="1"/>
      <c r="W2098" s="1"/>
      <c r="X2098" s="1"/>
      <c r="Y2098" s="1"/>
      <c r="Z2098" s="1"/>
    </row>
    <row r="2099" ht="18.0" hidden="1" customHeight="1" outlineLevel="2">
      <c r="A2099" s="1">
        <v>10.0</v>
      </c>
      <c r="B2099" s="26" t="s">
        <v>2200</v>
      </c>
      <c r="C2099" s="1"/>
      <c r="D2099" s="26" t="s">
        <v>284</v>
      </c>
      <c r="E2099" s="29" t="s">
        <v>33</v>
      </c>
      <c r="F2099" s="15"/>
      <c r="G2099" s="30">
        <v>60.0</v>
      </c>
      <c r="H2099" s="22" t="s">
        <v>2201</v>
      </c>
      <c r="I2099" s="7"/>
      <c r="J2099" s="7" t="str">
        <f>IFERROR(LET(_xlpm.v,
VLOOKUP($I2099,'用語辞書'!$A:$B,COLUMN('用語辞書'!B$1),FALSE),
IF(_xlpm.v=0,"",_xlpm.v)
),"")</f>
        <v/>
      </c>
      <c r="K2099" s="17"/>
      <c r="L2099" s="17" t="b">
        <f>IF(OR(COUNTIF('クラス'!$A$1:$A$1267,$B2099)&gt;0,$B2099="",$M2099=""),"",True)</f>
        <v>1</v>
      </c>
      <c r="M2099" s="1" t="str">
        <f t="shared" si="27"/>
        <v>存在しない</v>
      </c>
      <c r="N2099" s="1" t="s">
        <v>29</v>
      </c>
      <c r="O2099" s="1"/>
      <c r="P2099" s="11"/>
      <c r="Q2099" s="11"/>
      <c r="R2099" s="11"/>
      <c r="S2099" s="11"/>
      <c r="T2099" s="1"/>
      <c r="U2099" s="1"/>
      <c r="V2099" s="1"/>
      <c r="W2099" s="1"/>
      <c r="X2099" s="1"/>
      <c r="Y2099" s="1"/>
      <c r="Z2099" s="1"/>
    </row>
    <row r="2100" ht="18.0" customHeight="1" outlineLevel="1" collapsed="1">
      <c r="A2100" s="1"/>
      <c r="B2100" s="1"/>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customHeight="1" outlineLevel="1">
      <c r="A2101" s="1"/>
      <c r="B2101" s="26" t="s">
        <v>2202</v>
      </c>
      <c r="C2101" s="1"/>
      <c r="D2101" s="1"/>
      <c r="E2101" s="14"/>
      <c r="F2101" s="15"/>
      <c r="G2101" s="16"/>
      <c r="H2101" s="11"/>
      <c r="I2101" s="7"/>
      <c r="J2101" s="7" t="str">
        <f>IFERROR(LET(_xlpm.v,
VLOOKUP($I2101,'用語辞書'!$A:$B,COLUMN('用語辞書'!B$1),FALSE),
IF(_xlpm.v=0,"",_xlpm.v)
),"")</f>
        <v/>
      </c>
      <c r="K2101" s="17"/>
      <c r="L2101" s="17" t="str">
        <f>IF(OR(COUNTIF('クラス'!$A$1:$A$1267,$B2101)&gt;0,$B2101="",$M2101=""),"",True)</f>
        <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1.0</v>
      </c>
      <c r="B2102" s="26" t="s">
        <v>2203</v>
      </c>
      <c r="C2102" s="1"/>
      <c r="D2102" s="26" t="s">
        <v>370</v>
      </c>
      <c r="E2102" s="29" t="s">
        <v>33</v>
      </c>
      <c r="F2102" s="15"/>
      <c r="G2102" s="30">
        <v>60.0</v>
      </c>
      <c r="H2102" s="22" t="s">
        <v>2204</v>
      </c>
      <c r="I2102" s="7"/>
      <c r="J2102" s="7" t="str">
        <f>IFERROR(LET(_xlpm.v,
VLOOKUP($I2102,'用語辞書'!$A:$B,COLUMN('用語辞書'!B$1),FALSE),
IF(_xlpm.v=0,"",_xlpm.v)
),"")</f>
        <v/>
      </c>
      <c r="K2102" s="17"/>
      <c r="L2102" s="17" t="b">
        <f>IF(OR(COUNTIF('クラス'!$A$1:$A$1267,$B2102)&gt;0,$B2102="",$M2102=""),"",True)</f>
        <v>1</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2.0</v>
      </c>
      <c r="B2103" s="1"/>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存在しない</v>
      </c>
      <c r="N2103" s="1" t="s">
        <v>29</v>
      </c>
      <c r="O2103" s="1"/>
      <c r="P2103" s="11"/>
      <c r="Q2103" s="11"/>
      <c r="R2103" s="11"/>
      <c r="S2103" s="11"/>
      <c r="T2103" s="1"/>
      <c r="U2103" s="1"/>
      <c r="V2103" s="1"/>
      <c r="W2103" s="1"/>
      <c r="X2103" s="1"/>
      <c r="Y2103" s="1"/>
      <c r="Z2103" s="1"/>
    </row>
    <row r="2104" ht="18.0" hidden="1" customHeight="1" outlineLevel="2">
      <c r="A2104" s="1">
        <v>3.0</v>
      </c>
      <c r="B2104" s="26" t="s">
        <v>372</v>
      </c>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
      </c>
      <c r="N2104" s="1" t="s">
        <v>29</v>
      </c>
      <c r="O2104" s="1"/>
      <c r="P2104" s="11"/>
      <c r="Q2104" s="11"/>
      <c r="R2104" s="11"/>
      <c r="S2104" s="11"/>
      <c r="T2104" s="1"/>
      <c r="U2104" s="1"/>
      <c r="V2104" s="1"/>
      <c r="W2104" s="1"/>
      <c r="X2104" s="1"/>
      <c r="Y2104" s="1"/>
      <c r="Z2104" s="1"/>
    </row>
    <row r="2105" ht="18.0" hidden="1" customHeight="1" outlineLevel="2">
      <c r="A2105" s="1">
        <v>4.0</v>
      </c>
      <c r="B2105" s="1"/>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存在しない</v>
      </c>
      <c r="N2105" s="1" t="s">
        <v>29</v>
      </c>
      <c r="O2105" s="1"/>
      <c r="P2105" s="11"/>
      <c r="Q2105" s="11"/>
      <c r="R2105" s="11"/>
      <c r="S2105" s="11"/>
      <c r="T2105" s="1"/>
      <c r="U2105" s="1"/>
      <c r="V2105" s="1"/>
      <c r="W2105" s="1"/>
      <c r="X2105" s="1"/>
      <c r="Y2105" s="1"/>
      <c r="Z2105" s="1"/>
    </row>
    <row r="2106" ht="18.0" hidden="1" customHeight="1" outlineLevel="2">
      <c r="A2106" s="1">
        <v>5.0</v>
      </c>
      <c r="B2106" s="26" t="s">
        <v>2205</v>
      </c>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
      </c>
      <c r="N2106" s="1" t="s">
        <v>29</v>
      </c>
      <c r="O2106" s="1"/>
      <c r="P2106" s="11"/>
      <c r="Q2106" s="11"/>
      <c r="R2106" s="11"/>
      <c r="S2106" s="11"/>
      <c r="T2106" s="1"/>
      <c r="U2106" s="1"/>
      <c r="V2106" s="1"/>
      <c r="W2106" s="1"/>
      <c r="X2106" s="1"/>
      <c r="Y2106" s="1"/>
      <c r="Z2106" s="1"/>
    </row>
    <row r="2107" ht="18.0" hidden="1" customHeight="1" outlineLevel="2">
      <c r="A2107" s="1">
        <v>6.0</v>
      </c>
      <c r="B2107" s="1"/>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存在しない</v>
      </c>
      <c r="N2107" s="1" t="s">
        <v>29</v>
      </c>
      <c r="O2107" s="1"/>
      <c r="P2107" s="11"/>
      <c r="Q2107" s="11"/>
      <c r="R2107" s="11"/>
      <c r="S2107" s="11"/>
      <c r="T2107" s="1"/>
      <c r="U2107" s="1"/>
      <c r="V2107" s="1"/>
      <c r="W2107" s="1"/>
      <c r="X2107" s="1"/>
      <c r="Y2107" s="1"/>
      <c r="Z2107" s="1"/>
    </row>
    <row r="2108" ht="18.0" hidden="1" customHeight="1" outlineLevel="2">
      <c r="A2108" s="1">
        <v>7.0</v>
      </c>
      <c r="B2108" s="26" t="s">
        <v>388</v>
      </c>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
      </c>
      <c r="N2108" s="1" t="s">
        <v>29</v>
      </c>
      <c r="O2108" s="1"/>
      <c r="P2108" s="11"/>
      <c r="Q2108" s="11"/>
      <c r="R2108" s="11"/>
      <c r="S2108" s="11"/>
      <c r="T2108" s="1"/>
      <c r="U2108" s="1"/>
      <c r="V2108" s="1"/>
      <c r="W2108" s="1"/>
      <c r="X2108" s="1"/>
      <c r="Y2108" s="1"/>
      <c r="Z2108" s="1"/>
    </row>
    <row r="2109" ht="18.0" hidden="1" customHeight="1" outlineLevel="2">
      <c r="A2109" s="1">
        <v>8.0</v>
      </c>
      <c r="B2109" s="1"/>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存在しない</v>
      </c>
      <c r="N2109" s="1" t="s">
        <v>29</v>
      </c>
      <c r="O2109" s="1"/>
      <c r="P2109" s="11"/>
      <c r="Q2109" s="11"/>
      <c r="R2109" s="11"/>
      <c r="S2109" s="11"/>
      <c r="T2109" s="1"/>
      <c r="U2109" s="1"/>
      <c r="V2109" s="1"/>
      <c r="W2109" s="1"/>
      <c r="X2109" s="1"/>
      <c r="Y2109" s="1"/>
      <c r="Z2109" s="1"/>
    </row>
    <row r="2110" ht="18.0" hidden="1" customHeight="1" outlineLevel="2">
      <c r="A2110" s="1">
        <v>9.0</v>
      </c>
      <c r="B2110" s="26" t="s">
        <v>2206</v>
      </c>
      <c r="C2110" s="1"/>
      <c r="D2110" s="1"/>
      <c r="E2110" s="14"/>
      <c r="F2110" s="15"/>
      <c r="G2110" s="16"/>
      <c r="H2110" s="11"/>
      <c r="I2110" s="7"/>
      <c r="J2110" s="7" t="str">
        <f>IFERROR(LET(_xlpm.v,
VLOOKUP($I2110,'用語辞書'!$A:$B,COLUMN('用語辞書'!B$1),FALSE),
IF(_xlpm.v=0,"",_xlpm.v)
),"")</f>
        <v/>
      </c>
      <c r="K2110" s="17"/>
      <c r="L2110" s="17" t="str">
        <f>IF(OR(COUNTIF('クラス'!$A$1:$A$1267,$B2110)&gt;0,$B2110="",$M2110=""),"",True)</f>
        <v/>
      </c>
      <c r="M2110" s="1" t="str">
        <f t="shared" si="27"/>
        <v/>
      </c>
      <c r="N2110" s="1" t="s">
        <v>29</v>
      </c>
      <c r="O2110" s="1"/>
      <c r="P2110" s="11"/>
      <c r="Q2110" s="11"/>
      <c r="R2110" s="11"/>
      <c r="S2110" s="11"/>
      <c r="T2110" s="1"/>
      <c r="U2110" s="1"/>
      <c r="V2110" s="1"/>
      <c r="W2110" s="1"/>
      <c r="X2110" s="1"/>
      <c r="Y2110" s="1"/>
      <c r="Z2110" s="1"/>
    </row>
    <row r="2111" ht="18.0" hidden="1" customHeight="1" outlineLevel="2">
      <c r="A2111" s="1">
        <v>10.0</v>
      </c>
      <c r="B2111" s="26" t="s">
        <v>2207</v>
      </c>
      <c r="C2111" s="1"/>
      <c r="D2111" s="26" t="s">
        <v>370</v>
      </c>
      <c r="E2111" s="29" t="s">
        <v>33</v>
      </c>
      <c r="F2111" s="15"/>
      <c r="G2111" s="30">
        <v>60.0</v>
      </c>
      <c r="H2111" s="22" t="s">
        <v>2208</v>
      </c>
      <c r="I2111" s="7"/>
      <c r="J2111" s="7" t="str">
        <f>IFERROR(LET(_xlpm.v,
VLOOKUP($I2111,'用語辞書'!$A:$B,COLUMN('用語辞書'!B$1),FALSE),
IF(_xlpm.v=0,"",_xlpm.v)
),"")</f>
        <v/>
      </c>
      <c r="K2111" s="17"/>
      <c r="L2111" s="17" t="b">
        <f>IF(OR(COUNTIF('クラス'!$A$1:$A$1267,$B2111)&gt;0,$B2111="",$M2111=""),"",True)</f>
        <v>1</v>
      </c>
      <c r="M2111" s="1" t="str">
        <f t="shared" si="27"/>
        <v>存在しない</v>
      </c>
      <c r="N2111" s="1" t="s">
        <v>29</v>
      </c>
      <c r="O2111" s="1"/>
      <c r="P2111" s="11"/>
      <c r="Q2111" s="11"/>
      <c r="R2111" s="11"/>
      <c r="S2111" s="11"/>
      <c r="T2111" s="1"/>
      <c r="U2111" s="1"/>
      <c r="V2111" s="1"/>
      <c r="W2111" s="1"/>
      <c r="X2111" s="1"/>
      <c r="Y2111" s="1"/>
      <c r="Z2111" s="1"/>
    </row>
    <row r="2112" ht="18.0" customHeight="1" outlineLevel="1" collapsed="1">
      <c r="A2112" s="1"/>
      <c r="B2112" s="1"/>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customHeight="1" outlineLevel="1">
      <c r="A2113" s="1"/>
      <c r="B2113" s="26" t="s">
        <v>2209</v>
      </c>
      <c r="C2113" s="1"/>
      <c r="D2113" s="1"/>
      <c r="E2113" s="14"/>
      <c r="F2113" s="15"/>
      <c r="G2113" s="16"/>
      <c r="H2113" s="11"/>
      <c r="I2113" s="7"/>
      <c r="J2113" s="7" t="str">
        <f>IFERROR(LET(_xlpm.v,
VLOOKUP($I2113,'用語辞書'!$A:$B,COLUMN('用語辞書'!B$1),FALSE),
IF(_xlpm.v=0,"",_xlpm.v)
),"")</f>
        <v/>
      </c>
      <c r="K2113" s="17"/>
      <c r="L2113" s="17" t="str">
        <f>IF(OR(COUNTIF('クラス'!$A$1:$A$1267,$B2113)&gt;0,$B2113="",$M2113=""),"",True)</f>
        <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1.0</v>
      </c>
      <c r="B2114" s="26" t="s">
        <v>2210</v>
      </c>
      <c r="C2114" s="1"/>
      <c r="D2114" s="26" t="s">
        <v>518</v>
      </c>
      <c r="E2114" s="29" t="s">
        <v>33</v>
      </c>
      <c r="F2114" s="15"/>
      <c r="G2114" s="30">
        <v>60.0</v>
      </c>
      <c r="H2114" s="22" t="s">
        <v>2211</v>
      </c>
      <c r="I2114" s="7"/>
      <c r="J2114" s="7" t="str">
        <f>IFERROR(LET(_xlpm.v,
VLOOKUP($I2114,'用語辞書'!$A:$B,COLUMN('用語辞書'!B$1),FALSE),
IF(_xlpm.v=0,"",_xlpm.v)
),"")</f>
        <v/>
      </c>
      <c r="K2114" s="17"/>
      <c r="L2114" s="17" t="b">
        <f>IF(OR(COUNTIF('クラス'!$A$1:$A$1267,$B2114)&gt;0,$B2114="",$M2114=""),"",True)</f>
        <v>1</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2.0</v>
      </c>
      <c r="B2115" s="1"/>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存在しない</v>
      </c>
      <c r="N2115" s="1" t="s">
        <v>29</v>
      </c>
      <c r="O2115" s="1"/>
      <c r="P2115" s="11"/>
      <c r="Q2115" s="11"/>
      <c r="R2115" s="11"/>
      <c r="S2115" s="11"/>
      <c r="T2115" s="1"/>
      <c r="U2115" s="1"/>
      <c r="V2115" s="1"/>
      <c r="W2115" s="1"/>
      <c r="X2115" s="1"/>
      <c r="Y2115" s="1"/>
      <c r="Z2115" s="1"/>
    </row>
    <row r="2116" ht="18.0" hidden="1" customHeight="1" outlineLevel="2">
      <c r="A2116" s="1">
        <v>3.0</v>
      </c>
      <c r="B2116" s="26" t="s">
        <v>516</v>
      </c>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
      </c>
      <c r="N2116" s="1" t="s">
        <v>29</v>
      </c>
      <c r="O2116" s="1"/>
      <c r="P2116" s="11"/>
      <c r="Q2116" s="11"/>
      <c r="R2116" s="11"/>
      <c r="S2116" s="11"/>
      <c r="T2116" s="1"/>
      <c r="U2116" s="1"/>
      <c r="V2116" s="1"/>
      <c r="W2116" s="1"/>
      <c r="X2116" s="1"/>
      <c r="Y2116" s="1"/>
      <c r="Z2116" s="1"/>
    </row>
    <row r="2117" ht="18.0" hidden="1" customHeight="1" outlineLevel="2">
      <c r="A2117" s="1">
        <v>4.0</v>
      </c>
      <c r="B2117" s="1"/>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存在しない</v>
      </c>
      <c r="N2117" s="1" t="s">
        <v>29</v>
      </c>
      <c r="O2117" s="1"/>
      <c r="P2117" s="11"/>
      <c r="Q2117" s="11"/>
      <c r="R2117" s="11"/>
      <c r="S2117" s="11"/>
      <c r="T2117" s="1"/>
      <c r="U2117" s="1"/>
      <c r="V2117" s="1"/>
      <c r="W2117" s="1"/>
      <c r="X2117" s="1"/>
      <c r="Y2117" s="1"/>
      <c r="Z2117" s="1"/>
    </row>
    <row r="2118" ht="18.0" hidden="1" customHeight="1" outlineLevel="2">
      <c r="A2118" s="1">
        <v>5.0</v>
      </c>
      <c r="B2118" s="26" t="s">
        <v>2212</v>
      </c>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
      </c>
      <c r="N2118" s="1" t="s">
        <v>29</v>
      </c>
      <c r="O2118" s="1"/>
      <c r="P2118" s="11"/>
      <c r="Q2118" s="11"/>
      <c r="R2118" s="11"/>
      <c r="S2118" s="11"/>
      <c r="T2118" s="1"/>
      <c r="U2118" s="1"/>
      <c r="V2118" s="1"/>
      <c r="W2118" s="1"/>
      <c r="X2118" s="1"/>
      <c r="Y2118" s="1"/>
      <c r="Z2118" s="1"/>
    </row>
    <row r="2119" ht="18.0" hidden="1" customHeight="1" outlineLevel="2">
      <c r="A2119" s="1">
        <v>6.0</v>
      </c>
      <c r="B2119" s="1"/>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存在しない</v>
      </c>
      <c r="N2119" s="1" t="s">
        <v>29</v>
      </c>
      <c r="O2119" s="1"/>
      <c r="P2119" s="11"/>
      <c r="Q2119" s="11"/>
      <c r="R2119" s="11"/>
      <c r="S2119" s="11"/>
      <c r="T2119" s="1"/>
      <c r="U2119" s="1"/>
      <c r="V2119" s="1"/>
      <c r="W2119" s="1"/>
      <c r="X2119" s="1"/>
      <c r="Y2119" s="1"/>
      <c r="Z2119" s="1"/>
    </row>
    <row r="2120" ht="18.0" hidden="1" customHeight="1" outlineLevel="2">
      <c r="A2120" s="1">
        <v>7.0</v>
      </c>
      <c r="B2120" s="26" t="s">
        <v>526</v>
      </c>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
      </c>
      <c r="N2120" s="1" t="s">
        <v>29</v>
      </c>
      <c r="O2120" s="1"/>
      <c r="P2120" s="11"/>
      <c r="Q2120" s="11"/>
      <c r="R2120" s="11"/>
      <c r="S2120" s="11"/>
      <c r="T2120" s="1"/>
      <c r="U2120" s="1"/>
      <c r="V2120" s="1"/>
      <c r="W2120" s="1"/>
      <c r="X2120" s="1"/>
      <c r="Y2120" s="1"/>
      <c r="Z2120" s="1"/>
    </row>
    <row r="2121" ht="18.0" hidden="1" customHeight="1" outlineLevel="2">
      <c r="A2121" s="1">
        <v>8.0</v>
      </c>
      <c r="B2121" s="1"/>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存在しない</v>
      </c>
      <c r="N2121" s="1" t="s">
        <v>29</v>
      </c>
      <c r="O2121" s="1"/>
      <c r="P2121" s="11"/>
      <c r="Q2121" s="11"/>
      <c r="R2121" s="11"/>
      <c r="S2121" s="11"/>
      <c r="T2121" s="1"/>
      <c r="U2121" s="1"/>
      <c r="V2121" s="1"/>
      <c r="W2121" s="1"/>
      <c r="X2121" s="1"/>
      <c r="Y2121" s="1"/>
      <c r="Z2121" s="1"/>
    </row>
    <row r="2122" ht="18.0" hidden="1" customHeight="1" outlineLevel="2">
      <c r="A2122" s="1">
        <v>9.0</v>
      </c>
      <c r="B2122" s="26" t="s">
        <v>2213</v>
      </c>
      <c r="C2122" s="1"/>
      <c r="D2122" s="1"/>
      <c r="E2122" s="14"/>
      <c r="F2122" s="15"/>
      <c r="G2122" s="16"/>
      <c r="H2122" s="11"/>
      <c r="I2122" s="7"/>
      <c r="J2122" s="7" t="str">
        <f>IFERROR(LET(_xlpm.v,
VLOOKUP($I2122,'用語辞書'!$A:$B,COLUMN('用語辞書'!B$1),FALSE),
IF(_xlpm.v=0,"",_xlpm.v)
),"")</f>
        <v/>
      </c>
      <c r="K2122" s="17"/>
      <c r="L2122" s="17" t="str">
        <f>IF(OR(COUNTIF('クラス'!$A$1:$A$1267,$B2122)&gt;0,$B2122="",$M2122=""),"",True)</f>
        <v/>
      </c>
      <c r="M2122" s="1" t="str">
        <f t="shared" si="27"/>
        <v/>
      </c>
      <c r="N2122" s="1" t="s">
        <v>29</v>
      </c>
      <c r="O2122" s="1"/>
      <c r="P2122" s="11"/>
      <c r="Q2122" s="11"/>
      <c r="R2122" s="11"/>
      <c r="S2122" s="11"/>
      <c r="T2122" s="1"/>
      <c r="U2122" s="1"/>
      <c r="V2122" s="1"/>
      <c r="W2122" s="1"/>
      <c r="X2122" s="1"/>
      <c r="Y2122" s="1"/>
      <c r="Z2122" s="1"/>
    </row>
    <row r="2123" ht="18.0" hidden="1" customHeight="1" outlineLevel="2">
      <c r="A2123" s="1">
        <v>10.0</v>
      </c>
      <c r="B2123" s="26" t="s">
        <v>2214</v>
      </c>
      <c r="C2123" s="1"/>
      <c r="D2123" s="26" t="s">
        <v>518</v>
      </c>
      <c r="E2123" s="29" t="s">
        <v>33</v>
      </c>
      <c r="F2123" s="15"/>
      <c r="G2123" s="30">
        <v>60.0</v>
      </c>
      <c r="H2123" s="22" t="s">
        <v>2215</v>
      </c>
      <c r="I2123" s="7"/>
      <c r="J2123" s="7" t="str">
        <f>IFERROR(LET(_xlpm.v,
VLOOKUP($I2123,'用語辞書'!$A:$B,COLUMN('用語辞書'!B$1),FALSE),
IF(_xlpm.v=0,"",_xlpm.v)
),"")</f>
        <v/>
      </c>
      <c r="K2123" s="17"/>
      <c r="L2123" s="17" t="b">
        <f>IF(OR(COUNTIF('クラス'!$A$1:$A$1267,$B2123)&gt;0,$B2123="",$M2123=""),"",True)</f>
        <v>1</v>
      </c>
      <c r="M2123" s="1" t="str">
        <f t="shared" si="27"/>
        <v>存在しない</v>
      </c>
      <c r="N2123" s="1" t="s">
        <v>29</v>
      </c>
      <c r="O2123" s="1"/>
      <c r="P2123" s="11"/>
      <c r="Q2123" s="11"/>
      <c r="R2123" s="11"/>
      <c r="S2123" s="11"/>
      <c r="T2123" s="1"/>
      <c r="U2123" s="1"/>
      <c r="V2123" s="1"/>
      <c r="W2123" s="1"/>
      <c r="X2123" s="1"/>
      <c r="Y2123" s="1"/>
      <c r="Z2123" s="1"/>
    </row>
    <row r="2124" ht="18.0" customHeight="1" outlineLevel="1" collapsed="1">
      <c r="A2124" s="1"/>
      <c r="B2124" s="1"/>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customHeight="1" outlineLevel="1">
      <c r="A2125" s="1"/>
      <c r="B2125" s="26" t="s">
        <v>2216</v>
      </c>
      <c r="C2125" s="1"/>
      <c r="D2125" s="1"/>
      <c r="E2125" s="14"/>
      <c r="F2125" s="15"/>
      <c r="G2125" s="16"/>
      <c r="H2125" s="11"/>
      <c r="I2125" s="7"/>
      <c r="J2125" s="7" t="str">
        <f>IFERROR(LET(_xlpm.v,
VLOOKUP($I2125,'用語辞書'!$A:$B,COLUMN('用語辞書'!B$1),FALSE),
IF(_xlpm.v=0,"",_xlpm.v)
),"")</f>
        <v/>
      </c>
      <c r="K2125" s="17"/>
      <c r="L2125" s="17" t="str">
        <f>IF(OR(COUNTIF('クラス'!$A$1:$A$1267,$B2125)&gt;0,$B2125="",$M2125=""),"",True)</f>
        <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1.0</v>
      </c>
      <c r="B2126" s="26" t="s">
        <v>2217</v>
      </c>
      <c r="C2126" s="1"/>
      <c r="D2126" s="26" t="s">
        <v>644</v>
      </c>
      <c r="E2126" s="29" t="s">
        <v>33</v>
      </c>
      <c r="F2126" s="15"/>
      <c r="G2126" s="30">
        <v>60.0</v>
      </c>
      <c r="H2126" s="22" t="s">
        <v>2218</v>
      </c>
      <c r="I2126" s="7"/>
      <c r="J2126" s="7" t="str">
        <f>IFERROR(LET(_xlpm.v,
VLOOKUP($I2126,'用語辞書'!$A:$B,COLUMN('用語辞書'!B$1),FALSE),
IF(_xlpm.v=0,"",_xlpm.v)
),"")</f>
        <v/>
      </c>
      <c r="K2126" s="17"/>
      <c r="L2126" s="17" t="b">
        <f>IF(OR(COUNTIF('クラス'!$A$1:$A$1267,$B2126)&gt;0,$B2126="",$M2126=""),"",True)</f>
        <v>1</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2.0</v>
      </c>
      <c r="B2127" s="1"/>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存在しない</v>
      </c>
      <c r="N2127" s="1" t="s">
        <v>29</v>
      </c>
      <c r="O2127" s="1"/>
      <c r="P2127" s="11"/>
      <c r="Q2127" s="11"/>
      <c r="R2127" s="11"/>
      <c r="S2127" s="11"/>
      <c r="T2127" s="1"/>
      <c r="U2127" s="1"/>
      <c r="V2127" s="1"/>
      <c r="W2127" s="1"/>
      <c r="X2127" s="1"/>
      <c r="Y2127" s="1"/>
      <c r="Z2127" s="1"/>
    </row>
    <row r="2128" ht="18.0" hidden="1" customHeight="1" outlineLevel="2">
      <c r="A2128" s="1">
        <v>3.0</v>
      </c>
      <c r="B2128" s="26" t="s">
        <v>646</v>
      </c>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
      </c>
      <c r="N2128" s="1" t="s">
        <v>29</v>
      </c>
      <c r="O2128" s="1"/>
      <c r="P2128" s="11"/>
      <c r="Q2128" s="11"/>
      <c r="R2128" s="11"/>
      <c r="S2128" s="11"/>
      <c r="T2128" s="1"/>
      <c r="U2128" s="1"/>
      <c r="V2128" s="1"/>
      <c r="W2128" s="1"/>
      <c r="X2128" s="1"/>
      <c r="Y2128" s="1"/>
      <c r="Z2128" s="1"/>
    </row>
    <row r="2129" ht="18.0" hidden="1" customHeight="1" outlineLevel="2">
      <c r="A2129" s="1">
        <v>4.0</v>
      </c>
      <c r="B2129" s="1"/>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存在しない</v>
      </c>
      <c r="N2129" s="1" t="s">
        <v>29</v>
      </c>
      <c r="O2129" s="1"/>
      <c r="P2129" s="11"/>
      <c r="Q2129" s="11"/>
      <c r="R2129" s="11"/>
      <c r="S2129" s="11"/>
      <c r="T2129" s="1"/>
      <c r="U2129" s="1"/>
      <c r="V2129" s="1"/>
      <c r="W2129" s="1"/>
      <c r="X2129" s="1"/>
      <c r="Y2129" s="1"/>
      <c r="Z2129" s="1"/>
    </row>
    <row r="2130" ht="18.0" hidden="1" customHeight="1" outlineLevel="2">
      <c r="A2130" s="1">
        <v>5.0</v>
      </c>
      <c r="B2130" s="26" t="s">
        <v>2219</v>
      </c>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
      </c>
      <c r="N2130" s="1" t="s">
        <v>29</v>
      </c>
      <c r="O2130" s="1"/>
      <c r="P2130" s="11"/>
      <c r="Q2130" s="11"/>
      <c r="R2130" s="11"/>
      <c r="S2130" s="11"/>
      <c r="T2130" s="1"/>
      <c r="U2130" s="1"/>
      <c r="V2130" s="1"/>
      <c r="W2130" s="1"/>
      <c r="X2130" s="1"/>
      <c r="Y2130" s="1"/>
      <c r="Z2130" s="1"/>
    </row>
    <row r="2131" ht="18.0" hidden="1" customHeight="1" outlineLevel="2">
      <c r="A2131" s="1">
        <v>6.0</v>
      </c>
      <c r="B2131" s="1"/>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存在しない</v>
      </c>
      <c r="N2131" s="1" t="s">
        <v>29</v>
      </c>
      <c r="O2131" s="1"/>
      <c r="P2131" s="11"/>
      <c r="Q2131" s="11"/>
      <c r="R2131" s="11"/>
      <c r="S2131" s="11"/>
      <c r="T2131" s="1"/>
      <c r="U2131" s="1"/>
      <c r="V2131" s="1"/>
      <c r="W2131" s="1"/>
      <c r="X2131" s="1"/>
      <c r="Y2131" s="1"/>
      <c r="Z2131" s="1"/>
    </row>
    <row r="2132" ht="18.0" hidden="1" customHeight="1" outlineLevel="2">
      <c r="A2132" s="1">
        <v>7.0</v>
      </c>
      <c r="B2132" s="26" t="s">
        <v>652</v>
      </c>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
      </c>
      <c r="N2132" s="1" t="s">
        <v>29</v>
      </c>
      <c r="O2132" s="1"/>
      <c r="P2132" s="11"/>
      <c r="Q2132" s="11"/>
      <c r="R2132" s="11"/>
      <c r="S2132" s="11"/>
      <c r="T2132" s="1"/>
      <c r="U2132" s="1"/>
      <c r="V2132" s="1"/>
      <c r="W2132" s="1"/>
      <c r="X2132" s="1"/>
      <c r="Y2132" s="1"/>
      <c r="Z2132" s="1"/>
    </row>
    <row r="2133" ht="18.0" hidden="1" customHeight="1" outlineLevel="2">
      <c r="A2133" s="1">
        <v>8.0</v>
      </c>
      <c r="B2133" s="1"/>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存在しない</v>
      </c>
      <c r="N2133" s="1" t="s">
        <v>29</v>
      </c>
      <c r="O2133" s="1"/>
      <c r="P2133" s="11"/>
      <c r="Q2133" s="11"/>
      <c r="R2133" s="11"/>
      <c r="S2133" s="11"/>
      <c r="T2133" s="1"/>
      <c r="U2133" s="1"/>
      <c r="V2133" s="1"/>
      <c r="W2133" s="1"/>
      <c r="X2133" s="1"/>
      <c r="Y2133" s="1"/>
      <c r="Z2133" s="1"/>
    </row>
    <row r="2134" ht="18.0" hidden="1" customHeight="1" outlineLevel="2">
      <c r="A2134" s="1">
        <v>9.0</v>
      </c>
      <c r="B2134" s="26" t="s">
        <v>2220</v>
      </c>
      <c r="C2134" s="1"/>
      <c r="D2134" s="1"/>
      <c r="E2134" s="14"/>
      <c r="F2134" s="15"/>
      <c r="G2134" s="16"/>
      <c r="H2134" s="11"/>
      <c r="I2134" s="7"/>
      <c r="J2134" s="7" t="str">
        <f>IFERROR(LET(_xlpm.v,
VLOOKUP($I2134,'用語辞書'!$A:$B,COLUMN('用語辞書'!B$1),FALSE),
IF(_xlpm.v=0,"",_xlpm.v)
),"")</f>
        <v/>
      </c>
      <c r="K2134" s="17"/>
      <c r="L2134" s="17" t="str">
        <f>IF(OR(COUNTIF('クラス'!$A$1:$A$1267,$B2134)&gt;0,$B2134="",$M2134=""),"",True)</f>
        <v/>
      </c>
      <c r="M2134" s="1" t="str">
        <f t="shared" si="27"/>
        <v/>
      </c>
      <c r="N2134" s="1" t="s">
        <v>29</v>
      </c>
      <c r="O2134" s="1"/>
      <c r="P2134" s="11"/>
      <c r="Q2134" s="11"/>
      <c r="R2134" s="11"/>
      <c r="S2134" s="11"/>
      <c r="T2134" s="1"/>
      <c r="U2134" s="1"/>
      <c r="V2134" s="1"/>
      <c r="W2134" s="1"/>
      <c r="X2134" s="1"/>
      <c r="Y2134" s="1"/>
      <c r="Z2134" s="1"/>
    </row>
    <row r="2135" ht="18.0" hidden="1" customHeight="1" outlineLevel="2">
      <c r="A2135" s="1">
        <v>10.0</v>
      </c>
      <c r="B2135" s="26" t="s">
        <v>2221</v>
      </c>
      <c r="C2135" s="1"/>
      <c r="D2135" s="26" t="s">
        <v>644</v>
      </c>
      <c r="E2135" s="29" t="s">
        <v>33</v>
      </c>
      <c r="F2135" s="15"/>
      <c r="G2135" s="30">
        <v>60.0</v>
      </c>
      <c r="H2135" s="31" t="s">
        <v>2222</v>
      </c>
      <c r="I2135" s="7"/>
      <c r="J2135" s="7" t="str">
        <f>IFERROR(LET(_xlpm.v,
VLOOKUP($I2135,'用語辞書'!$A:$B,COLUMN('用語辞書'!B$1),FALSE),
IF(_xlpm.v=0,"",_xlpm.v)
),"")</f>
        <v/>
      </c>
      <c r="K2135" s="17"/>
      <c r="L2135" s="17" t="b">
        <f>IF(OR(COUNTIF('クラス'!$A$1:$A$1267,$B2135)&gt;0,$B2135="",$M2135=""),"",True)</f>
        <v>1</v>
      </c>
      <c r="M2135" s="1" t="str">
        <f t="shared" si="27"/>
        <v>存在しない</v>
      </c>
      <c r="N2135" s="1" t="s">
        <v>29</v>
      </c>
      <c r="O2135" s="1"/>
      <c r="P2135" s="11"/>
      <c r="Q2135" s="11"/>
      <c r="R2135" s="11"/>
      <c r="S2135" s="11"/>
      <c r="T2135" s="1"/>
      <c r="U2135" s="1"/>
      <c r="V2135" s="1"/>
      <c r="W2135" s="1"/>
      <c r="X2135" s="1"/>
      <c r="Y2135" s="1"/>
      <c r="Z2135" s="1"/>
    </row>
    <row r="2136" ht="18.0" customHeight="1" outlineLevel="1" collapsed="1">
      <c r="A2136" s="1"/>
      <c r="B2136" s="1"/>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customHeight="1" outlineLevel="1">
      <c r="A2137" s="1"/>
      <c r="B2137" s="26" t="s">
        <v>2223</v>
      </c>
      <c r="C2137" s="1"/>
      <c r="D2137" s="1"/>
      <c r="E2137" s="14"/>
      <c r="F2137" s="15"/>
      <c r="G2137" s="16"/>
      <c r="H2137" s="11"/>
      <c r="I2137" s="7"/>
      <c r="J2137" s="7" t="str">
        <f>IFERROR(LET(_xlpm.v,
VLOOKUP($I2137,'用語辞書'!$A:$B,COLUMN('用語辞書'!B$1),FALSE),
IF(_xlpm.v=0,"",_xlpm.v)
),"")</f>
        <v/>
      </c>
      <c r="K2137" s="17"/>
      <c r="L2137" s="17" t="str">
        <f>IF(OR(COUNTIF('クラス'!$A$1:$A$1267,$B2137)&gt;0,$B2137="",$M2137=""),"",True)</f>
        <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1.0</v>
      </c>
      <c r="B2138" s="26" t="s">
        <v>2224</v>
      </c>
      <c r="C2138" s="1"/>
      <c r="D2138" s="26" t="s">
        <v>908</v>
      </c>
      <c r="E2138" s="29" t="s">
        <v>33</v>
      </c>
      <c r="F2138" s="15"/>
      <c r="G2138" s="30">
        <v>60.0</v>
      </c>
      <c r="H2138" s="22" t="s">
        <v>2225</v>
      </c>
      <c r="I2138" s="7"/>
      <c r="J2138" s="7" t="str">
        <f>IFERROR(LET(_xlpm.v,
VLOOKUP($I2138,'用語辞書'!$A:$B,COLUMN('用語辞書'!B$1),FALSE),
IF(_xlpm.v=0,"",_xlpm.v)
),"")</f>
        <v/>
      </c>
      <c r="K2138" s="17"/>
      <c r="L2138" s="17" t="b">
        <f>IF(OR(COUNTIF('クラス'!$A$1:$A$1267,$B2138)&gt;0,$B2138="",$M2138=""),"",True)</f>
        <v>1</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2.0</v>
      </c>
      <c r="B2139" s="1"/>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存在しない</v>
      </c>
      <c r="N2139" s="1" t="s">
        <v>29</v>
      </c>
      <c r="O2139" s="1"/>
      <c r="P2139" s="11"/>
      <c r="Q2139" s="11"/>
      <c r="R2139" s="11"/>
      <c r="S2139" s="11"/>
      <c r="T2139" s="1"/>
      <c r="U2139" s="1"/>
      <c r="V2139" s="1"/>
      <c r="W2139" s="1"/>
      <c r="X2139" s="1"/>
      <c r="Y2139" s="1"/>
      <c r="Z2139" s="1"/>
    </row>
    <row r="2140" ht="18.0" hidden="1" customHeight="1" outlineLevel="2">
      <c r="A2140" s="1">
        <v>3.0</v>
      </c>
      <c r="B2140" s="26" t="s">
        <v>898</v>
      </c>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
      </c>
      <c r="N2140" s="1" t="s">
        <v>29</v>
      </c>
      <c r="O2140" s="1"/>
      <c r="P2140" s="11"/>
      <c r="Q2140" s="11"/>
      <c r="R2140" s="11"/>
      <c r="S2140" s="11"/>
      <c r="T2140" s="1"/>
      <c r="U2140" s="1"/>
      <c r="V2140" s="1"/>
      <c r="W2140" s="1"/>
      <c r="X2140" s="1"/>
      <c r="Y2140" s="1"/>
      <c r="Z2140" s="1"/>
    </row>
    <row r="2141" ht="18.0" hidden="1" customHeight="1" outlineLevel="2">
      <c r="A2141" s="1">
        <v>4.0</v>
      </c>
      <c r="B2141" s="1"/>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存在しない</v>
      </c>
      <c r="N2141" s="1" t="s">
        <v>29</v>
      </c>
      <c r="O2141" s="1"/>
      <c r="P2141" s="11"/>
      <c r="Q2141" s="11"/>
      <c r="R2141" s="11"/>
      <c r="S2141" s="11"/>
      <c r="T2141" s="1"/>
      <c r="U2141" s="1"/>
      <c r="V2141" s="1"/>
      <c r="W2141" s="1"/>
      <c r="X2141" s="1"/>
      <c r="Y2141" s="1"/>
      <c r="Z2141" s="1"/>
    </row>
    <row r="2142" ht="18.0" hidden="1" customHeight="1" outlineLevel="2">
      <c r="A2142" s="1">
        <v>5.0</v>
      </c>
      <c r="B2142" s="26" t="s">
        <v>1768</v>
      </c>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
      </c>
      <c r="N2142" s="1" t="s">
        <v>29</v>
      </c>
      <c r="O2142" s="1"/>
      <c r="P2142" s="11"/>
      <c r="Q2142" s="11"/>
      <c r="R2142" s="11"/>
      <c r="S2142" s="11"/>
      <c r="T2142" s="1"/>
      <c r="U2142" s="1"/>
      <c r="V2142" s="1"/>
      <c r="W2142" s="1"/>
      <c r="X2142" s="1"/>
      <c r="Y2142" s="1"/>
      <c r="Z2142" s="1"/>
    </row>
    <row r="2143" ht="18.0" hidden="1" customHeight="1" outlineLevel="2">
      <c r="A2143" s="1">
        <v>6.0</v>
      </c>
      <c r="B2143" s="1"/>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存在しない</v>
      </c>
      <c r="N2143" s="1" t="s">
        <v>29</v>
      </c>
      <c r="O2143" s="1"/>
      <c r="P2143" s="11"/>
      <c r="Q2143" s="11"/>
      <c r="R2143" s="11"/>
      <c r="S2143" s="11"/>
      <c r="T2143" s="1"/>
      <c r="U2143" s="1"/>
      <c r="V2143" s="1"/>
      <c r="W2143" s="1"/>
      <c r="X2143" s="1"/>
      <c r="Y2143" s="1"/>
      <c r="Z2143" s="1"/>
    </row>
    <row r="2144" ht="18.0" hidden="1" customHeight="1" outlineLevel="2">
      <c r="A2144" s="1">
        <v>7.0</v>
      </c>
      <c r="B2144" s="26" t="s">
        <v>902</v>
      </c>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
      </c>
      <c r="N2144" s="1" t="s">
        <v>29</v>
      </c>
      <c r="O2144" s="1"/>
      <c r="P2144" s="11"/>
      <c r="Q2144" s="11"/>
      <c r="R2144" s="11"/>
      <c r="S2144" s="11"/>
      <c r="T2144" s="1"/>
      <c r="U2144" s="1"/>
      <c r="V2144" s="1"/>
      <c r="W2144" s="1"/>
      <c r="X2144" s="1"/>
      <c r="Y2144" s="1"/>
      <c r="Z2144" s="1"/>
    </row>
    <row r="2145" ht="18.0" hidden="1" customHeight="1" outlineLevel="2">
      <c r="A2145" s="1">
        <v>8.0</v>
      </c>
      <c r="B2145" s="1"/>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存在しない</v>
      </c>
      <c r="N2145" s="1" t="s">
        <v>29</v>
      </c>
      <c r="O2145" s="1"/>
      <c r="P2145" s="11"/>
      <c r="Q2145" s="11"/>
      <c r="R2145" s="11"/>
      <c r="S2145" s="11"/>
      <c r="T2145" s="1"/>
      <c r="U2145" s="1"/>
      <c r="V2145" s="1"/>
      <c r="W2145" s="1"/>
      <c r="X2145" s="1"/>
      <c r="Y2145" s="1"/>
      <c r="Z2145" s="1"/>
    </row>
    <row r="2146" ht="18.0" hidden="1" customHeight="1" outlineLevel="2">
      <c r="A2146" s="1">
        <v>9.0</v>
      </c>
      <c r="B2146" s="26" t="s">
        <v>1772</v>
      </c>
      <c r="C2146" s="1"/>
      <c r="D2146" s="1"/>
      <c r="E2146" s="14"/>
      <c r="F2146" s="15"/>
      <c r="G2146" s="16"/>
      <c r="H2146" s="11"/>
      <c r="I2146" s="7"/>
      <c r="J2146" s="7" t="str">
        <f>IFERROR(LET(_xlpm.v,
VLOOKUP($I2146,'用語辞書'!$A:$B,COLUMN('用語辞書'!B$1),FALSE),
IF(_xlpm.v=0,"",_xlpm.v)
),"")</f>
        <v/>
      </c>
      <c r="K2146" s="17"/>
      <c r="L2146" s="17" t="str">
        <f>IF(OR(COUNTIF('クラス'!$A$1:$A$1267,$B2146)&gt;0,$B2146="",$M2146=""),"",True)</f>
        <v/>
      </c>
      <c r="M2146" s="1" t="str">
        <f t="shared" si="27"/>
        <v/>
      </c>
      <c r="N2146" s="1" t="s">
        <v>29</v>
      </c>
      <c r="O2146" s="1"/>
      <c r="P2146" s="11"/>
      <c r="Q2146" s="11"/>
      <c r="R2146" s="11"/>
      <c r="S2146" s="11"/>
      <c r="T2146" s="1"/>
      <c r="U2146" s="1"/>
      <c r="V2146" s="1"/>
      <c r="W2146" s="1"/>
      <c r="X2146" s="1"/>
      <c r="Y2146" s="1"/>
      <c r="Z2146" s="1"/>
    </row>
    <row r="2147" ht="18.0" hidden="1" customHeight="1" outlineLevel="2">
      <c r="A2147" s="1">
        <v>10.0</v>
      </c>
      <c r="B2147" s="26" t="s">
        <v>2226</v>
      </c>
      <c r="C2147" s="1"/>
      <c r="D2147" s="26" t="s">
        <v>908</v>
      </c>
      <c r="E2147" s="29" t="s">
        <v>33</v>
      </c>
      <c r="F2147" s="15"/>
      <c r="G2147" s="30">
        <v>60.0</v>
      </c>
      <c r="H2147" s="22" t="s">
        <v>2227</v>
      </c>
      <c r="I2147" s="7"/>
      <c r="J2147" s="7" t="str">
        <f>IFERROR(LET(_xlpm.v,
VLOOKUP($I2147,'用語辞書'!$A:$B,COLUMN('用語辞書'!B$1),FALSE),
IF(_xlpm.v=0,"",_xlpm.v)
),"")</f>
        <v/>
      </c>
      <c r="K2147" s="17"/>
      <c r="L2147" s="17" t="b">
        <f>IF(OR(COUNTIF('クラス'!$A$1:$A$1267,$B2147)&gt;0,$B2147="",$M2147=""),"",True)</f>
        <v>1</v>
      </c>
      <c r="M2147" s="1" t="str">
        <f t="shared" si="27"/>
        <v>存在しない</v>
      </c>
      <c r="N2147" s="1" t="s">
        <v>29</v>
      </c>
      <c r="O2147" s="1"/>
      <c r="P2147" s="11"/>
      <c r="Q2147" s="11"/>
      <c r="R2147" s="11"/>
      <c r="S2147" s="11"/>
      <c r="T2147" s="1"/>
      <c r="U2147" s="1"/>
      <c r="V2147" s="1"/>
      <c r="W2147" s="1"/>
      <c r="X2147" s="1"/>
      <c r="Y2147" s="1"/>
      <c r="Z2147" s="1"/>
    </row>
    <row r="2148" ht="18.0" customHeight="1" outlineLevel="1" collapsed="1">
      <c r="A2148" s="1"/>
      <c r="B2148" s="1"/>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customHeight="1" outlineLevel="1">
      <c r="A2149" s="1"/>
      <c r="B2149" s="26" t="s">
        <v>2228</v>
      </c>
      <c r="C2149" s="1"/>
      <c r="D2149" s="1"/>
      <c r="E2149" s="14"/>
      <c r="F2149" s="15"/>
      <c r="G2149" s="16"/>
      <c r="H2149" s="11"/>
      <c r="I2149" s="7"/>
      <c r="J2149" s="7" t="str">
        <f>IFERROR(LET(_xlpm.v,
VLOOKUP($I2149,'用語辞書'!$A:$B,COLUMN('用語辞書'!B$1),FALSE),
IF(_xlpm.v=0,"",_xlpm.v)
),"")</f>
        <v/>
      </c>
      <c r="K2149" s="17"/>
      <c r="L2149" s="17" t="str">
        <f>IF(OR(COUNTIF('クラス'!$A$1:$A$1267,$B2149)&gt;0,$B2149="",$M2149=""),"",True)</f>
        <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1.0</v>
      </c>
      <c r="B2150" s="26" t="s">
        <v>2229</v>
      </c>
      <c r="C2150" s="1"/>
      <c r="D2150" s="26" t="s">
        <v>965</v>
      </c>
      <c r="E2150" s="29" t="s">
        <v>33</v>
      </c>
      <c r="F2150" s="15"/>
      <c r="G2150" s="30">
        <v>60.0</v>
      </c>
      <c r="H2150" s="22" t="s">
        <v>2230</v>
      </c>
      <c r="I2150" s="7"/>
      <c r="J2150" s="7" t="str">
        <f>IFERROR(LET(_xlpm.v,
VLOOKUP($I2150,'用語辞書'!$A:$B,COLUMN('用語辞書'!B$1),FALSE),
IF(_xlpm.v=0,"",_xlpm.v)
),"")</f>
        <v/>
      </c>
      <c r="K2150" s="17"/>
      <c r="L2150" s="17" t="b">
        <f>IF(OR(COUNTIF('クラス'!$A$1:$A$1267,$B2150)&gt;0,$B2150="",$M2150=""),"",True)</f>
        <v>1</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2.0</v>
      </c>
      <c r="B2151" s="1"/>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存在しない</v>
      </c>
      <c r="N2151" s="1" t="s">
        <v>29</v>
      </c>
      <c r="O2151" s="1"/>
      <c r="P2151" s="11"/>
      <c r="Q2151" s="11"/>
      <c r="R2151" s="11"/>
      <c r="S2151" s="11"/>
      <c r="T2151" s="1"/>
      <c r="U2151" s="1"/>
      <c r="V2151" s="1"/>
      <c r="W2151" s="1"/>
      <c r="X2151" s="1"/>
      <c r="Y2151" s="1"/>
      <c r="Z2151" s="1"/>
    </row>
    <row r="2152" ht="18.0" hidden="1" customHeight="1" outlineLevel="2">
      <c r="A2152" s="1">
        <v>3.0</v>
      </c>
      <c r="B2152" s="26" t="s">
        <v>966</v>
      </c>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
      </c>
      <c r="N2152" s="1" t="s">
        <v>29</v>
      </c>
      <c r="O2152" s="1"/>
      <c r="P2152" s="11"/>
      <c r="Q2152" s="11"/>
      <c r="R2152" s="11"/>
      <c r="S2152" s="11"/>
      <c r="T2152" s="1"/>
      <c r="U2152" s="1"/>
      <c r="V2152" s="1"/>
      <c r="W2152" s="1"/>
      <c r="X2152" s="1"/>
      <c r="Y2152" s="1"/>
      <c r="Z2152" s="1"/>
    </row>
    <row r="2153" ht="18.0" hidden="1" customHeight="1" outlineLevel="2">
      <c r="A2153" s="1">
        <v>4.0</v>
      </c>
      <c r="B2153" s="1"/>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存在しない</v>
      </c>
      <c r="N2153" s="1" t="s">
        <v>29</v>
      </c>
      <c r="O2153" s="1"/>
      <c r="P2153" s="11"/>
      <c r="Q2153" s="11"/>
      <c r="R2153" s="11"/>
      <c r="S2153" s="11"/>
      <c r="T2153" s="1"/>
      <c r="U2153" s="1"/>
      <c r="V2153" s="1"/>
      <c r="W2153" s="1"/>
      <c r="X2153" s="1"/>
      <c r="Y2153" s="1"/>
      <c r="Z2153" s="1"/>
    </row>
    <row r="2154" ht="18.0" hidden="1" customHeight="1" outlineLevel="2">
      <c r="A2154" s="1">
        <v>5.0</v>
      </c>
      <c r="B2154" s="26" t="s">
        <v>1789</v>
      </c>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
      </c>
      <c r="N2154" s="1" t="s">
        <v>29</v>
      </c>
      <c r="O2154" s="1"/>
      <c r="P2154" s="11"/>
      <c r="Q2154" s="11"/>
      <c r="R2154" s="11"/>
      <c r="S2154" s="11"/>
      <c r="T2154" s="1"/>
      <c r="U2154" s="1"/>
      <c r="V2154" s="1"/>
      <c r="W2154" s="1"/>
      <c r="X2154" s="1"/>
      <c r="Y2154" s="1"/>
      <c r="Z2154" s="1"/>
    </row>
    <row r="2155" ht="18.0" hidden="1" customHeight="1" outlineLevel="2">
      <c r="A2155" s="1">
        <v>6.0</v>
      </c>
      <c r="B2155" s="1"/>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存在しない</v>
      </c>
      <c r="N2155" s="1" t="s">
        <v>29</v>
      </c>
      <c r="O2155" s="1"/>
      <c r="P2155" s="11"/>
      <c r="Q2155" s="11"/>
      <c r="R2155" s="11"/>
      <c r="S2155" s="11"/>
      <c r="T2155" s="1"/>
      <c r="U2155" s="1"/>
      <c r="V2155" s="1"/>
      <c r="W2155" s="1"/>
      <c r="X2155" s="1"/>
      <c r="Y2155" s="1"/>
      <c r="Z2155" s="1"/>
    </row>
    <row r="2156" ht="18.0" hidden="1" customHeight="1" outlineLevel="2">
      <c r="A2156" s="1">
        <v>7.0</v>
      </c>
      <c r="B2156" s="26" t="s">
        <v>978</v>
      </c>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
      </c>
      <c r="N2156" s="1" t="s">
        <v>29</v>
      </c>
      <c r="O2156" s="1"/>
      <c r="P2156" s="11"/>
      <c r="Q2156" s="11"/>
      <c r="R2156" s="11"/>
      <c r="S2156" s="11"/>
      <c r="T2156" s="1"/>
      <c r="U2156" s="1"/>
      <c r="V2156" s="1"/>
      <c r="W2156" s="1"/>
      <c r="X2156" s="1"/>
      <c r="Y2156" s="1"/>
      <c r="Z2156" s="1"/>
    </row>
    <row r="2157" ht="18.0" hidden="1" customHeight="1" outlineLevel="2">
      <c r="A2157" s="1">
        <v>8.0</v>
      </c>
      <c r="B2157" s="1"/>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存在しない</v>
      </c>
      <c r="N2157" s="1" t="s">
        <v>29</v>
      </c>
      <c r="O2157" s="1"/>
      <c r="P2157" s="11"/>
      <c r="Q2157" s="11"/>
      <c r="R2157" s="11"/>
      <c r="S2157" s="11"/>
      <c r="T2157" s="1"/>
      <c r="U2157" s="1"/>
      <c r="V2157" s="1"/>
      <c r="W2157" s="1"/>
      <c r="X2157" s="1"/>
      <c r="Y2157" s="1"/>
      <c r="Z2157" s="1"/>
    </row>
    <row r="2158" ht="18.0" hidden="1" customHeight="1" outlineLevel="2">
      <c r="A2158" s="1">
        <v>9.0</v>
      </c>
      <c r="B2158" s="26" t="s">
        <v>1793</v>
      </c>
      <c r="C2158" s="1"/>
      <c r="D2158" s="1"/>
      <c r="E2158" s="14"/>
      <c r="F2158" s="15"/>
      <c r="G2158" s="16"/>
      <c r="H2158" s="11"/>
      <c r="I2158" s="7"/>
      <c r="J2158" s="7" t="str">
        <f>IFERROR(LET(_xlpm.v,
VLOOKUP($I2158,'用語辞書'!$A:$B,COLUMN('用語辞書'!B$1),FALSE),
IF(_xlpm.v=0,"",_xlpm.v)
),"")</f>
        <v/>
      </c>
      <c r="K2158" s="17"/>
      <c r="L2158" s="17" t="str">
        <f>IF(OR(COUNTIF('クラス'!$A$1:$A$1267,$B2158)&gt;0,$B2158="",$M2158=""),"",True)</f>
        <v/>
      </c>
      <c r="M2158" s="1" t="str">
        <f t="shared" si="27"/>
        <v/>
      </c>
      <c r="N2158" s="1" t="s">
        <v>29</v>
      </c>
      <c r="O2158" s="1"/>
      <c r="P2158" s="11"/>
      <c r="Q2158" s="11"/>
      <c r="R2158" s="11"/>
      <c r="S2158" s="11"/>
      <c r="T2158" s="1"/>
      <c r="U2158" s="1"/>
      <c r="V2158" s="1"/>
      <c r="W2158" s="1"/>
      <c r="X2158" s="1"/>
      <c r="Y2158" s="1"/>
      <c r="Z2158" s="1"/>
    </row>
    <row r="2159" ht="18.0" hidden="1" customHeight="1" outlineLevel="2">
      <c r="A2159" s="1">
        <v>10.0</v>
      </c>
      <c r="B2159" s="26" t="s">
        <v>2231</v>
      </c>
      <c r="C2159" s="1"/>
      <c r="D2159" s="26" t="s">
        <v>965</v>
      </c>
      <c r="E2159" s="29" t="s">
        <v>33</v>
      </c>
      <c r="F2159" s="15"/>
      <c r="G2159" s="30">
        <v>60.0</v>
      </c>
      <c r="H2159" s="22" t="s">
        <v>2232</v>
      </c>
      <c r="I2159" s="7"/>
      <c r="J2159" s="7" t="str">
        <f>IFERROR(LET(_xlpm.v,
VLOOKUP($I2159,'用語辞書'!$A:$B,COLUMN('用語辞書'!B$1),FALSE),
IF(_xlpm.v=0,"",_xlpm.v)
),"")</f>
        <v/>
      </c>
      <c r="K2159" s="17"/>
      <c r="L2159" s="17" t="b">
        <f>IF(OR(COUNTIF('クラス'!$A$1:$A$1267,$B2159)&gt;0,$B2159="",$M2159=""),"",True)</f>
        <v>1</v>
      </c>
      <c r="M2159" s="1" t="str">
        <f t="shared" si="27"/>
        <v>存在しない</v>
      </c>
      <c r="N2159" s="1" t="s">
        <v>29</v>
      </c>
      <c r="O2159" s="1"/>
      <c r="P2159" s="11"/>
      <c r="Q2159" s="11"/>
      <c r="R2159" s="11"/>
      <c r="S2159" s="11"/>
      <c r="T2159" s="1"/>
      <c r="U2159" s="1"/>
      <c r="V2159" s="1"/>
      <c r="W2159" s="1"/>
      <c r="X2159" s="1"/>
      <c r="Y2159" s="1"/>
      <c r="Z2159" s="1"/>
    </row>
    <row r="2160" ht="18.0" customHeight="1" collapsed="1">
      <c r="A2160" s="1"/>
      <c r="B2160" s="1"/>
      <c r="C2160" s="26" t="s">
        <v>2233</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customHeight="1">
      <c r="A2161" s="1"/>
      <c r="B2161" s="26" t="s">
        <v>2234</v>
      </c>
      <c r="C2161" s="26" t="s">
        <v>2235</v>
      </c>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存在しない</v>
      </c>
      <c r="N2161" s="1" t="s">
        <v>29</v>
      </c>
      <c r="O2161" s="1"/>
      <c r="P2161" s="11"/>
      <c r="Q2161" s="11"/>
      <c r="R2161" s="11"/>
      <c r="S2161" s="11"/>
      <c r="T2161" s="1"/>
      <c r="U2161" s="1"/>
      <c r="V2161" s="1"/>
      <c r="W2161" s="1"/>
      <c r="X2161" s="1"/>
      <c r="Y2161" s="1"/>
      <c r="Z2161" s="1"/>
    </row>
    <row r="2162" ht="18.0" hidden="1" customHeight="1" outlineLevel="1">
      <c r="A2162" s="1">
        <v>1.0</v>
      </c>
      <c r="B2162" s="26" t="s">
        <v>1136</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2.0</v>
      </c>
      <c r="B2163" s="26" t="s">
        <v>1144</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3.0</v>
      </c>
      <c r="B2164" s="26" t="s">
        <v>1139</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4.0</v>
      </c>
      <c r="B2165" s="26" t="s">
        <v>1140</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5.0</v>
      </c>
      <c r="B2166" s="26" t="s">
        <v>1209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6.0</v>
      </c>
      <c r="B2167" s="26" t="s">
        <v>29</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7.0</v>
      </c>
      <c r="B2168" s="26" t="s">
        <v>2000</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8.0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9.0</v>
      </c>
      <c r="B2170" s="26" t="s">
        <v>29</v>
      </c>
      <c r="C2170" s="1"/>
      <c r="D2170" s="1"/>
      <c r="E2170" s="14"/>
      <c r="F2170" s="15"/>
      <c r="G2170" s="16"/>
      <c r="H2170" s="11"/>
      <c r="I2170" s="7"/>
      <c r="J2170" s="7" t="str">
        <f>IFERROR(LET(_xlpm.v,
VLOOKUP($I2170,'用語辞書'!$A:$B,COLUMN('用語辞書'!B$1),FALSE),
IF(_xlpm.v=0,"",_xlpm.v)
),"")</f>
        <v/>
      </c>
      <c r="K2170" s="17"/>
      <c r="L2170" s="17" t="str">
        <f>IF(OR(COUNTIF('クラス'!$A$1:$A$1267,$B2170)&gt;0,$B2170="",$M2170=""),"",True)</f>
        <v/>
      </c>
      <c r="M2170" s="1" t="str">
        <f t="shared" si="27"/>
        <v/>
      </c>
      <c r="N2170" s="1" t="s">
        <v>29</v>
      </c>
      <c r="O2170" s="1"/>
      <c r="P2170" s="11"/>
      <c r="Q2170" s="11"/>
      <c r="R2170" s="11"/>
      <c r="S2170" s="11"/>
      <c r="T2170" s="1"/>
      <c r="U2170" s="1"/>
      <c r="V2170" s="1"/>
      <c r="W2170" s="1"/>
      <c r="X2170" s="1"/>
      <c r="Y2170" s="1"/>
      <c r="Z2170" s="1"/>
    </row>
    <row r="2171" ht="18.0" hidden="1" customHeight="1" outlineLevel="1">
      <c r="A2171" s="1">
        <v>10.0</v>
      </c>
      <c r="B2171" s="26" t="s">
        <v>2236</v>
      </c>
      <c r="C2171" s="26" t="s">
        <v>29</v>
      </c>
      <c r="D2171" s="26" t="s">
        <v>29</v>
      </c>
      <c r="E2171" s="29" t="s">
        <v>55</v>
      </c>
      <c r="F2171" s="34" t="s">
        <v>29</v>
      </c>
      <c r="G2171" s="30" t="s">
        <v>29</v>
      </c>
      <c r="H2171" s="22" t="s">
        <v>2237</v>
      </c>
      <c r="I2171" s="7"/>
      <c r="J2171" s="7" t="str">
        <f>IFERROR(LET(_xlpm.v,
VLOOKUP($I2171,'用語辞書'!$A:$B,COLUMN('用語辞書'!B$1),FALSE),
IF(_xlpm.v=0,"",_xlpm.v)
),"")</f>
        <v/>
      </c>
      <c r="K2171" s="17"/>
      <c r="L2171" s="17" t="b">
        <f>IF(OR(COUNTIF('クラス'!$A$1:$A$1267,$B2171)&gt;0,$B2171="",$M2171=""),"",True)</f>
        <v>1</v>
      </c>
      <c r="M2171" s="1" t="str">
        <f t="shared" si="27"/>
        <v>存在しない</v>
      </c>
      <c r="N2171" s="1" t="s">
        <v>29</v>
      </c>
      <c r="O2171" s="1"/>
      <c r="P2171" s="11"/>
      <c r="Q2171" s="11"/>
      <c r="R2171" s="11"/>
      <c r="S2171" s="11"/>
      <c r="T2171" s="1"/>
      <c r="U2171" s="1"/>
      <c r="V2171" s="1"/>
      <c r="W2171" s="1"/>
      <c r="X2171" s="1"/>
      <c r="Y2171" s="1"/>
      <c r="Z2171" s="1"/>
    </row>
    <row r="2172" ht="18.0" customHeight="1" collapsed="1">
      <c r="A2172" s="1"/>
      <c r="B2172" s="1"/>
      <c r="C2172" s="1"/>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customHeight="1">
      <c r="A2173" s="1"/>
      <c r="B2173" s="26" t="s">
        <v>2238</v>
      </c>
      <c r="C2173" s="26" t="s">
        <v>2235</v>
      </c>
      <c r="D2173" s="1"/>
      <c r="E2173" s="14"/>
      <c r="F2173" s="15"/>
      <c r="G2173" s="16"/>
      <c r="H2173" s="11"/>
      <c r="I2173" s="7"/>
      <c r="J2173" s="7" t="str">
        <f>IFERROR(LET(_xlpm.v,
VLOOKUP($I2173,'用語辞書'!$A:$B,COLUMN('用語辞書'!B$1),FALSE),
IF(_xlpm.v=0,"",_xlpm.v)
),"")</f>
        <v/>
      </c>
      <c r="K2173" s="17"/>
      <c r="L2173" s="17" t="str">
        <f>IF(OR(COUNTIF('クラス'!$A$1:$A$1267,$B2173)&gt;0,$B2173="",$M2173=""),"",True)</f>
        <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1.0</v>
      </c>
      <c r="B2174" s="26" t="s">
        <v>2239</v>
      </c>
      <c r="C2174" s="26" t="s">
        <v>29</v>
      </c>
      <c r="D2174" s="26" t="s">
        <v>29</v>
      </c>
      <c r="E2174" s="29" t="s">
        <v>55</v>
      </c>
      <c r="F2174" s="34" t="s">
        <v>29</v>
      </c>
      <c r="G2174" s="30" t="s">
        <v>29</v>
      </c>
      <c r="H2174" s="22" t="s">
        <v>1578</v>
      </c>
      <c r="I2174" s="7"/>
      <c r="J2174" s="7" t="str">
        <f>IFERROR(LET(_xlpm.v,
VLOOKUP($I2174,'用語辞書'!$A:$B,COLUMN('用語辞書'!B$1),FALSE),
IF(_xlpm.v=0,"",_xlpm.v)
),"")</f>
        <v/>
      </c>
      <c r="K2174" s="17"/>
      <c r="L2174" s="17" t="b">
        <f>IF(OR(COUNTIF('クラス'!$A$1:$A$1267,$B2174)&gt;0,$B2174="",$M2174=""),"",True)</f>
        <v>1</v>
      </c>
      <c r="M2174" s="1" t="str">
        <f t="shared" si="27"/>
        <v>存在しない</v>
      </c>
      <c r="N2174" s="1" t="s">
        <v>29</v>
      </c>
      <c r="O2174" s="1"/>
      <c r="P2174" s="11"/>
      <c r="Q2174" s="11"/>
      <c r="R2174" s="11"/>
      <c r="S2174" s="11"/>
      <c r="T2174" s="1"/>
      <c r="U2174" s="1"/>
      <c r="V2174" s="1"/>
      <c r="W2174" s="1"/>
      <c r="X2174" s="1"/>
      <c r="Y2174" s="1"/>
      <c r="Z2174" s="1"/>
    </row>
    <row r="2175" ht="18.0" hidden="1" customHeight="1" outlineLevel="1">
      <c r="A2175" s="1">
        <v>2.0</v>
      </c>
      <c r="B2175" s="26" t="s">
        <v>29</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3.0</v>
      </c>
      <c r="B2176" s="26" t="s">
        <v>1255</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4.0</v>
      </c>
      <c r="B2177" s="26" t="s">
        <v>29</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5.0</v>
      </c>
      <c r="B2178" s="26" t="s">
        <v>1144</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6.0</v>
      </c>
      <c r="B2179" s="26" t="s">
        <v>29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7.0</v>
      </c>
      <c r="B2180" s="26" t="s">
        <v>1259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8.0</v>
      </c>
      <c r="B2181" s="26" t="s">
        <v>29</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9.0</v>
      </c>
      <c r="B2182" s="26" t="s">
        <v>1140</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hidden="1" customHeight="1" outlineLevel="1">
      <c r="A2183" s="1">
        <v>10.0</v>
      </c>
      <c r="B2183" s="26" t="s">
        <v>1263</v>
      </c>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
      </c>
      <c r="N2183" s="1" t="s">
        <v>29</v>
      </c>
      <c r="O2183" s="1"/>
      <c r="P2183" s="11"/>
      <c r="Q2183" s="11"/>
      <c r="R2183" s="11"/>
      <c r="S2183" s="11"/>
      <c r="T2183" s="1"/>
      <c r="U2183" s="1"/>
      <c r="V2183" s="1"/>
      <c r="W2183" s="1"/>
      <c r="X2183" s="1"/>
      <c r="Y2183" s="1"/>
      <c r="Z2183" s="1"/>
    </row>
    <row r="2184" ht="18.0" customHeight="1" collapsed="1">
      <c r="A2184" s="1"/>
      <c r="B2184" s="1"/>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customHeight="1">
      <c r="A2185" s="1"/>
      <c r="B2185" s="26" t="s">
        <v>2240</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存在しない</v>
      </c>
      <c r="N2185" s="1" t="s">
        <v>29</v>
      </c>
      <c r="O2185" s="1"/>
      <c r="P2185" s="11"/>
      <c r="Q2185" s="11"/>
      <c r="R2185" s="11"/>
      <c r="S2185" s="11"/>
      <c r="T2185" s="1"/>
      <c r="U2185" s="1"/>
      <c r="V2185" s="1"/>
      <c r="W2185" s="1"/>
      <c r="X2185" s="1"/>
      <c r="Y2185" s="1"/>
      <c r="Z2185" s="1"/>
    </row>
    <row r="2186" ht="18.0" hidden="1" customHeight="1" outlineLevel="1">
      <c r="A2186" s="1">
        <v>1.0</v>
      </c>
      <c r="B2186" s="26" t="s">
        <v>1136</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2.0</v>
      </c>
      <c r="B2187" s="26" t="s">
        <v>29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3.0</v>
      </c>
      <c r="B2188" s="26" t="s">
        <v>2239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4.0</v>
      </c>
      <c r="B2189" s="26" t="s">
        <v>29</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5.0</v>
      </c>
      <c r="B2190" s="26" t="s">
        <v>1140</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6.0</v>
      </c>
      <c r="B2191" s="26" t="s">
        <v>29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7.0</v>
      </c>
      <c r="B2192" s="26" t="s">
        <v>1259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8.0</v>
      </c>
      <c r="B2193" s="26" t="s">
        <v>29</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9.0</v>
      </c>
      <c r="B2194" s="26" t="s">
        <v>1144</v>
      </c>
      <c r="C2194" s="1"/>
      <c r="D2194" s="1"/>
      <c r="E2194" s="14"/>
      <c r="F2194" s="15"/>
      <c r="G2194" s="16"/>
      <c r="H2194" s="11"/>
      <c r="I2194" s="7"/>
      <c r="J2194" s="7" t="str">
        <f>IFERROR(LET(_xlpm.v,
VLOOKUP($I2194,'用語辞書'!$A:$B,COLUMN('用語辞書'!B$1),FALSE),
IF(_xlpm.v=0,"",_xlpm.v)
),"")</f>
        <v/>
      </c>
      <c r="K2194" s="17"/>
      <c r="L2194" s="17" t="str">
        <f>IF(OR(COUNTIF('クラス'!$A$1:$A$1267,$B2194)&gt;0,$B2194="",$M2194=""),"",True)</f>
        <v/>
      </c>
      <c r="M2194" s="1" t="str">
        <f t="shared" si="27"/>
        <v/>
      </c>
      <c r="N2194" s="1" t="s">
        <v>29</v>
      </c>
      <c r="O2194" s="1"/>
      <c r="P2194" s="11"/>
      <c r="Q2194" s="11"/>
      <c r="R2194" s="11"/>
      <c r="S2194" s="11"/>
      <c r="T2194" s="1"/>
      <c r="U2194" s="1"/>
      <c r="V2194" s="1"/>
      <c r="W2194" s="1"/>
      <c r="X2194" s="1"/>
      <c r="Y2194" s="1"/>
      <c r="Z2194" s="1"/>
    </row>
    <row r="2195" ht="18.0" hidden="1" customHeight="1" outlineLevel="1">
      <c r="A2195" s="1">
        <v>10.0</v>
      </c>
      <c r="B2195" s="26" t="s">
        <v>2241</v>
      </c>
      <c r="C2195" s="26" t="s">
        <v>29</v>
      </c>
      <c r="D2195" s="26" t="s">
        <v>29</v>
      </c>
      <c r="E2195" s="29" t="s">
        <v>55</v>
      </c>
      <c r="F2195" s="34" t="s">
        <v>29</v>
      </c>
      <c r="G2195" s="30" t="s">
        <v>29</v>
      </c>
      <c r="H2195" s="22" t="s">
        <v>2242</v>
      </c>
      <c r="I2195" s="7"/>
      <c r="J2195" s="7" t="str">
        <f>IFERROR(LET(_xlpm.v,
VLOOKUP($I2195,'用語辞書'!$A:$B,COLUMN('用語辞書'!B$1),FALSE),
IF(_xlpm.v=0,"",_xlpm.v)
),"")</f>
        <v/>
      </c>
      <c r="K2195" s="17"/>
      <c r="L2195" s="17" t="b">
        <f>IF(OR(COUNTIF('クラス'!$A$1:$A$1267,$B2195)&gt;0,$B2195="",$M2195=""),"",True)</f>
        <v>1</v>
      </c>
      <c r="M2195" s="1" t="str">
        <f t="shared" si="27"/>
        <v>存在しない</v>
      </c>
      <c r="N2195" s="1" t="s">
        <v>29</v>
      </c>
      <c r="O2195" s="1"/>
      <c r="P2195" s="11"/>
      <c r="Q2195" s="11"/>
      <c r="R2195" s="11"/>
      <c r="S2195" s="11"/>
      <c r="T2195" s="1"/>
      <c r="U2195" s="1"/>
      <c r="V2195" s="1"/>
      <c r="W2195" s="1"/>
      <c r="X2195" s="1"/>
      <c r="Y2195" s="1"/>
      <c r="Z2195" s="1"/>
    </row>
    <row r="2196" ht="18.0" customHeight="1" collapsed="1">
      <c r="A2196" s="1"/>
      <c r="B2196" s="1"/>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customHeight="1">
      <c r="A2197" s="1"/>
      <c r="B2197" s="26" t="s">
        <v>2243</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存在しない</v>
      </c>
      <c r="N2197" s="1" t="s">
        <v>29</v>
      </c>
      <c r="O2197" s="1"/>
      <c r="P2197" s="11"/>
      <c r="Q2197" s="11"/>
      <c r="R2197" s="11"/>
      <c r="S2197" s="11"/>
      <c r="T2197" s="1"/>
      <c r="U2197" s="1"/>
      <c r="V2197" s="1"/>
      <c r="W2197" s="1"/>
      <c r="X2197" s="1"/>
      <c r="Y2197" s="1"/>
      <c r="Z2197" s="1"/>
    </row>
    <row r="2198" ht="18.0" hidden="1" customHeight="1" outlineLevel="1">
      <c r="A2198" s="1">
        <v>1.0</v>
      </c>
      <c r="B2198" s="26" t="s">
        <v>1259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2.0</v>
      </c>
      <c r="B2199" s="26" t="s">
        <v>29</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3.0</v>
      </c>
      <c r="B2200" s="26" t="s">
        <v>2241</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4.0</v>
      </c>
      <c r="B2201" s="26" t="s">
        <v>29</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5.0</v>
      </c>
      <c r="B2202" s="26" t="s">
        <v>1144</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6.0</v>
      </c>
      <c r="B2203" s="26" t="s">
        <v>29</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7.0</v>
      </c>
      <c r="B2204" s="26" t="s">
        <v>1136</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8.0</v>
      </c>
      <c r="B2205" s="26" t="s">
        <v>29</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9.0</v>
      </c>
      <c r="B2206" s="26" t="s">
        <v>2136</v>
      </c>
      <c r="C2206" s="1"/>
      <c r="D2206" s="1"/>
      <c r="E2206" s="14"/>
      <c r="F2206" s="15"/>
      <c r="G2206" s="16"/>
      <c r="H2206" s="11"/>
      <c r="I2206" s="7"/>
      <c r="J2206" s="7" t="str">
        <f>IFERROR(LET(_xlpm.v,
VLOOKUP($I2206,'用語辞書'!$A:$B,COLUMN('用語辞書'!B$1),FALSE),
IF(_xlpm.v=0,"",_xlpm.v)
),"")</f>
        <v/>
      </c>
      <c r="K2206" s="17"/>
      <c r="L2206" s="17" t="str">
        <f>IF(OR(COUNTIF('クラス'!$A$1:$A$1267,$B2206)&gt;0,$B2206="",$M2206=""),"",True)</f>
        <v/>
      </c>
      <c r="M2206" s="1" t="str">
        <f t="shared" si="27"/>
        <v/>
      </c>
      <c r="N2206" s="1" t="s">
        <v>29</v>
      </c>
      <c r="O2206" s="1"/>
      <c r="P2206" s="11"/>
      <c r="Q2206" s="11"/>
      <c r="R2206" s="11"/>
      <c r="S2206" s="11"/>
      <c r="T2206" s="1"/>
      <c r="U2206" s="1"/>
      <c r="V2206" s="1"/>
      <c r="W2206" s="1"/>
      <c r="X2206" s="1"/>
      <c r="Y2206" s="1"/>
      <c r="Z2206" s="1"/>
    </row>
    <row r="2207" ht="18.0" hidden="1" customHeight="1" outlineLevel="1">
      <c r="A2207" s="1">
        <v>10.0</v>
      </c>
      <c r="B2207" s="26" t="s">
        <v>2244</v>
      </c>
      <c r="C2207" s="26" t="s">
        <v>29</v>
      </c>
      <c r="D2207" s="26" t="s">
        <v>29</v>
      </c>
      <c r="E2207" s="29" t="s">
        <v>33</v>
      </c>
      <c r="F2207" s="34" t="s">
        <v>29</v>
      </c>
      <c r="G2207" s="30">
        <v>60.0</v>
      </c>
      <c r="H2207" s="22" t="s">
        <v>2245</v>
      </c>
      <c r="I2207" s="7"/>
      <c r="J2207" s="7" t="str">
        <f>IFERROR(LET(_xlpm.v,
VLOOKUP($I2207,'用語辞書'!$A:$B,COLUMN('用語辞書'!B$1),FALSE),
IF(_xlpm.v=0,"",_xlpm.v)
),"")</f>
        <v/>
      </c>
      <c r="K2207" s="17"/>
      <c r="L2207" s="17" t="b">
        <f>IF(OR(COUNTIF('クラス'!$A$1:$A$1267,$B2207)&gt;0,$B2207="",$M2207=""),"",True)</f>
        <v>1</v>
      </c>
      <c r="M2207" s="1" t="str">
        <f t="shared" si="27"/>
        <v>存在しない</v>
      </c>
      <c r="N2207" s="1" t="s">
        <v>29</v>
      </c>
      <c r="O2207" s="1"/>
      <c r="P2207" s="11"/>
      <c r="Q2207" s="11"/>
      <c r="R2207" s="11"/>
      <c r="S2207" s="11"/>
      <c r="T2207" s="1"/>
      <c r="U2207" s="1"/>
      <c r="V2207" s="1"/>
      <c r="W2207" s="1"/>
      <c r="X2207" s="1"/>
      <c r="Y2207" s="1"/>
      <c r="Z2207" s="1"/>
    </row>
    <row r="2208" ht="18.0" customHeight="1" collapsed="1">
      <c r="A2208" s="1"/>
      <c r="B2208" s="1"/>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customHeight="1">
      <c r="A2209" s="1"/>
      <c r="B2209" s="26" t="s">
        <v>2246</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存在しない</v>
      </c>
      <c r="N2209" s="1" t="s">
        <v>29</v>
      </c>
      <c r="O2209" s="1"/>
      <c r="P2209" s="11"/>
      <c r="Q2209" s="11"/>
      <c r="R2209" s="11"/>
      <c r="S2209" s="11"/>
      <c r="T2209" s="1"/>
      <c r="U2209" s="1"/>
      <c r="V2209" s="1"/>
      <c r="W2209" s="1"/>
      <c r="X2209" s="1"/>
      <c r="Y2209" s="1"/>
      <c r="Z2209" s="1"/>
    </row>
    <row r="2210" ht="18.0" hidden="1" customHeight="1" outlineLevel="1">
      <c r="A2210" s="1">
        <v>1.0</v>
      </c>
      <c r="B2210" s="26" t="s">
        <v>1144</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2.0</v>
      </c>
      <c r="B2211" s="26" t="s">
        <v>29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3.0</v>
      </c>
      <c r="B2212" s="26" t="s">
        <v>1209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4.0</v>
      </c>
      <c r="B2213" s="26" t="s">
        <v>29</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5.0</v>
      </c>
      <c r="B2214" s="26" t="s">
        <v>1140</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6.0</v>
      </c>
      <c r="B2215" s="26" t="s">
        <v>29</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7.0</v>
      </c>
      <c r="B2216" s="26" t="s">
        <v>1261</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8.0</v>
      </c>
      <c r="B2217" s="26" t="s">
        <v>29</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9.0</v>
      </c>
      <c r="B2218" s="26" t="s">
        <v>2000</v>
      </c>
      <c r="C2218" s="1"/>
      <c r="D2218" s="1"/>
      <c r="E2218" s="14"/>
      <c r="F2218" s="15"/>
      <c r="G2218" s="16"/>
      <c r="H2218" s="11"/>
      <c r="I2218" s="7"/>
      <c r="J2218" s="7" t="str">
        <f>IFERROR(LET(_xlpm.v,
VLOOKUP($I2218,'用語辞書'!$A:$B,COLUMN('用語辞書'!B$1),FALSE),
IF(_xlpm.v=0,"",_xlpm.v)
),"")</f>
        <v/>
      </c>
      <c r="K2218" s="17"/>
      <c r="L2218" s="17" t="str">
        <f>IF(OR(COUNTIF('クラス'!$A$1:$A$1267,$B2218)&gt;0,$B2218="",$M2218=""),"",True)</f>
        <v/>
      </c>
      <c r="M2218" s="1" t="str">
        <f t="shared" si="27"/>
        <v/>
      </c>
      <c r="N2218" s="1" t="s">
        <v>29</v>
      </c>
      <c r="O2218" s="1"/>
      <c r="P2218" s="11"/>
      <c r="Q2218" s="11"/>
      <c r="R2218" s="11"/>
      <c r="S2218" s="11"/>
      <c r="T2218" s="1"/>
      <c r="U2218" s="1"/>
      <c r="V2218" s="1"/>
      <c r="W2218" s="1"/>
      <c r="X2218" s="1"/>
      <c r="Y2218" s="1"/>
      <c r="Z2218" s="1"/>
    </row>
    <row r="2219" ht="18.0" hidden="1" customHeight="1" outlineLevel="1">
      <c r="A2219" s="1">
        <v>10.0</v>
      </c>
      <c r="B2219" s="26" t="s">
        <v>2247</v>
      </c>
      <c r="C2219" s="26" t="s">
        <v>29</v>
      </c>
      <c r="D2219" s="26" t="s">
        <v>29</v>
      </c>
      <c r="E2219" s="29" t="s">
        <v>55</v>
      </c>
      <c r="F2219" s="34" t="s">
        <v>29</v>
      </c>
      <c r="G2219" s="30" t="s">
        <v>29</v>
      </c>
      <c r="H2219" s="22" t="s">
        <v>1552</v>
      </c>
      <c r="I2219" s="7"/>
      <c r="J2219" s="7" t="str">
        <f>IFERROR(LET(_xlpm.v,
VLOOKUP($I2219,'用語辞書'!$A:$B,COLUMN('用語辞書'!B$1),FALSE),
IF(_xlpm.v=0,"",_xlpm.v)
),"")</f>
        <v/>
      </c>
      <c r="K2219" s="17"/>
      <c r="L2219" s="17" t="b">
        <f>IF(OR(COUNTIF('クラス'!$A$1:$A$1267,$B2219)&gt;0,$B2219="",$M2219=""),"",True)</f>
        <v>1</v>
      </c>
      <c r="M2219" s="1" t="str">
        <f t="shared" si="27"/>
        <v>存在しない</v>
      </c>
      <c r="N2219" s="1" t="s">
        <v>29</v>
      </c>
      <c r="O2219" s="1"/>
      <c r="P2219" s="11"/>
      <c r="Q2219" s="11"/>
      <c r="R2219" s="11"/>
      <c r="S2219" s="11"/>
      <c r="T2219" s="1"/>
      <c r="U2219" s="1"/>
      <c r="V2219" s="1"/>
      <c r="W2219" s="1"/>
      <c r="X2219" s="1"/>
      <c r="Y2219" s="1"/>
      <c r="Z2219" s="1"/>
    </row>
    <row r="2220" ht="18.0" customHeight="1" collapsed="1">
      <c r="A2220" s="1"/>
      <c r="B2220" s="1"/>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customHeight="1">
      <c r="A2221" s="1"/>
      <c r="B2221" s="26" t="s">
        <v>2248</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存在しない</v>
      </c>
      <c r="N2221" s="1" t="s">
        <v>29</v>
      </c>
      <c r="O2221" s="1"/>
      <c r="P2221" s="11"/>
      <c r="Q2221" s="11"/>
      <c r="R2221" s="11"/>
      <c r="S2221" s="11"/>
      <c r="T2221" s="1"/>
      <c r="U2221" s="1"/>
      <c r="V2221" s="1"/>
      <c r="W2221" s="1"/>
      <c r="X2221" s="1"/>
      <c r="Y2221" s="1"/>
      <c r="Z2221" s="1"/>
    </row>
    <row r="2222" ht="18.0" hidden="1" customHeight="1" outlineLevel="1">
      <c r="A2222" s="1">
        <v>1.0</v>
      </c>
      <c r="B2222" s="26" t="s">
        <v>1144</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2.0</v>
      </c>
      <c r="B2223" s="26" t="s">
        <v>29</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3.0</v>
      </c>
      <c r="B2224" s="26" t="s">
        <v>2247</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4.0</v>
      </c>
      <c r="B2225" s="26" t="s">
        <v>29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5.0</v>
      </c>
      <c r="B2226" s="26" t="s">
        <v>1259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6.0</v>
      </c>
      <c r="B2227" s="26" t="s">
        <v>29</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7.0</v>
      </c>
      <c r="B2228" s="26" t="s">
        <v>2000</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8.0</v>
      </c>
      <c r="B2229" s="26" t="s">
        <v>29</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9.0</v>
      </c>
      <c r="B2230" s="26" t="s">
        <v>1261</v>
      </c>
      <c r="C2230" s="1"/>
      <c r="D2230" s="1"/>
      <c r="E2230" s="14"/>
      <c r="F2230" s="15"/>
      <c r="G2230" s="16"/>
      <c r="H2230" s="11"/>
      <c r="I2230" s="7"/>
      <c r="J2230" s="7" t="str">
        <f>IFERROR(LET(_xlpm.v,
VLOOKUP($I2230,'用語辞書'!$A:$B,COLUMN('用語辞書'!B$1),FALSE),
IF(_xlpm.v=0,"",_xlpm.v)
),"")</f>
        <v/>
      </c>
      <c r="K2230" s="17"/>
      <c r="L2230" s="17" t="str">
        <f>IF(OR(COUNTIF('クラス'!$A$1:$A$1267,$B2230)&gt;0,$B2230="",$M2230=""),"",True)</f>
        <v/>
      </c>
      <c r="M2230" s="1" t="str">
        <f t="shared" si="27"/>
        <v/>
      </c>
      <c r="N2230" s="1" t="s">
        <v>29</v>
      </c>
      <c r="O2230" s="1"/>
      <c r="P2230" s="11"/>
      <c r="Q2230" s="11"/>
      <c r="R2230" s="11"/>
      <c r="S2230" s="11"/>
      <c r="T2230" s="1"/>
      <c r="U2230" s="1"/>
      <c r="V2230" s="1"/>
      <c r="W2230" s="1"/>
      <c r="X2230" s="1"/>
      <c r="Y2230" s="1"/>
      <c r="Z2230" s="1"/>
    </row>
    <row r="2231" ht="18.0" hidden="1" customHeight="1" outlineLevel="1">
      <c r="A2231" s="1">
        <v>10.0</v>
      </c>
      <c r="B2231" s="26" t="s">
        <v>2249</v>
      </c>
      <c r="C2231" s="26" t="s">
        <v>29</v>
      </c>
      <c r="D2231" s="26" t="s">
        <v>29</v>
      </c>
      <c r="E2231" s="29" t="s">
        <v>55</v>
      </c>
      <c r="F2231" s="34" t="s">
        <v>29</v>
      </c>
      <c r="G2231" s="30" t="s">
        <v>29</v>
      </c>
      <c r="H2231" s="22" t="s">
        <v>2250</v>
      </c>
      <c r="I2231" s="7"/>
      <c r="J2231" s="7" t="str">
        <f>IFERROR(LET(_xlpm.v,
VLOOKUP($I2231,'用語辞書'!$A:$B,COLUMN('用語辞書'!B$1),FALSE),
IF(_xlpm.v=0,"",_xlpm.v)
),"")</f>
        <v/>
      </c>
      <c r="K2231" s="17"/>
      <c r="L2231" s="17" t="b">
        <f>IF(OR(COUNTIF('クラス'!$A$1:$A$1267,$B2231)&gt;0,$B2231="",$M2231=""),"",True)</f>
        <v>1</v>
      </c>
      <c r="M2231" s="1" t="str">
        <f t="shared" si="27"/>
        <v>存在しない</v>
      </c>
      <c r="N2231" s="1" t="s">
        <v>29</v>
      </c>
      <c r="O2231" s="1"/>
      <c r="P2231" s="11"/>
      <c r="Q2231" s="11"/>
      <c r="R2231" s="11"/>
      <c r="S2231" s="11"/>
      <c r="T2231" s="1"/>
      <c r="U2231" s="1"/>
      <c r="V2231" s="1"/>
      <c r="W2231" s="1"/>
      <c r="X2231" s="1"/>
      <c r="Y2231" s="1"/>
      <c r="Z2231" s="1"/>
    </row>
    <row r="2232" ht="18.0" customHeight="1" collapsed="1">
      <c r="A2232" s="1"/>
      <c r="B2232" s="1"/>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customHeight="1">
      <c r="A2233" s="1"/>
      <c r="B2233" s="26" t="s">
        <v>2251</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存在しない</v>
      </c>
      <c r="N2233" s="1" t="s">
        <v>29</v>
      </c>
      <c r="O2233" s="1"/>
      <c r="P2233" s="11"/>
      <c r="Q2233" s="11"/>
      <c r="R2233" s="11"/>
      <c r="S2233" s="11"/>
      <c r="T2233" s="1"/>
      <c r="U2233" s="1"/>
      <c r="V2233" s="1"/>
      <c r="W2233" s="1"/>
      <c r="X2233" s="1"/>
      <c r="Y2233" s="1"/>
      <c r="Z2233" s="1"/>
    </row>
    <row r="2234" ht="18.0" hidden="1" customHeight="1" outlineLevel="1">
      <c r="A2234" s="1">
        <v>1.0</v>
      </c>
      <c r="B2234" s="26" t="s">
        <v>1144</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2.0</v>
      </c>
      <c r="B2235" s="26" t="s">
        <v>29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3.0</v>
      </c>
      <c r="B2236" s="26" t="s">
        <v>1209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4.0</v>
      </c>
      <c r="B2237" s="26" t="s">
        <v>29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5.0</v>
      </c>
      <c r="B2238" s="26" t="s">
        <v>1259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6.0</v>
      </c>
      <c r="B2239" s="26" t="s">
        <v>29</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7.0</v>
      </c>
      <c r="B2240" s="26" t="s">
        <v>2000</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8.0</v>
      </c>
      <c r="B2241" s="26" t="s">
        <v>29</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9.0</v>
      </c>
      <c r="B2242" s="26" t="s">
        <v>1500</v>
      </c>
      <c r="C2242" s="1"/>
      <c r="D2242" s="1"/>
      <c r="E2242" s="14"/>
      <c r="F2242" s="15"/>
      <c r="G2242" s="16"/>
      <c r="H2242" s="11"/>
      <c r="I2242" s="7"/>
      <c r="J2242" s="7" t="str">
        <f>IFERROR(LET(_xlpm.v,
VLOOKUP($I2242,'用語辞書'!$A:$B,COLUMN('用語辞書'!B$1),FALSE),
IF(_xlpm.v=0,"",_xlpm.v)
),"")</f>
        <v/>
      </c>
      <c r="K2242" s="17"/>
      <c r="L2242" s="17" t="str">
        <f>IF(OR(COUNTIF('クラス'!$A$1:$A$1267,$B2242)&gt;0,$B2242="",$M2242=""),"",True)</f>
        <v/>
      </c>
      <c r="M2242" s="1" t="str">
        <f t="shared" si="27"/>
        <v/>
      </c>
      <c r="N2242" s="1" t="s">
        <v>29</v>
      </c>
      <c r="O2242" s="1"/>
      <c r="P2242" s="11"/>
      <c r="Q2242" s="11"/>
      <c r="R2242" s="11"/>
      <c r="S2242" s="11"/>
      <c r="T2242" s="1"/>
      <c r="U2242" s="1"/>
      <c r="V2242" s="1"/>
      <c r="W2242" s="1"/>
      <c r="X2242" s="1"/>
      <c r="Y2242" s="1"/>
      <c r="Z2242" s="1"/>
    </row>
    <row r="2243" ht="18.0" hidden="1" customHeight="1" outlineLevel="1">
      <c r="A2243" s="1">
        <v>10.0</v>
      </c>
      <c r="B2243" s="26" t="s">
        <v>2252</v>
      </c>
      <c r="C2243" s="26" t="s">
        <v>29</v>
      </c>
      <c r="D2243" s="26" t="s">
        <v>29</v>
      </c>
      <c r="E2243" s="29" t="s">
        <v>33</v>
      </c>
      <c r="F2243" s="34" t="s">
        <v>29</v>
      </c>
      <c r="G2243" s="30">
        <v>40.0</v>
      </c>
      <c r="H2243" s="22" t="s">
        <v>2253</v>
      </c>
      <c r="I2243" s="7"/>
      <c r="J2243" s="7" t="str">
        <f>IFERROR(LET(_xlpm.v,
VLOOKUP($I2243,'用語辞書'!$A:$B,COLUMN('用語辞書'!B$1),FALSE),
IF(_xlpm.v=0,"",_xlpm.v)
),"")</f>
        <v/>
      </c>
      <c r="K2243" s="17"/>
      <c r="L2243" s="17" t="b">
        <f>IF(OR(COUNTIF('クラス'!$A$1:$A$1267,$B2243)&gt;0,$B2243="",$M2243=""),"",True)</f>
        <v>1</v>
      </c>
      <c r="M2243" s="1" t="str">
        <f t="shared" si="27"/>
        <v>存在しない</v>
      </c>
      <c r="N2243" s="1" t="s">
        <v>29</v>
      </c>
      <c r="O2243" s="1"/>
      <c r="P2243" s="11"/>
      <c r="Q2243" s="11"/>
      <c r="R2243" s="11"/>
      <c r="S2243" s="11"/>
      <c r="T2243" s="1"/>
      <c r="U2243" s="1"/>
      <c r="V2243" s="1"/>
      <c r="W2243" s="1"/>
      <c r="X2243" s="1"/>
      <c r="Y2243" s="1"/>
      <c r="Z2243" s="1"/>
    </row>
    <row r="2244" ht="18.0" customHeight="1" collapsed="1">
      <c r="A2244" s="1"/>
      <c r="B2244" s="1"/>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customHeight="1">
      <c r="A2245" s="1"/>
      <c r="B2245" s="26" t="s">
        <v>2254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存在しない</v>
      </c>
      <c r="N2245" s="1" t="s">
        <v>29</v>
      </c>
      <c r="O2245" s="1"/>
      <c r="P2245" s="11"/>
      <c r="Q2245" s="11"/>
      <c r="R2245" s="11"/>
      <c r="S2245" s="11"/>
      <c r="T2245" s="1"/>
      <c r="U2245" s="1"/>
      <c r="V2245" s="1"/>
      <c r="W2245" s="1"/>
      <c r="X2245" s="1"/>
      <c r="Y2245" s="1"/>
      <c r="Z2245" s="1"/>
    </row>
    <row r="2246" ht="18.0" hidden="1" customHeight="1" outlineLevel="1">
      <c r="A2246" s="1">
        <v>1.0</v>
      </c>
      <c r="B2246" s="26" t="s">
        <v>1144</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2.0</v>
      </c>
      <c r="B2247" s="26" t="s">
        <v>29</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3.0</v>
      </c>
      <c r="B2248" s="26" t="s">
        <v>2136</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4.0</v>
      </c>
      <c r="B2249" s="26" t="s">
        <v>29</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5.0</v>
      </c>
      <c r="B2250" s="26" t="s">
        <v>1854</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6.0</v>
      </c>
      <c r="B2251" s="26" t="s">
        <v>29</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7.0</v>
      </c>
      <c r="B2252" s="26" t="s">
        <v>2000</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8.0</v>
      </c>
      <c r="B2253" s="26" t="s">
        <v>29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9.0</v>
      </c>
      <c r="B2254" s="26" t="s">
        <v>1209</v>
      </c>
      <c r="C2254" s="1"/>
      <c r="D2254" s="1"/>
      <c r="E2254" s="14"/>
      <c r="F2254" s="15"/>
      <c r="G2254" s="16"/>
      <c r="H2254" s="11"/>
      <c r="I2254" s="7"/>
      <c r="J2254" s="7" t="str">
        <f>IFERROR(LET(_xlpm.v,
VLOOKUP($I2254,'用語辞書'!$A:$B,COLUMN('用語辞書'!B$1),FALSE),
IF(_xlpm.v=0,"",_xlpm.v)
),"")</f>
        <v/>
      </c>
      <c r="K2254" s="17"/>
      <c r="L2254" s="17" t="str">
        <f>IF(OR(COUNTIF('クラス'!$A$1:$A$1267,$B2254)&gt;0,$B2254="",$M2254=""),"",True)</f>
        <v/>
      </c>
      <c r="M2254" s="1" t="str">
        <f t="shared" si="27"/>
        <v/>
      </c>
      <c r="N2254" s="1" t="s">
        <v>29</v>
      </c>
      <c r="O2254" s="1"/>
      <c r="P2254" s="11"/>
      <c r="Q2254" s="11"/>
      <c r="R2254" s="11"/>
      <c r="S2254" s="11"/>
      <c r="T2254" s="1"/>
      <c r="U2254" s="1"/>
      <c r="V2254" s="1"/>
      <c r="W2254" s="1"/>
      <c r="X2254" s="1"/>
      <c r="Y2254" s="1"/>
      <c r="Z2254" s="1"/>
    </row>
    <row r="2255" ht="18.0" hidden="1" customHeight="1" outlineLevel="1">
      <c r="A2255" s="1">
        <v>10.0</v>
      </c>
      <c r="B2255" s="26" t="s">
        <v>2255</v>
      </c>
      <c r="C2255" s="26" t="s">
        <v>29</v>
      </c>
      <c r="D2255" s="26" t="s">
        <v>29</v>
      </c>
      <c r="E2255" s="29" t="s">
        <v>55</v>
      </c>
      <c r="F2255" s="34" t="s">
        <v>29</v>
      </c>
      <c r="G2255" s="30" t="s">
        <v>29</v>
      </c>
      <c r="H2255" s="22" t="s">
        <v>2256</v>
      </c>
      <c r="I2255" s="7"/>
      <c r="J2255" s="7" t="str">
        <f>IFERROR(LET(_xlpm.v,
VLOOKUP($I2255,'用語辞書'!$A:$B,COLUMN('用語辞書'!B$1),FALSE),
IF(_xlpm.v=0,"",_xlpm.v)
),"")</f>
        <v/>
      </c>
      <c r="K2255" s="17"/>
      <c r="L2255" s="17" t="b">
        <f>IF(OR(COUNTIF('クラス'!$A$1:$A$1267,$B2255)&gt;0,$B2255="",$M2255=""),"",True)</f>
        <v>1</v>
      </c>
      <c r="M2255" s="1" t="str">
        <f t="shared" si="27"/>
        <v>存在しない</v>
      </c>
      <c r="N2255" s="1" t="s">
        <v>29</v>
      </c>
      <c r="O2255" s="1"/>
      <c r="P2255" s="11"/>
      <c r="Q2255" s="11"/>
      <c r="R2255" s="11"/>
      <c r="S2255" s="11"/>
      <c r="T2255" s="1"/>
      <c r="U2255" s="1"/>
      <c r="V2255" s="1"/>
      <c r="W2255" s="1"/>
      <c r="X2255" s="1"/>
      <c r="Y2255" s="1"/>
      <c r="Z2255" s="1"/>
    </row>
    <row r="2256" ht="18.0" customHeight="1" collapsed="1">
      <c r="A2256" s="1"/>
      <c r="B2256" s="1"/>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customHeight="1">
      <c r="A2257" s="1"/>
      <c r="B2257" s="26" t="s">
        <v>2257</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存在しない</v>
      </c>
      <c r="N2257" s="1" t="s">
        <v>29</v>
      </c>
      <c r="O2257" s="1"/>
      <c r="P2257" s="11"/>
      <c r="Q2257" s="11"/>
      <c r="R2257" s="11"/>
      <c r="S2257" s="11"/>
      <c r="T2257" s="1"/>
      <c r="U2257" s="1"/>
      <c r="V2257" s="1"/>
      <c r="W2257" s="1"/>
      <c r="X2257" s="1"/>
      <c r="Y2257" s="1"/>
      <c r="Z2257" s="1"/>
    </row>
    <row r="2258" ht="18.0" hidden="1" customHeight="1" outlineLevel="1">
      <c r="A2258" s="1">
        <v>1.0</v>
      </c>
      <c r="B2258" s="26" t="s">
        <v>2239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2.0</v>
      </c>
      <c r="B2259" s="26" t="s">
        <v>29</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3.0</v>
      </c>
      <c r="B2260" s="26" t="s">
        <v>1390</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4.0</v>
      </c>
      <c r="B2261" s="26" t="s">
        <v>29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5.0</v>
      </c>
      <c r="B2262" s="26" t="s">
        <v>1259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6.0</v>
      </c>
      <c r="B2263" s="26" t="s">
        <v>29</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7.0</v>
      </c>
      <c r="B2264" s="26" t="s">
        <v>1140</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8.0</v>
      </c>
      <c r="B2265" s="26" t="s">
        <v>29</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9.0</v>
      </c>
      <c r="B2266" s="26" t="s">
        <v>1144</v>
      </c>
      <c r="C2266" s="1"/>
      <c r="D2266" s="1"/>
      <c r="E2266" s="14"/>
      <c r="F2266" s="15"/>
      <c r="G2266" s="16"/>
      <c r="H2266" s="11"/>
      <c r="I2266" s="7"/>
      <c r="J2266" s="7" t="str">
        <f>IFERROR(LET(_xlpm.v,
VLOOKUP($I2266,'用語辞書'!$A:$B,COLUMN('用語辞書'!B$1),FALSE),
IF(_xlpm.v=0,"",_xlpm.v)
),"")</f>
        <v/>
      </c>
      <c r="K2266" s="17"/>
      <c r="L2266" s="17" t="str">
        <f>IF(OR(COUNTIF('クラス'!$A$1:$A$1267,$B2266)&gt;0,$B2266="",$M2266=""),"",True)</f>
        <v/>
      </c>
      <c r="M2266" s="1" t="str">
        <f t="shared" si="27"/>
        <v/>
      </c>
      <c r="N2266" s="1" t="s">
        <v>29</v>
      </c>
      <c r="O2266" s="1"/>
      <c r="P2266" s="11"/>
      <c r="Q2266" s="11"/>
      <c r="R2266" s="11"/>
      <c r="S2266" s="11"/>
      <c r="T2266" s="1"/>
      <c r="U2266" s="1"/>
      <c r="V2266" s="1"/>
      <c r="W2266" s="1"/>
      <c r="X2266" s="1"/>
      <c r="Y2266" s="1"/>
      <c r="Z2266" s="1"/>
    </row>
    <row r="2267" ht="18.0" hidden="1" customHeight="1" outlineLevel="1">
      <c r="A2267" s="1">
        <v>10.0</v>
      </c>
      <c r="B2267" s="26" t="s">
        <v>2258</v>
      </c>
      <c r="C2267" s="26" t="s">
        <v>29</v>
      </c>
      <c r="D2267" s="26" t="s">
        <v>29</v>
      </c>
      <c r="E2267" s="29" t="s">
        <v>55</v>
      </c>
      <c r="F2267" s="34" t="s">
        <v>29</v>
      </c>
      <c r="G2267" s="30" t="s">
        <v>29</v>
      </c>
      <c r="H2267" s="22" t="s">
        <v>2259</v>
      </c>
      <c r="I2267" s="7"/>
      <c r="J2267" s="7" t="str">
        <f>IFERROR(LET(_xlpm.v,
VLOOKUP($I2267,'用語辞書'!$A:$B,COLUMN('用語辞書'!B$1),FALSE),
IF(_xlpm.v=0,"",_xlpm.v)
),"")</f>
        <v/>
      </c>
      <c r="K2267" s="17"/>
      <c r="L2267" s="17" t="b">
        <f>IF(OR(COUNTIF('クラス'!$A$1:$A$1267,$B2267)&gt;0,$B2267="",$M2267=""),"",True)</f>
        <v>1</v>
      </c>
      <c r="M2267" s="1" t="str">
        <f t="shared" si="27"/>
        <v>存在しない</v>
      </c>
      <c r="N2267" s="1" t="s">
        <v>29</v>
      </c>
      <c r="O2267" s="1"/>
      <c r="P2267" s="11"/>
      <c r="Q2267" s="11"/>
      <c r="R2267" s="11"/>
      <c r="S2267" s="11"/>
      <c r="T2267" s="1"/>
      <c r="U2267" s="1"/>
      <c r="V2267" s="1"/>
      <c r="W2267" s="1"/>
      <c r="X2267" s="1"/>
      <c r="Y2267" s="1"/>
      <c r="Z2267" s="1"/>
    </row>
    <row r="2268" ht="18.0" customHeight="1" collapsed="1">
      <c r="A2268" s="1"/>
      <c r="B2268" s="1"/>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customHeight="1">
      <c r="A2269" s="1"/>
      <c r="B2269" s="26" t="s">
        <v>2260</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存在しない</v>
      </c>
      <c r="N2269" s="1" t="s">
        <v>29</v>
      </c>
      <c r="O2269" s="1"/>
      <c r="P2269" s="11"/>
      <c r="Q2269" s="11"/>
      <c r="R2269" s="11"/>
      <c r="S2269" s="11"/>
      <c r="T2269" s="1"/>
      <c r="U2269" s="1"/>
      <c r="V2269" s="1"/>
      <c r="W2269" s="1"/>
      <c r="X2269" s="1"/>
      <c r="Y2269" s="1"/>
      <c r="Z2269" s="1"/>
    </row>
    <row r="2270" ht="18.0" hidden="1" customHeight="1" outlineLevel="1">
      <c r="A2270" s="1">
        <v>1.0</v>
      </c>
      <c r="B2270" s="26" t="s">
        <v>1136</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2.0</v>
      </c>
      <c r="B2271" s="26" t="s">
        <v>29</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3.0</v>
      </c>
      <c r="B2272" s="26" t="s">
        <v>2258</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4.0</v>
      </c>
      <c r="B2273" s="26" t="s">
        <v>29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5.0</v>
      </c>
      <c r="B2274" s="26" t="s">
        <v>1259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6.0</v>
      </c>
      <c r="B2275" s="26" t="s">
        <v>29</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7.0</v>
      </c>
      <c r="B2276" s="26" t="s">
        <v>1140</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8.0</v>
      </c>
      <c r="B2277" s="26" t="s">
        <v>29</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9.0</v>
      </c>
      <c r="B2278" s="26" t="s">
        <v>1144</v>
      </c>
      <c r="C2278" s="1"/>
      <c r="D2278" s="1"/>
      <c r="E2278" s="14"/>
      <c r="F2278" s="15"/>
      <c r="G2278" s="16"/>
      <c r="H2278" s="11"/>
      <c r="I2278" s="7"/>
      <c r="J2278" s="7" t="str">
        <f>IFERROR(LET(_xlpm.v,
VLOOKUP($I2278,'用語辞書'!$A:$B,COLUMN('用語辞書'!B$1),FALSE),
IF(_xlpm.v=0,"",_xlpm.v)
),"")</f>
        <v/>
      </c>
      <c r="K2278" s="17"/>
      <c r="L2278" s="17" t="str">
        <f>IF(OR(COUNTIF('クラス'!$A$1:$A$1267,$B2278)&gt;0,$B2278="",$M2278=""),"",True)</f>
        <v/>
      </c>
      <c r="M2278" s="1" t="str">
        <f t="shared" si="27"/>
        <v/>
      </c>
      <c r="N2278" s="1" t="s">
        <v>29</v>
      </c>
      <c r="O2278" s="1"/>
      <c r="P2278" s="11"/>
      <c r="Q2278" s="11"/>
      <c r="R2278" s="11"/>
      <c r="S2278" s="11"/>
      <c r="T2278" s="1"/>
      <c r="U2278" s="1"/>
      <c r="V2278" s="1"/>
      <c r="W2278" s="1"/>
      <c r="X2278" s="1"/>
      <c r="Y2278" s="1"/>
      <c r="Z2278" s="1"/>
    </row>
    <row r="2279" ht="18.0" hidden="1" customHeight="1" outlineLevel="1">
      <c r="A2279" s="1">
        <v>10.0</v>
      </c>
      <c r="B2279" s="26" t="s">
        <v>2261</v>
      </c>
      <c r="C2279" s="26" t="s">
        <v>29</v>
      </c>
      <c r="D2279" s="26" t="s">
        <v>29</v>
      </c>
      <c r="E2279" s="29" t="s">
        <v>55</v>
      </c>
      <c r="F2279" s="34" t="s">
        <v>29</v>
      </c>
      <c r="G2279" s="30" t="s">
        <v>29</v>
      </c>
      <c r="H2279" s="22" t="s">
        <v>2262</v>
      </c>
      <c r="I2279" s="7"/>
      <c r="J2279" s="7" t="str">
        <f>IFERROR(LET(_xlpm.v,
VLOOKUP($I2279,'用語辞書'!$A:$B,COLUMN('用語辞書'!B$1),FALSE),
IF(_xlpm.v=0,"",_xlpm.v)
),"")</f>
        <v/>
      </c>
      <c r="K2279" s="17"/>
      <c r="L2279" s="17" t="b">
        <f>IF(OR(COUNTIF('クラス'!$A$1:$A$1267,$B2279)&gt;0,$B2279="",$M2279=""),"",True)</f>
        <v>1</v>
      </c>
      <c r="M2279" s="1" t="str">
        <f t="shared" si="27"/>
        <v>存在しない</v>
      </c>
      <c r="N2279" s="1" t="s">
        <v>29</v>
      </c>
      <c r="O2279" s="1"/>
      <c r="P2279" s="11"/>
      <c r="Q2279" s="11"/>
      <c r="R2279" s="11"/>
      <c r="S2279" s="11"/>
      <c r="T2279" s="1"/>
      <c r="U2279" s="1"/>
      <c r="V2279" s="1"/>
      <c r="W2279" s="1"/>
      <c r="X2279" s="1"/>
      <c r="Y2279" s="1"/>
      <c r="Z2279" s="1"/>
    </row>
    <row r="2280" ht="18.0" customHeight="1" collapsed="1">
      <c r="A2280" s="1"/>
      <c r="B2280" s="1"/>
      <c r="C2280" s="26" t="s">
        <v>2263</v>
      </c>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customHeight="1" outlineLevel="1">
      <c r="A2281" s="1"/>
      <c r="B2281" s="26" t="s">
        <v>2264</v>
      </c>
      <c r="C2281" s="1"/>
      <c r="D2281" s="1"/>
      <c r="E2281" s="14"/>
      <c r="F2281" s="15"/>
      <c r="G2281" s="16"/>
      <c r="H2281" s="11"/>
      <c r="I2281" s="7"/>
      <c r="J2281" s="7" t="str">
        <f>IFERROR(LET(_xlpm.v,
VLOOKUP($I2281,'用語辞書'!$A:$B,COLUMN('用語辞書'!B$1),FALSE),
IF(_xlpm.v=0,"",_xlpm.v)
),"")</f>
        <v/>
      </c>
      <c r="K2281" s="17"/>
      <c r="L2281" s="17" t="str">
        <f>IF(OR(COUNTIF('クラス'!$A$1:$A$1267,$B2281)&gt;0,$B2281="",$M2281=""),"",True)</f>
        <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1.0</v>
      </c>
      <c r="B2282" s="26" t="s">
        <v>2265</v>
      </c>
      <c r="C2282" s="26" t="s">
        <v>29</v>
      </c>
      <c r="D2282" s="26" t="s">
        <v>29</v>
      </c>
      <c r="E2282" s="29" t="s">
        <v>33</v>
      </c>
      <c r="F2282" s="34" t="s">
        <v>29</v>
      </c>
      <c r="G2282" s="30">
        <v>40.0</v>
      </c>
      <c r="H2282" s="22" t="s">
        <v>2266</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2.0</v>
      </c>
      <c r="B2283" s="26" t="s">
        <v>2267</v>
      </c>
      <c r="C2283" s="26" t="s">
        <v>29</v>
      </c>
      <c r="D2283" s="26" t="s">
        <v>29</v>
      </c>
      <c r="E2283" s="29" t="s">
        <v>33</v>
      </c>
      <c r="F2283" s="34" t="s">
        <v>29</v>
      </c>
      <c r="G2283" s="30">
        <v>50.0</v>
      </c>
      <c r="H2283" s="22" t="s">
        <v>2268</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3.0</v>
      </c>
      <c r="B2284" s="26" t="s">
        <v>2269</v>
      </c>
      <c r="C2284" s="26" t="s">
        <v>29</v>
      </c>
      <c r="D2284" s="26" t="s">
        <v>29</v>
      </c>
      <c r="E2284" s="29" t="s">
        <v>55</v>
      </c>
      <c r="F2284" s="34" t="s">
        <v>29</v>
      </c>
      <c r="G2284" s="30" t="s">
        <v>29</v>
      </c>
      <c r="H2284" s="22" t="s">
        <v>2270</v>
      </c>
      <c r="I2284" s="7"/>
      <c r="J2284" s="7" t="str">
        <f>IFERROR(LET(_xlpm.v,
VLOOKUP($I2284,'用語辞書'!$A:$B,COLUMN('用語辞書'!B$1),FALSE),
IF(_xlpm.v=0,"",_xlpm.v)
),"")</f>
        <v/>
      </c>
      <c r="K2284" s="17"/>
      <c r="L2284" s="17" t="b">
        <f>IF(OR(COUNTIF('クラス'!$A$1:$A$1267,$B2284)&gt;0,$B2284="",$M2284=""),"",True)</f>
        <v>1</v>
      </c>
      <c r="M2284" s="1" t="str">
        <f t="shared" si="27"/>
        <v>存在しない</v>
      </c>
      <c r="N2284" s="1" t="s">
        <v>29</v>
      </c>
      <c r="O2284" s="1"/>
      <c r="P2284" s="11"/>
      <c r="Q2284" s="11"/>
      <c r="R2284" s="11"/>
      <c r="S2284" s="11"/>
      <c r="T2284" s="1"/>
      <c r="U2284" s="1"/>
      <c r="V2284" s="1"/>
      <c r="W2284" s="1"/>
      <c r="X2284" s="1"/>
      <c r="Y2284" s="1"/>
      <c r="Z2284" s="1"/>
    </row>
    <row r="2285" ht="18.0" hidden="1" customHeight="1" outlineLevel="2">
      <c r="A2285" s="26">
        <v>4.0</v>
      </c>
      <c r="B2285" s="26" t="s">
        <v>29</v>
      </c>
      <c r="C2285" s="1"/>
      <c r="D2285" s="1"/>
      <c r="E2285" s="14"/>
      <c r="F2285" s="15"/>
      <c r="G2285" s="16"/>
      <c r="H2285" s="11"/>
      <c r="I2285" s="7"/>
      <c r="J2285" s="7" t="str">
        <f>IFERROR(LET(_xlpm.v,
VLOOKUP($I2285,'用語辞書'!$A:$B,COLUMN('用語辞書'!B$1),FALSE),
IF(_xlpm.v=0,"",_xlpm.v)
),"")</f>
        <v/>
      </c>
      <c r="K2285" s="17"/>
      <c r="L2285" s="17" t="str">
        <f>IF(OR(COUNTIF('クラス'!$A$1:$A$1267,$B2285)&gt;0,$B2285="",$M2285=""),"",True)</f>
        <v/>
      </c>
      <c r="M2285" s="1" t="str">
        <f t="shared" si="27"/>
        <v/>
      </c>
      <c r="N2285" s="1" t="s">
        <v>29</v>
      </c>
      <c r="O2285" s="1"/>
      <c r="P2285" s="11"/>
      <c r="Q2285" s="11"/>
      <c r="R2285" s="11"/>
      <c r="S2285" s="11"/>
      <c r="T2285" s="1"/>
      <c r="U2285" s="1"/>
      <c r="V2285" s="1"/>
      <c r="W2285" s="1"/>
      <c r="X2285" s="1"/>
      <c r="Y2285" s="1"/>
      <c r="Z2285" s="1"/>
    </row>
    <row r="2286" ht="18.0" hidden="1" customHeight="1" outlineLevel="2">
      <c r="A2286" s="26">
        <v>5.0</v>
      </c>
      <c r="B2286" s="26" t="s">
        <v>2271</v>
      </c>
      <c r="C2286" s="26" t="s">
        <v>29</v>
      </c>
      <c r="D2286" s="26" t="s">
        <v>29</v>
      </c>
      <c r="E2286" s="29" t="s">
        <v>33</v>
      </c>
      <c r="F2286" s="34" t="s">
        <v>29</v>
      </c>
      <c r="G2286" s="30">
        <v>60.0</v>
      </c>
      <c r="H2286" s="31" t="s">
        <v>2272</v>
      </c>
      <c r="I2286" s="7"/>
      <c r="J2286" s="7" t="str">
        <f>IFERROR(LET(_xlpm.v,
VLOOKUP($I2286,'用語辞書'!$A:$B,COLUMN('用語辞書'!B$1),FALSE),
IF(_xlpm.v=0,"",_xlpm.v)
),"")</f>
        <v/>
      </c>
      <c r="K2286" s="17"/>
      <c r="L2286" s="17" t="b">
        <f>IF(OR(COUNTIF('クラス'!$A$1:$A$1267,$B2286)&gt;0,$B2286="",$M2286=""),"",True)</f>
        <v>1</v>
      </c>
      <c r="M2286" s="1" t="str">
        <f t="shared" si="27"/>
        <v>存在しない</v>
      </c>
      <c r="N2286" s="1" t="s">
        <v>29</v>
      </c>
      <c r="O2286" s="1"/>
      <c r="P2286" s="11"/>
      <c r="Q2286" s="11"/>
      <c r="R2286" s="11"/>
      <c r="S2286" s="11"/>
      <c r="T2286" s="1"/>
      <c r="U2286" s="1"/>
      <c r="V2286" s="1"/>
      <c r="W2286" s="1"/>
      <c r="X2286" s="1"/>
      <c r="Y2286" s="1"/>
      <c r="Z2286" s="1"/>
    </row>
    <row r="2287" ht="18.0" hidden="1" customHeight="1" outlineLevel="2">
      <c r="A2287" s="26">
        <v>6.0</v>
      </c>
      <c r="B2287" s="26" t="s">
        <v>29</v>
      </c>
      <c r="C2287" s="1"/>
      <c r="D2287" s="1"/>
      <c r="E2287" s="14"/>
      <c r="F2287" s="15"/>
      <c r="G2287" s="16"/>
      <c r="H2287" s="11"/>
      <c r="I2287" s="7"/>
      <c r="J2287" s="7" t="str">
        <f>IFERROR(LET(_xlpm.v,
VLOOKUP($I2287,'用語辞書'!$A:$B,COLUMN('用語辞書'!B$1),FALSE),
IF(_xlpm.v=0,"",_xlpm.v)
),"")</f>
        <v/>
      </c>
      <c r="K2287" s="17"/>
      <c r="L2287" s="17" t="str">
        <f>IF(OR(COUNTIF('クラス'!$A$1:$A$1267,$B2287)&gt;0,$B2287="",$M2287=""),"",True)</f>
        <v/>
      </c>
      <c r="M2287" s="1" t="str">
        <f t="shared" si="27"/>
        <v/>
      </c>
      <c r="N2287" s="1" t="s">
        <v>29</v>
      </c>
      <c r="O2287" s="1"/>
      <c r="P2287" s="11"/>
      <c r="Q2287" s="11"/>
      <c r="R2287" s="11"/>
      <c r="S2287" s="11"/>
      <c r="T2287" s="1"/>
      <c r="U2287" s="1"/>
      <c r="V2287" s="1"/>
      <c r="W2287" s="1"/>
      <c r="X2287" s="1"/>
      <c r="Y2287" s="1"/>
      <c r="Z2287" s="1"/>
    </row>
    <row r="2288" ht="18.0" hidden="1" customHeight="1" outlineLevel="2">
      <c r="A2288" s="26">
        <v>7.0</v>
      </c>
      <c r="B2288" s="26" t="s">
        <v>2273</v>
      </c>
      <c r="C2288" s="26" t="s">
        <v>29</v>
      </c>
      <c r="D2288" s="26" t="s">
        <v>29</v>
      </c>
      <c r="E2288" s="29" t="s">
        <v>33</v>
      </c>
      <c r="F2288" s="34" t="s">
        <v>29</v>
      </c>
      <c r="G2288" s="30">
        <v>60.0</v>
      </c>
      <c r="H2288" s="22" t="s">
        <v>2274</v>
      </c>
      <c r="I2288" s="7"/>
      <c r="J2288" s="7" t="str">
        <f>IFERROR(LET(_xlpm.v,
VLOOKUP($I2288,'用語辞書'!$A:$B,COLUMN('用語辞書'!B$1),FALSE),
IF(_xlpm.v=0,"",_xlpm.v)
),"")</f>
        <v/>
      </c>
      <c r="K2288" s="17"/>
      <c r="L2288" s="17" t="b">
        <f>IF(OR(COUNTIF('クラス'!$A$1:$A$1267,$B2288)&gt;0,$B2288="",$M2288=""),"",True)</f>
        <v>1</v>
      </c>
      <c r="M2288" s="1" t="str">
        <f t="shared" si="27"/>
        <v>存在しない</v>
      </c>
      <c r="N2288" s="1" t="s">
        <v>29</v>
      </c>
      <c r="O2288" s="1"/>
      <c r="P2288" s="11"/>
      <c r="Q2288" s="11"/>
      <c r="R2288" s="11"/>
      <c r="S2288" s="11"/>
      <c r="T2288" s="1"/>
      <c r="U2288" s="1"/>
      <c r="V2288" s="1"/>
      <c r="W2288" s="1"/>
      <c r="X2288" s="1"/>
      <c r="Y2288" s="1"/>
      <c r="Z2288" s="1"/>
    </row>
    <row r="2289" ht="18.0" hidden="1" customHeight="1" outlineLevel="2">
      <c r="A2289" s="26">
        <v>8.0</v>
      </c>
      <c r="B2289" s="26" t="s">
        <v>29</v>
      </c>
      <c r="C2289" s="1"/>
      <c r="D2289" s="1"/>
      <c r="E2289" s="14"/>
      <c r="F2289" s="15"/>
      <c r="G2289" s="16"/>
      <c r="H2289" s="11"/>
      <c r="I2289" s="7"/>
      <c r="J2289" s="7" t="str">
        <f>IFERROR(LET(_xlpm.v,
VLOOKUP($I2289,'用語辞書'!$A:$B,COLUMN('用語辞書'!B$1),FALSE),
IF(_xlpm.v=0,"",_xlpm.v)
),"")</f>
        <v/>
      </c>
      <c r="K2289" s="17"/>
      <c r="L2289" s="17" t="str">
        <f>IF(OR(COUNTIF('クラス'!$A$1:$A$1267,$B2289)&gt;0,$B2289="",$M2289=""),"",True)</f>
        <v/>
      </c>
      <c r="M2289" s="1" t="str">
        <f t="shared" si="27"/>
        <v/>
      </c>
      <c r="N2289" s="1" t="s">
        <v>29</v>
      </c>
      <c r="O2289" s="1"/>
      <c r="P2289" s="11"/>
      <c r="Q2289" s="11"/>
      <c r="R2289" s="11"/>
      <c r="S2289" s="11"/>
      <c r="T2289" s="1"/>
      <c r="U2289" s="1"/>
      <c r="V2289" s="1"/>
      <c r="W2289" s="1"/>
      <c r="X2289" s="1"/>
      <c r="Y2289" s="1"/>
      <c r="Z2289" s="1"/>
    </row>
    <row r="2290" ht="18.0" hidden="1" customHeight="1" outlineLevel="2">
      <c r="A2290" s="26">
        <v>9.0</v>
      </c>
      <c r="B2290" s="26" t="s">
        <v>2275</v>
      </c>
      <c r="C2290" s="26" t="s">
        <v>29</v>
      </c>
      <c r="D2290" s="26" t="s">
        <v>29</v>
      </c>
      <c r="E2290" s="29" t="s">
        <v>33</v>
      </c>
      <c r="F2290" s="34" t="s">
        <v>29</v>
      </c>
      <c r="G2290" s="30">
        <v>60.0</v>
      </c>
      <c r="H2290" s="22" t="s">
        <v>2276</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hidden="1" customHeight="1" outlineLevel="2">
      <c r="A2291" s="26">
        <v>10.0</v>
      </c>
      <c r="B2291" s="26" t="s">
        <v>2277</v>
      </c>
      <c r="C2291" s="26" t="s">
        <v>29</v>
      </c>
      <c r="D2291" s="26" t="s">
        <v>29</v>
      </c>
      <c r="E2291" s="29" t="s">
        <v>55</v>
      </c>
      <c r="F2291" s="34" t="s">
        <v>29</v>
      </c>
      <c r="G2291" s="30" t="s">
        <v>29</v>
      </c>
      <c r="H2291" s="22" t="s">
        <v>2278</v>
      </c>
      <c r="I2291" s="7"/>
      <c r="J2291" s="7" t="str">
        <f>IFERROR(LET(_xlpm.v,
VLOOKUP($I2291,'用語辞書'!$A:$B,COLUMN('用語辞書'!B$1),FALSE),
IF(_xlpm.v=0,"",_xlpm.v)
),"")</f>
        <v/>
      </c>
      <c r="K2291" s="17"/>
      <c r="L2291" s="17" t="b">
        <f>IF(OR(COUNTIF('クラス'!$A$1:$A$1267,$B2291)&gt;0,$B2291="",$M2291=""),"",True)</f>
        <v>1</v>
      </c>
      <c r="M2291" s="1" t="str">
        <f t="shared" si="27"/>
        <v>存在しない</v>
      </c>
      <c r="N2291" s="1" t="s">
        <v>29</v>
      </c>
      <c r="O2291" s="1"/>
      <c r="P2291" s="11"/>
      <c r="Q2291" s="11"/>
      <c r="R2291" s="11"/>
      <c r="S2291" s="11"/>
      <c r="T2291" s="1"/>
      <c r="U2291" s="1"/>
      <c r="V2291" s="1"/>
      <c r="W2291" s="1"/>
      <c r="X2291" s="1"/>
      <c r="Y2291" s="1"/>
      <c r="Z2291" s="1"/>
    </row>
    <row r="2292" ht="18.0" customHeight="1" outlineLevel="1" collapsed="1">
      <c r="A2292" s="1"/>
      <c r="B2292" s="1"/>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customHeight="1" outlineLevel="1">
      <c r="A2293" s="1"/>
      <c r="B2293" s="26" t="s">
        <v>2279</v>
      </c>
      <c r="C2293" s="1"/>
      <c r="D2293" s="1"/>
      <c r="E2293" s="14"/>
      <c r="F2293" s="15"/>
      <c r="G2293" s="16"/>
      <c r="H2293" s="11"/>
      <c r="I2293" s="7"/>
      <c r="J2293" s="7" t="str">
        <f>IFERROR(LET(_xlpm.v,
VLOOKUP($I2293,'用語辞書'!$A:$B,COLUMN('用語辞書'!B$1),FALSE),
IF(_xlpm.v=0,"",_xlpm.v)
),"")</f>
        <v/>
      </c>
      <c r="K2293" s="17"/>
      <c r="L2293" s="17" t="str">
        <f>IF(OR(COUNTIF('クラス'!$A$1:$A$1267,$B2293)&gt;0,$B2293="",$M2293=""),"",True)</f>
        <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1.0</v>
      </c>
      <c r="B2294" s="26" t="s">
        <v>2280</v>
      </c>
      <c r="C2294" s="26" t="s">
        <v>29</v>
      </c>
      <c r="D2294" s="26" t="s">
        <v>29</v>
      </c>
      <c r="E2294" s="29" t="s">
        <v>33</v>
      </c>
      <c r="F2294" s="34" t="s">
        <v>29</v>
      </c>
      <c r="G2294" s="30">
        <v>60.0</v>
      </c>
      <c r="H2294" s="22" t="s">
        <v>2281</v>
      </c>
      <c r="I2294" s="7"/>
      <c r="J2294" s="7" t="str">
        <f>IFERROR(LET(_xlpm.v,
VLOOKUP($I2294,'用語辞書'!$A:$B,COLUMN('用語辞書'!B$1),FALSE),
IF(_xlpm.v=0,"",_xlpm.v)
),"")</f>
        <v/>
      </c>
      <c r="K2294" s="17"/>
      <c r="L2294" s="17" t="b">
        <f>IF(OR(COUNTIF('クラス'!$A$1:$A$1267,$B2294)&gt;0,$B2294="",$M2294=""),"",True)</f>
        <v>1</v>
      </c>
      <c r="M2294" s="1" t="str">
        <f t="shared" si="27"/>
        <v>存在しない</v>
      </c>
      <c r="N2294" s="1" t="s">
        <v>29</v>
      </c>
      <c r="O2294" s="1"/>
      <c r="P2294" s="11"/>
      <c r="Q2294" s="11"/>
      <c r="R2294" s="11"/>
      <c r="S2294" s="11"/>
      <c r="T2294" s="1"/>
      <c r="U2294" s="1"/>
      <c r="V2294" s="1"/>
      <c r="W2294" s="1"/>
      <c r="X2294" s="1"/>
      <c r="Y2294" s="1"/>
      <c r="Z2294" s="1"/>
    </row>
    <row r="2295" ht="18.0" hidden="1" customHeight="1" outlineLevel="2">
      <c r="A2295" s="1">
        <v>2.0</v>
      </c>
      <c r="B2295" s="26" t="s">
        <v>29</v>
      </c>
      <c r="C2295" s="1"/>
      <c r="D2295" s="1"/>
      <c r="E2295" s="14"/>
      <c r="F2295" s="15"/>
      <c r="G2295" s="16"/>
      <c r="H2295" s="11"/>
      <c r="I2295" s="7"/>
      <c r="J2295" s="7" t="str">
        <f>IFERROR(LET(_xlpm.v,
VLOOKUP($I2295,'用語辞書'!$A:$B,COLUMN('用語辞書'!B$1),FALSE),
IF(_xlpm.v=0,"",_xlpm.v)
),"")</f>
        <v/>
      </c>
      <c r="K2295" s="17"/>
      <c r="L2295" s="17" t="str">
        <f>IF(OR(COUNTIF('クラス'!$A$1:$A$1267,$B2295)&gt;0,$B2295="",$M2295=""),"",True)</f>
        <v/>
      </c>
      <c r="M2295" s="1" t="str">
        <f t="shared" si="27"/>
        <v/>
      </c>
      <c r="N2295" s="1" t="s">
        <v>29</v>
      </c>
      <c r="O2295" s="1"/>
      <c r="P2295" s="11"/>
      <c r="Q2295" s="11"/>
      <c r="R2295" s="11"/>
      <c r="S2295" s="11"/>
      <c r="T2295" s="1"/>
      <c r="U2295" s="1"/>
      <c r="V2295" s="1"/>
      <c r="W2295" s="1"/>
      <c r="X2295" s="1"/>
      <c r="Y2295" s="1"/>
      <c r="Z2295" s="1"/>
    </row>
    <row r="2296" ht="18.0" hidden="1" customHeight="1" outlineLevel="2">
      <c r="A2296" s="1">
        <v>3.0</v>
      </c>
      <c r="B2296" s="26" t="s">
        <v>2282</v>
      </c>
      <c r="C2296" s="26" t="s">
        <v>29</v>
      </c>
      <c r="D2296" s="26" t="s">
        <v>29</v>
      </c>
      <c r="E2296" s="29" t="s">
        <v>55</v>
      </c>
      <c r="F2296" s="34" t="s">
        <v>29</v>
      </c>
      <c r="G2296" s="30" t="s">
        <v>29</v>
      </c>
      <c r="H2296" s="22" t="s">
        <v>2270</v>
      </c>
      <c r="I2296" s="7"/>
      <c r="J2296" s="7" t="str">
        <f>IFERROR(LET(_xlpm.v,
VLOOKUP($I2296,'用語辞書'!$A:$B,COLUMN('用語辞書'!B$1),FALSE),
IF(_xlpm.v=0,"",_xlpm.v)
),"")</f>
        <v/>
      </c>
      <c r="K2296" s="17"/>
      <c r="L2296" s="17" t="b">
        <f>IF(OR(COUNTIF('クラス'!$A$1:$A$1267,$B2296)&gt;0,$B2296="",$M2296=""),"",True)</f>
        <v>1</v>
      </c>
      <c r="M2296" s="1" t="str">
        <f t="shared" si="27"/>
        <v>存在しない</v>
      </c>
      <c r="N2296" s="1" t="s">
        <v>29</v>
      </c>
      <c r="O2296" s="1"/>
      <c r="P2296" s="11"/>
      <c r="Q2296" s="11"/>
      <c r="R2296" s="11"/>
      <c r="S2296" s="11"/>
      <c r="T2296" s="1"/>
      <c r="U2296" s="1"/>
      <c r="V2296" s="1"/>
      <c r="W2296" s="1"/>
      <c r="X2296" s="1"/>
      <c r="Y2296" s="1"/>
      <c r="Z2296" s="1"/>
    </row>
    <row r="2297" ht="18.0" hidden="1" customHeight="1" outlineLevel="2">
      <c r="A2297" s="1">
        <v>4.0</v>
      </c>
      <c r="B2297" s="26" t="s">
        <v>29</v>
      </c>
      <c r="C2297" s="1"/>
      <c r="D2297" s="1"/>
      <c r="E2297" s="14"/>
      <c r="F2297" s="15"/>
      <c r="G2297" s="16"/>
      <c r="H2297" s="11"/>
      <c r="I2297" s="7"/>
      <c r="J2297" s="7" t="str">
        <f>IFERROR(LET(_xlpm.v,
VLOOKUP($I2297,'用語辞書'!$A:$B,COLUMN('用語辞書'!B$1),FALSE),
IF(_xlpm.v=0,"",_xlpm.v)
),"")</f>
        <v/>
      </c>
      <c r="K2297" s="17"/>
      <c r="L2297" s="17" t="str">
        <f>IF(OR(COUNTIF('クラス'!$A$1:$A$1267,$B2297)&gt;0,$B2297="",$M2297=""),"",True)</f>
        <v/>
      </c>
      <c r="M2297" s="1" t="str">
        <f t="shared" si="27"/>
        <v/>
      </c>
      <c r="N2297" s="1" t="s">
        <v>29</v>
      </c>
      <c r="O2297" s="1"/>
      <c r="P2297" s="11"/>
      <c r="Q2297" s="11"/>
      <c r="R2297" s="11"/>
      <c r="S2297" s="11"/>
      <c r="T2297" s="1"/>
      <c r="U2297" s="1"/>
      <c r="V2297" s="1"/>
      <c r="W2297" s="1"/>
      <c r="X2297" s="1"/>
      <c r="Y2297" s="1"/>
      <c r="Z2297" s="1"/>
    </row>
    <row r="2298" ht="18.0" hidden="1" customHeight="1" outlineLevel="2">
      <c r="A2298" s="1">
        <v>5.0</v>
      </c>
      <c r="B2298" s="26" t="s">
        <v>2283</v>
      </c>
      <c r="C2298" s="26" t="s">
        <v>29</v>
      </c>
      <c r="D2298" s="26" t="s">
        <v>29</v>
      </c>
      <c r="E2298" s="29" t="s">
        <v>33</v>
      </c>
      <c r="F2298" s="34" t="s">
        <v>29</v>
      </c>
      <c r="G2298" s="30">
        <v>60.0</v>
      </c>
      <c r="H2298" s="22" t="s">
        <v>2284</v>
      </c>
      <c r="I2298" s="7"/>
      <c r="J2298" s="7" t="str">
        <f>IFERROR(LET(_xlpm.v,
VLOOKUP($I2298,'用語辞書'!$A:$B,COLUMN('用語辞書'!B$1),FALSE),
IF(_xlpm.v=0,"",_xlpm.v)
),"")</f>
        <v/>
      </c>
      <c r="K2298" s="17"/>
      <c r="L2298" s="17" t="b">
        <f>IF(OR(COUNTIF('クラス'!$A$1:$A$1267,$B2298)&gt;0,$B2298="",$M2298=""),"",True)</f>
        <v>1</v>
      </c>
      <c r="M2298" s="1" t="str">
        <f t="shared" si="27"/>
        <v>存在しない</v>
      </c>
      <c r="N2298" s="1" t="s">
        <v>29</v>
      </c>
      <c r="O2298" s="1"/>
      <c r="P2298" s="11"/>
      <c r="Q2298" s="11"/>
      <c r="R2298" s="11"/>
      <c r="S2298" s="11"/>
      <c r="T2298" s="1"/>
      <c r="U2298" s="1"/>
      <c r="V2298" s="1"/>
      <c r="W2298" s="1"/>
      <c r="X2298" s="1"/>
      <c r="Y2298" s="1"/>
      <c r="Z2298" s="1"/>
    </row>
    <row r="2299" ht="18.0" hidden="1" customHeight="1" outlineLevel="2">
      <c r="A2299" s="1">
        <v>6.0</v>
      </c>
      <c r="B2299" s="26" t="s">
        <v>29</v>
      </c>
      <c r="C2299" s="1"/>
      <c r="D2299" s="1"/>
      <c r="E2299" s="14"/>
      <c r="F2299" s="15"/>
      <c r="G2299" s="16"/>
      <c r="H2299" s="11"/>
      <c r="I2299" s="7"/>
      <c r="J2299" s="7" t="str">
        <f>IFERROR(LET(_xlpm.v,
VLOOKUP($I2299,'用語辞書'!$A:$B,COLUMN('用語辞書'!B$1),FALSE),
IF(_xlpm.v=0,"",_xlpm.v)
),"")</f>
        <v/>
      </c>
      <c r="K2299" s="17"/>
      <c r="L2299" s="17" t="str">
        <f>IF(OR(COUNTIF('クラス'!$A$1:$A$1267,$B2299)&gt;0,$B2299="",$M2299=""),"",True)</f>
        <v/>
      </c>
      <c r="M2299" s="1" t="str">
        <f t="shared" si="27"/>
        <v/>
      </c>
      <c r="N2299" s="1" t="s">
        <v>29</v>
      </c>
      <c r="O2299" s="1"/>
      <c r="P2299" s="11"/>
      <c r="Q2299" s="11"/>
      <c r="R2299" s="11"/>
      <c r="S2299" s="11"/>
      <c r="T2299" s="1"/>
      <c r="U2299" s="1"/>
      <c r="V2299" s="1"/>
      <c r="W2299" s="1"/>
      <c r="X2299" s="1"/>
      <c r="Y2299" s="1"/>
      <c r="Z2299" s="1"/>
    </row>
    <row r="2300" ht="18.0" hidden="1" customHeight="1" outlineLevel="2">
      <c r="A2300" s="1">
        <v>7.0</v>
      </c>
      <c r="B2300" s="26" t="s">
        <v>2285</v>
      </c>
      <c r="C2300" s="26" t="s">
        <v>29</v>
      </c>
      <c r="D2300" s="26" t="s">
        <v>29</v>
      </c>
      <c r="E2300" s="29" t="s">
        <v>33</v>
      </c>
      <c r="F2300" s="34" t="s">
        <v>29</v>
      </c>
      <c r="G2300" s="30">
        <v>60.0</v>
      </c>
      <c r="H2300" s="22" t="s">
        <v>2286</v>
      </c>
      <c r="I2300" s="7"/>
      <c r="J2300" s="7" t="str">
        <f>IFERROR(LET(_xlpm.v,
VLOOKUP($I2300,'用語辞書'!$A:$B,COLUMN('用語辞書'!B$1),FALSE),
IF(_xlpm.v=0,"",_xlpm.v)
),"")</f>
        <v/>
      </c>
      <c r="K2300" s="17"/>
      <c r="L2300" s="17" t="b">
        <f>IF(OR(COUNTIF('クラス'!$A$1:$A$1267,$B2300)&gt;0,$B2300="",$M2300=""),"",True)</f>
        <v>1</v>
      </c>
      <c r="M2300" s="1" t="str">
        <f t="shared" si="27"/>
        <v>存在しない</v>
      </c>
      <c r="N2300" s="1" t="s">
        <v>29</v>
      </c>
      <c r="O2300" s="1"/>
      <c r="P2300" s="11"/>
      <c r="Q2300" s="11"/>
      <c r="R2300" s="11"/>
      <c r="S2300" s="11"/>
      <c r="T2300" s="1"/>
      <c r="U2300" s="1"/>
      <c r="V2300" s="1"/>
      <c r="W2300" s="1"/>
      <c r="X2300" s="1"/>
      <c r="Y2300" s="1"/>
      <c r="Z2300" s="1"/>
    </row>
    <row r="2301" ht="18.0" hidden="1" customHeight="1" outlineLevel="2">
      <c r="A2301" s="1">
        <v>8.0</v>
      </c>
      <c r="B2301" s="26" t="s">
        <v>29</v>
      </c>
      <c r="C2301" s="1"/>
      <c r="D2301" s="1"/>
      <c r="E2301" s="14"/>
      <c r="F2301" s="15"/>
      <c r="G2301" s="16"/>
      <c r="H2301" s="11"/>
      <c r="I2301" s="7"/>
      <c r="J2301" s="7" t="str">
        <f>IFERROR(LET(_xlpm.v,
VLOOKUP($I2301,'用語辞書'!$A:$B,COLUMN('用語辞書'!B$1),FALSE),
IF(_xlpm.v=0,"",_xlpm.v)
),"")</f>
        <v/>
      </c>
      <c r="K2301" s="17"/>
      <c r="L2301" s="17" t="str">
        <f>IF(OR(COUNTIF('クラス'!$A$1:$A$1267,$B2301)&gt;0,$B2301="",$M2301=""),"",True)</f>
        <v/>
      </c>
      <c r="M2301" s="1" t="str">
        <f t="shared" si="27"/>
        <v/>
      </c>
      <c r="N2301" s="1" t="s">
        <v>29</v>
      </c>
      <c r="O2301" s="1"/>
      <c r="P2301" s="11"/>
      <c r="Q2301" s="11"/>
      <c r="R2301" s="11"/>
      <c r="S2301" s="11"/>
      <c r="T2301" s="1"/>
      <c r="U2301" s="1"/>
      <c r="V2301" s="1"/>
      <c r="W2301" s="1"/>
      <c r="X2301" s="1"/>
      <c r="Y2301" s="1"/>
      <c r="Z2301" s="1"/>
    </row>
    <row r="2302" ht="18.0" hidden="1" customHeight="1" outlineLevel="2">
      <c r="A2302" s="1">
        <v>9.0</v>
      </c>
      <c r="B2302" s="26" t="s">
        <v>2287</v>
      </c>
      <c r="C2302" s="26" t="s">
        <v>29</v>
      </c>
      <c r="D2302" s="26" t="s">
        <v>29</v>
      </c>
      <c r="E2302" s="29" t="s">
        <v>55</v>
      </c>
      <c r="F2302" s="34" t="s">
        <v>29</v>
      </c>
      <c r="G2302" s="30" t="s">
        <v>29</v>
      </c>
      <c r="H2302" s="22" t="s">
        <v>2288</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hidden="1" customHeight="1" outlineLevel="2">
      <c r="A2303" s="1">
        <v>10.0</v>
      </c>
      <c r="B2303" s="26" t="s">
        <v>2289</v>
      </c>
      <c r="C2303" s="26" t="s">
        <v>29</v>
      </c>
      <c r="D2303" s="26" t="s">
        <v>29</v>
      </c>
      <c r="E2303" s="29" t="s">
        <v>33</v>
      </c>
      <c r="F2303" s="34" t="s">
        <v>29</v>
      </c>
      <c r="G2303" s="30">
        <v>60.0</v>
      </c>
      <c r="H2303" s="22" t="s">
        <v>2290</v>
      </c>
      <c r="I2303" s="7"/>
      <c r="J2303" s="7" t="str">
        <f>IFERROR(LET(_xlpm.v,
VLOOKUP($I2303,'用語辞書'!$A:$B,COLUMN('用語辞書'!B$1),FALSE),
IF(_xlpm.v=0,"",_xlpm.v)
),"")</f>
        <v/>
      </c>
      <c r="K2303" s="17"/>
      <c r="L2303" s="17" t="b">
        <f>IF(OR(COUNTIF('クラス'!$A$1:$A$1267,$B2303)&gt;0,$B2303="",$M2303=""),"",True)</f>
        <v>1</v>
      </c>
      <c r="M2303" s="1" t="str">
        <f t="shared" si="27"/>
        <v>存在しない</v>
      </c>
      <c r="N2303" s="1" t="s">
        <v>29</v>
      </c>
      <c r="O2303" s="1"/>
      <c r="P2303" s="11"/>
      <c r="Q2303" s="11"/>
      <c r="R2303" s="11"/>
      <c r="S2303" s="11"/>
      <c r="T2303" s="1"/>
      <c r="U2303" s="1"/>
      <c r="V2303" s="1"/>
      <c r="W2303" s="1"/>
      <c r="X2303" s="1"/>
      <c r="Y2303" s="1"/>
      <c r="Z2303" s="1"/>
    </row>
    <row r="2304" ht="18.0" customHeight="1" outlineLevel="1" collapsed="1">
      <c r="A2304" s="1"/>
      <c r="B2304" s="1"/>
      <c r="C2304" s="1"/>
      <c r="D2304" s="1"/>
      <c r="E2304" s="14"/>
      <c r="F2304" s="15"/>
      <c r="G2304" s="16"/>
      <c r="H2304" s="11"/>
      <c r="I2304" s="7"/>
      <c r="J2304" s="7" t="str">
        <f>IFERROR(LET(_xlpm.v,
VLOOKUP($I2304,'用語辞書'!$A:$B,COLUMN('用語辞書'!B$1),FALSE),
IF(_xlpm.v=0,"",_xlpm.v)
),"")</f>
        <v/>
      </c>
      <c r="K2304" s="17"/>
      <c r="L2304" s="17" t="str">
        <f>IF(OR(COUNTIF('クラス'!$A$1:$A$1267,$B2304)&gt;0,$B2304="",$M2304=""),"",True)</f>
        <v/>
      </c>
      <c r="M2304" s="1" t="str">
        <f t="shared" si="27"/>
        <v>存在しない</v>
      </c>
      <c r="N2304" s="1" t="s">
        <v>29</v>
      </c>
      <c r="O2304" s="1"/>
      <c r="P2304" s="11"/>
      <c r="Q2304" s="11"/>
      <c r="R2304" s="11"/>
      <c r="S2304" s="11"/>
      <c r="T2304" s="1"/>
      <c r="U2304" s="1"/>
      <c r="V2304" s="1"/>
      <c r="W2304" s="1"/>
      <c r="X2304" s="1"/>
      <c r="Y2304" s="1"/>
      <c r="Z2304" s="1"/>
    </row>
    <row r="2305" ht="18.0" customHeight="1" outlineLevel="1">
      <c r="A2305" s="26"/>
      <c r="B2305" s="26" t="s">
        <v>2291</v>
      </c>
      <c r="C2305" s="26"/>
      <c r="D2305" s="26"/>
      <c r="E2305" s="29"/>
      <c r="F2305" s="34"/>
      <c r="G2305" s="30"/>
      <c r="H2305" s="22"/>
      <c r="I2305" s="32"/>
      <c r="J2305" s="7"/>
      <c r="K2305" s="17"/>
      <c r="L2305" s="17" t="str">
        <f>IF(OR(COUNTIF('クラス'!$A$1:$A$1267,$B2305)&gt;0,$B2305="",$M2305=""),"",True)</f>
        <v/>
      </c>
      <c r="M2305" s="1" t="str">
        <f>IF(COUNTIF($B$1:$C2292,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1731</v>
      </c>
      <c r="B2306" s="26" t="s">
        <v>2292</v>
      </c>
      <c r="C2306" s="26"/>
      <c r="D2306" s="26"/>
      <c r="E2306" s="29" t="s">
        <v>33</v>
      </c>
      <c r="F2306" s="34"/>
      <c r="G2306" s="30">
        <v>50.0</v>
      </c>
      <c r="H2306" s="22" t="s">
        <v>2293</v>
      </c>
      <c r="I2306" s="32"/>
      <c r="J2306" s="32" t="s">
        <v>2294</v>
      </c>
      <c r="K2306" s="17"/>
      <c r="L2306" s="17" t="b">
        <f>IF(OR(COUNTIF('クラス'!$A$1:$A$1267,$B2306)&gt;0,$B2306="",$M2306=""),"",True)</f>
        <v>1</v>
      </c>
      <c r="M2306" s="1" t="str">
        <f t="shared" ref="M2306:M2316" si="28">IF(COUNTIF($B$1:$C2305, $B2306), "", "存在しない")</f>
        <v>存在しない</v>
      </c>
      <c r="N2306" s="1" t="s">
        <v>29</v>
      </c>
      <c r="O2306" s="1"/>
      <c r="P2306" s="11"/>
      <c r="Q2306" s="11"/>
      <c r="R2306" s="11"/>
      <c r="S2306" s="11"/>
      <c r="T2306" s="1"/>
      <c r="U2306" s="1"/>
      <c r="V2306" s="1"/>
      <c r="W2306" s="1"/>
      <c r="X2306" s="1"/>
      <c r="Y2306" s="1"/>
      <c r="Z2306" s="1"/>
    </row>
    <row r="2307" ht="18.0" customHeight="1" outlineLevel="2">
      <c r="A2307" s="27" t="s">
        <v>1735</v>
      </c>
      <c r="B2307" s="26"/>
      <c r="C2307" s="26"/>
      <c r="D2307" s="26"/>
      <c r="E2307" s="29"/>
      <c r="F2307" s="34"/>
      <c r="G2307" s="30"/>
      <c r="H2307" s="22"/>
      <c r="I2307" s="32"/>
      <c r="J2307" s="32"/>
      <c r="K2307" s="17"/>
      <c r="L2307" s="17" t="str">
        <f>IF(OR(COUNTIF('クラス'!$A$1:$A$1267,$B2307)&gt;0,$B2307="",$M2307=""),"",True)</f>
        <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1736</v>
      </c>
      <c r="B2308" s="26" t="s">
        <v>2295</v>
      </c>
      <c r="C2308" s="26"/>
      <c r="D2308" s="26"/>
      <c r="E2308" s="29" t="s">
        <v>55</v>
      </c>
      <c r="F2308" s="34"/>
      <c r="G2308" s="30"/>
      <c r="H2308" s="22" t="s">
        <v>2296</v>
      </c>
      <c r="I2308" s="32"/>
      <c r="J2308" s="32" t="s">
        <v>2297</v>
      </c>
      <c r="K2308" s="17"/>
      <c r="L2308" s="17" t="b">
        <f>IF(OR(COUNTIF('クラス'!$A$1:$A$1267,$B2308)&gt;0,$B2308="",$M2308=""),"",True)</f>
        <v>1</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1740</v>
      </c>
      <c r="B2309" s="26"/>
      <c r="C2309" s="26"/>
      <c r="D2309" s="26"/>
      <c r="E2309" s="29"/>
      <c r="F2309" s="34"/>
      <c r="G2309" s="30"/>
      <c r="H2309" s="22"/>
      <c r="I2309" s="32"/>
      <c r="J2309" s="32"/>
      <c r="K2309" s="17"/>
      <c r="L2309" s="17" t="str">
        <f>IF(OR(COUNTIF('クラス'!$A$1:$A$1267,$B2309)&gt;0,$B2309="",$M2309=""),"",True)</f>
        <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1741</v>
      </c>
      <c r="B2310" s="26" t="s">
        <v>2298</v>
      </c>
      <c r="C2310" s="26"/>
      <c r="D2310" s="26"/>
      <c r="E2310" s="29" t="s">
        <v>33</v>
      </c>
      <c r="F2310" s="34"/>
      <c r="G2310" s="30">
        <v>50.0</v>
      </c>
      <c r="H2310" s="22" t="s">
        <v>2299</v>
      </c>
      <c r="I2310" s="32"/>
      <c r="J2310" s="32" t="s">
        <v>2300</v>
      </c>
      <c r="K2310" s="17"/>
      <c r="L2310" s="17" t="b">
        <f>IF(OR(COUNTIF('クラス'!$A$1:$A$1267,$B2310)&gt;0,$B2310="",$M2310=""),"",True)</f>
        <v>1</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1745</v>
      </c>
      <c r="B2311" s="26"/>
      <c r="C2311" s="26"/>
      <c r="D2311" s="26"/>
      <c r="E2311" s="29"/>
      <c r="F2311" s="34"/>
      <c r="G2311" s="30"/>
      <c r="H2311" s="22"/>
      <c r="I2311" s="32"/>
      <c r="J2311" s="32"/>
      <c r="K2311" s="17"/>
      <c r="L2311" s="17" t="str">
        <f>IF(OR(COUNTIF('クラス'!$A$1:$A$1267,$B2311)&gt;0,$B2311="",$M2311=""),"",True)</f>
        <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1746</v>
      </c>
      <c r="B2312" s="26" t="s">
        <v>2301</v>
      </c>
      <c r="C2312" s="26"/>
      <c r="D2312" s="26"/>
      <c r="E2312" s="29" t="s">
        <v>55</v>
      </c>
      <c r="F2312" s="34"/>
      <c r="G2312" s="30"/>
      <c r="H2312" s="22" t="s">
        <v>2302</v>
      </c>
      <c r="I2312" s="32"/>
      <c r="J2312" s="32" t="s">
        <v>2303</v>
      </c>
      <c r="K2312" s="17"/>
      <c r="L2312" s="17" t="b">
        <f>IF(OR(COUNTIF('クラス'!$A$1:$A$1267,$B2312)&gt;0,$B2312="",$M2312=""),"",True)</f>
        <v>1</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1750</v>
      </c>
      <c r="B2313" s="26"/>
      <c r="C2313" s="26"/>
      <c r="D2313" s="26"/>
      <c r="E2313" s="29"/>
      <c r="F2313" s="34"/>
      <c r="G2313" s="30"/>
      <c r="H2313" s="22"/>
      <c r="I2313" s="32"/>
      <c r="J2313" s="32"/>
      <c r="K2313" s="17"/>
      <c r="L2313" s="17" t="str">
        <f>IF(OR(COUNTIF('クラス'!$A$1:$A$1267,$B2313)&gt;0,$B2313="",$M2313=""),"",True)</f>
        <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1751</v>
      </c>
      <c r="B2314" s="26" t="s">
        <v>2304</v>
      </c>
      <c r="C2314" s="26"/>
      <c r="D2314" s="26"/>
      <c r="E2314" s="29" t="s">
        <v>33</v>
      </c>
      <c r="F2314" s="34"/>
      <c r="G2314" s="30">
        <v>60.0</v>
      </c>
      <c r="H2314" s="22" t="s">
        <v>2305</v>
      </c>
      <c r="I2314" s="32"/>
      <c r="J2314" s="32" t="s">
        <v>2306</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2">
      <c r="A2315" s="27" t="s">
        <v>1755</v>
      </c>
      <c r="B2315" s="26" t="s">
        <v>2307</v>
      </c>
      <c r="C2315" s="26"/>
      <c r="D2315" s="26"/>
      <c r="E2315" s="29" t="s">
        <v>55</v>
      </c>
      <c r="F2315" s="34"/>
      <c r="G2315" s="30"/>
      <c r="H2315" s="22" t="s">
        <v>2308</v>
      </c>
      <c r="I2315" s="32"/>
      <c r="J2315" s="32" t="s">
        <v>2309</v>
      </c>
      <c r="K2315" s="17"/>
      <c r="L2315" s="17" t="b">
        <f>IF(OR(COUNTIF('クラス'!$A$1:$A$1267,$B2315)&gt;0,$B2315="",$M2315=""),"",True)</f>
        <v>1</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c r="C2316" s="26"/>
      <c r="D2316" s="26"/>
      <c r="E2316" s="29"/>
      <c r="F2316" s="34"/>
      <c r="G2316" s="30"/>
      <c r="H2316" s="22"/>
      <c r="I2316" s="32"/>
      <c r="J2316" s="32"/>
      <c r="K2316" s="17"/>
      <c r="L2316" s="17" t="str">
        <f>IF(OR(COUNTIF('クラス'!$A$1:$A$1267,$B2316)&gt;0,$B2316="",$M2316=""),"",True)</f>
        <v/>
      </c>
      <c r="M2316" s="1" t="str">
        <f t="shared" si="28"/>
        <v>存在しない</v>
      </c>
      <c r="N2316" s="1" t="s">
        <v>29</v>
      </c>
      <c r="O2316" s="1"/>
      <c r="P2316" s="11"/>
      <c r="Q2316" s="11"/>
      <c r="R2316" s="11"/>
      <c r="S2316" s="11"/>
      <c r="T2316" s="1"/>
      <c r="U2316" s="1"/>
      <c r="V2316" s="1"/>
      <c r="W2316" s="1"/>
      <c r="X2316" s="1"/>
      <c r="Y2316" s="1"/>
      <c r="Z2316" s="1"/>
    </row>
    <row r="2317" ht="18.0" customHeight="1" outlineLevel="1">
      <c r="A2317" s="26"/>
      <c r="B2317" s="26" t="s">
        <v>2310</v>
      </c>
      <c r="C2317" s="26" t="s">
        <v>29</v>
      </c>
      <c r="D2317" s="26" t="s">
        <v>29</v>
      </c>
      <c r="E2317" s="29" t="s">
        <v>29</v>
      </c>
      <c r="F2317" s="34" t="s">
        <v>29</v>
      </c>
      <c r="G2317" s="30" t="s">
        <v>29</v>
      </c>
      <c r="H2317" s="22" t="s">
        <v>29</v>
      </c>
      <c r="I2317" s="32" t="s">
        <v>29</v>
      </c>
      <c r="J2317" s="7" t="str">
        <f>IFERROR(LET(_xlpm.v,
VLOOKUP($I2317,'用語辞書'!$A:$B,COLUMN('用語辞書'!B$1),FALSE),
IF(_xlpm.v=0,"",_xlpm.v)
),"")</f>
        <v/>
      </c>
      <c r="K2317" s="17"/>
      <c r="L2317" s="17" t="str">
        <f>IF(OR(COUNTIF('クラス'!$A$1:$A$1267,$B2317)&gt;0,$B2317="",$M2317=""),"",True)</f>
        <v/>
      </c>
      <c r="M2317" s="1" t="str">
        <f>IF(COUNTIF($B$1:$C2304,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1731</v>
      </c>
      <c r="B2318" s="26" t="s">
        <v>2311</v>
      </c>
      <c r="C2318" s="26"/>
      <c r="D2318" s="26"/>
      <c r="E2318" s="29" t="s">
        <v>33</v>
      </c>
      <c r="F2318" s="34"/>
      <c r="G2318" s="30">
        <v>40.0</v>
      </c>
      <c r="H2318" s="22" t="s">
        <v>2312</v>
      </c>
      <c r="I2318" s="32"/>
      <c r="J2318" s="32" t="s">
        <v>2313</v>
      </c>
      <c r="K2318" s="17"/>
      <c r="L2318" s="17" t="b">
        <f>IF(OR(COUNTIF('クラス'!$A$1:$A$1267,$B2318)&gt;0,$B2318="",$M2318=""),"",True)</f>
        <v>1</v>
      </c>
      <c r="M2318" s="1" t="str">
        <f t="shared" ref="M2318:M2328" si="29">IF(COUNTIF($B$1:$C2317, $B2318), "", "存在しない")</f>
        <v>存在しない</v>
      </c>
      <c r="N2318" s="1" t="s">
        <v>29</v>
      </c>
      <c r="O2318" s="1"/>
      <c r="P2318" s="11"/>
      <c r="Q2318" s="11"/>
      <c r="R2318" s="11"/>
      <c r="S2318" s="11"/>
      <c r="T2318" s="1"/>
      <c r="U2318" s="1"/>
      <c r="V2318" s="1"/>
      <c r="W2318" s="1"/>
      <c r="X2318" s="1"/>
      <c r="Y2318" s="1"/>
      <c r="Z2318" s="1"/>
    </row>
    <row r="2319" ht="18.0" customHeight="1" outlineLevel="2">
      <c r="A2319" s="27" t="s">
        <v>1735</v>
      </c>
      <c r="B2319" s="26"/>
      <c r="C2319" s="26"/>
      <c r="D2319" s="26"/>
      <c r="E2319" s="29"/>
      <c r="F2319" s="34"/>
      <c r="G2319" s="30"/>
      <c r="H2319" s="22"/>
      <c r="I2319" s="32"/>
      <c r="J2319" s="32"/>
      <c r="K2319" s="17"/>
      <c r="L2319" s="17" t="str">
        <f>IF(OR(COUNTIF('クラス'!$A$1:$A$1267,$B2319)&gt;0,$B2319="",$M2319=""),"",True)</f>
        <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1736</v>
      </c>
      <c r="B2320" s="26" t="s">
        <v>2314</v>
      </c>
      <c r="C2320" s="26"/>
      <c r="D2320" s="26"/>
      <c r="E2320" s="29" t="s">
        <v>55</v>
      </c>
      <c r="F2320" s="34"/>
      <c r="G2320" s="30"/>
      <c r="H2320" s="22" t="s">
        <v>2315</v>
      </c>
      <c r="I2320" s="32"/>
      <c r="J2320" s="32" t="s">
        <v>2316</v>
      </c>
      <c r="K2320" s="17"/>
      <c r="L2320" s="17" t="b">
        <f>IF(OR(COUNTIF('クラス'!$A$1:$A$1267,$B2320)&gt;0,$B2320="",$M2320=""),"",True)</f>
        <v>1</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1740</v>
      </c>
      <c r="B2321" s="26"/>
      <c r="C2321" s="26"/>
      <c r="D2321" s="26"/>
      <c r="E2321" s="29"/>
      <c r="F2321" s="34"/>
      <c r="G2321" s="30"/>
      <c r="H2321" s="22"/>
      <c r="I2321" s="32"/>
      <c r="J2321" s="32"/>
      <c r="K2321" s="17"/>
      <c r="L2321" s="17" t="str">
        <f>IF(OR(COUNTIF('クラス'!$A$1:$A$1267,$B2321)&gt;0,$B2321="",$M2321=""),"",True)</f>
        <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1741</v>
      </c>
      <c r="B2322" s="26" t="s">
        <v>2317</v>
      </c>
      <c r="C2322" s="26"/>
      <c r="D2322" s="26"/>
      <c r="E2322" s="29" t="s">
        <v>33</v>
      </c>
      <c r="F2322" s="34"/>
      <c r="G2322" s="30">
        <v>40.0</v>
      </c>
      <c r="H2322" s="22" t="s">
        <v>2318</v>
      </c>
      <c r="I2322" s="32"/>
      <c r="J2322" s="32" t="s">
        <v>2319</v>
      </c>
      <c r="K2322" s="17"/>
      <c r="L2322" s="17" t="b">
        <f>IF(OR(COUNTIF('クラス'!$A$1:$A$1267,$B2322)&gt;0,$B2322="",$M2322=""),"",True)</f>
        <v>1</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1745</v>
      </c>
      <c r="B2323" s="26"/>
      <c r="C2323" s="26"/>
      <c r="D2323" s="26"/>
      <c r="E2323" s="29"/>
      <c r="F2323" s="34"/>
      <c r="G2323" s="30"/>
      <c r="H2323" s="22"/>
      <c r="I2323" s="32"/>
      <c r="J2323" s="32"/>
      <c r="K2323" s="17"/>
      <c r="L2323" s="17" t="str">
        <f>IF(OR(COUNTIF('クラス'!$A$1:$A$1267,$B2323)&gt;0,$B2323="",$M2323=""),"",True)</f>
        <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1746</v>
      </c>
      <c r="B2324" s="26" t="s">
        <v>2320</v>
      </c>
      <c r="C2324" s="26"/>
      <c r="D2324" s="26"/>
      <c r="E2324" s="29" t="s">
        <v>55</v>
      </c>
      <c r="F2324" s="34"/>
      <c r="G2324" s="30"/>
      <c r="H2324" s="22" t="s">
        <v>2321</v>
      </c>
      <c r="I2324" s="32"/>
      <c r="J2324" s="32" t="s">
        <v>2322</v>
      </c>
      <c r="K2324" s="17"/>
      <c r="L2324" s="17" t="b">
        <f>IF(OR(COUNTIF('クラス'!$A$1:$A$1267,$B2324)&gt;0,$B2324="",$M2324=""),"",True)</f>
        <v>1</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1750</v>
      </c>
      <c r="B2325" s="26"/>
      <c r="C2325" s="26"/>
      <c r="D2325" s="26"/>
      <c r="E2325" s="29"/>
      <c r="F2325" s="34"/>
      <c r="G2325" s="30"/>
      <c r="H2325" s="22"/>
      <c r="I2325" s="32"/>
      <c r="J2325" s="32"/>
      <c r="K2325" s="17"/>
      <c r="L2325" s="17" t="str">
        <f>IF(OR(COUNTIF('クラス'!$A$1:$A$1267,$B2325)&gt;0,$B2325="",$M2325=""),"",True)</f>
        <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1751</v>
      </c>
      <c r="B2326" s="26" t="s">
        <v>2323</v>
      </c>
      <c r="C2326" s="26"/>
      <c r="D2326" s="26"/>
      <c r="E2326" s="29" t="s">
        <v>33</v>
      </c>
      <c r="F2326" s="34"/>
      <c r="G2326" s="30">
        <v>60.0</v>
      </c>
      <c r="H2326" s="22" t="s">
        <v>2324</v>
      </c>
      <c r="I2326" s="32"/>
      <c r="J2326" s="32" t="s">
        <v>2325</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2">
      <c r="A2327" s="27" t="s">
        <v>1755</v>
      </c>
      <c r="B2327" s="26" t="s">
        <v>2326</v>
      </c>
      <c r="C2327" s="26"/>
      <c r="D2327" s="26"/>
      <c r="E2327" s="29" t="s">
        <v>55</v>
      </c>
      <c r="F2327" s="34"/>
      <c r="G2327" s="30"/>
      <c r="H2327" s="22" t="s">
        <v>2327</v>
      </c>
      <c r="I2327" s="32"/>
      <c r="J2327" s="32" t="s">
        <v>2328</v>
      </c>
      <c r="K2327" s="17"/>
      <c r="L2327" s="17" t="b">
        <f>IF(OR(COUNTIF('クラス'!$A$1:$A$1267,$B2327)&gt;0,$B2327="",$M2327=""),"",True)</f>
        <v>1</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26"/>
      <c r="B2328" s="26"/>
      <c r="C2328" s="26"/>
      <c r="D2328" s="26"/>
      <c r="E2328" s="29"/>
      <c r="F2328" s="34"/>
      <c r="G2328" s="30"/>
      <c r="H2328" s="22"/>
      <c r="I2328" s="32"/>
      <c r="J2328" s="32"/>
      <c r="K2328" s="17"/>
      <c r="L2328" s="17" t="str">
        <f>IF(OR(COUNTIF('クラス'!$A$1:$A$1267,$B2328)&gt;0,$B2328="",$M2328=""),"",True)</f>
        <v/>
      </c>
      <c r="M2328" s="1" t="str">
        <f t="shared" si="29"/>
        <v>存在しない</v>
      </c>
      <c r="N2328" s="1" t="s">
        <v>29</v>
      </c>
      <c r="O2328" s="1"/>
      <c r="P2328" s="11"/>
      <c r="Q2328" s="11"/>
      <c r="R2328" s="11"/>
      <c r="S2328" s="11"/>
      <c r="T2328" s="1"/>
      <c r="U2328" s="1"/>
      <c r="V2328" s="1"/>
      <c r="W2328" s="1"/>
      <c r="X2328" s="1"/>
      <c r="Y2328" s="1"/>
      <c r="Z2328" s="1"/>
    </row>
    <row r="2329" ht="18.0" customHeight="1" outlineLevel="1">
      <c r="A2329" s="1"/>
      <c r="B2329" s="26" t="s">
        <v>2329</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IF(COUNTIF($B$1:$C2304, $B2329), "", "存在しない")</f>
        <v>存在しない</v>
      </c>
      <c r="N2329" s="1" t="s">
        <v>29</v>
      </c>
      <c r="O2329" s="1"/>
      <c r="P2329" s="11"/>
      <c r="Q2329" s="11"/>
      <c r="R2329" s="11"/>
      <c r="S2329" s="11"/>
      <c r="T2329" s="1"/>
      <c r="U2329" s="1"/>
      <c r="V2329" s="1"/>
      <c r="W2329" s="1"/>
      <c r="X2329" s="1"/>
      <c r="Y2329" s="1"/>
      <c r="Z2329" s="1"/>
    </row>
    <row r="2330" ht="18.0" hidden="1" customHeight="1" outlineLevel="2">
      <c r="A2330" s="1">
        <v>1.0</v>
      </c>
      <c r="B2330" s="26" t="s">
        <v>2196</v>
      </c>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ref="M2330:M2964" si="30">IF(COUNTIF($B$1:$C2329, $B2330), "", "存在しない")</f>
        <v/>
      </c>
      <c r="N2330" s="1" t="s">
        <v>29</v>
      </c>
      <c r="O2330" s="1"/>
      <c r="P2330" s="11"/>
      <c r="Q2330" s="11"/>
      <c r="R2330" s="11"/>
      <c r="S2330" s="11"/>
      <c r="T2330" s="1"/>
      <c r="U2330" s="1"/>
      <c r="V2330" s="1"/>
      <c r="W2330" s="1"/>
      <c r="X2330" s="1"/>
      <c r="Y2330" s="1"/>
      <c r="Z2330" s="1"/>
    </row>
    <row r="2331" ht="18.0" hidden="1" customHeight="1" outlineLevel="2">
      <c r="A2331" s="1">
        <v>2.0</v>
      </c>
      <c r="B2331" s="1"/>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存在しない</v>
      </c>
      <c r="N2331" s="1" t="s">
        <v>29</v>
      </c>
      <c r="O2331" s="1"/>
      <c r="P2331" s="11"/>
      <c r="Q2331" s="11"/>
      <c r="R2331" s="11"/>
      <c r="S2331" s="11"/>
      <c r="T2331" s="1"/>
      <c r="U2331" s="1"/>
      <c r="V2331" s="1"/>
      <c r="W2331" s="1"/>
      <c r="X2331" s="1"/>
      <c r="Y2331" s="1"/>
      <c r="Z2331" s="1"/>
    </row>
    <row r="2332" ht="18.0" hidden="1" customHeight="1" outlineLevel="2">
      <c r="A2332" s="1">
        <v>3.0</v>
      </c>
      <c r="B2332" s="26" t="s">
        <v>282</v>
      </c>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
      </c>
      <c r="N2332" s="1" t="s">
        <v>29</v>
      </c>
      <c r="O2332" s="1"/>
      <c r="P2332" s="11"/>
      <c r="Q2332" s="11"/>
      <c r="R2332" s="11"/>
      <c r="S2332" s="11"/>
      <c r="T2332" s="1"/>
      <c r="U2332" s="1"/>
      <c r="V2332" s="1"/>
      <c r="W2332" s="1"/>
      <c r="X2332" s="1"/>
      <c r="Y2332" s="1"/>
      <c r="Z2332" s="1"/>
    </row>
    <row r="2333" ht="18.0" hidden="1" customHeight="1" outlineLevel="2">
      <c r="A2333" s="1">
        <v>4.0</v>
      </c>
      <c r="B2333" s="1"/>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存在しない</v>
      </c>
      <c r="N2333" s="1" t="s">
        <v>29</v>
      </c>
      <c r="O2333" s="1"/>
      <c r="P2333" s="11"/>
      <c r="Q2333" s="11"/>
      <c r="R2333" s="11"/>
      <c r="S2333" s="11"/>
      <c r="T2333" s="1"/>
      <c r="U2333" s="1"/>
      <c r="V2333" s="1"/>
      <c r="W2333" s="1"/>
      <c r="X2333" s="1"/>
      <c r="Y2333" s="1"/>
      <c r="Z2333" s="1"/>
    </row>
    <row r="2334" ht="18.0" hidden="1" customHeight="1" outlineLevel="2">
      <c r="A2334" s="1">
        <v>5.0</v>
      </c>
      <c r="B2334" s="26" t="s">
        <v>2198</v>
      </c>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
      </c>
      <c r="N2334" s="1" t="s">
        <v>29</v>
      </c>
      <c r="O2334" s="1"/>
      <c r="P2334" s="11"/>
      <c r="Q2334" s="11"/>
      <c r="R2334" s="11"/>
      <c r="S2334" s="11"/>
      <c r="T2334" s="1"/>
      <c r="U2334" s="1"/>
      <c r="V2334" s="1"/>
      <c r="W2334" s="1"/>
      <c r="X2334" s="1"/>
      <c r="Y2334" s="1"/>
      <c r="Z2334" s="1"/>
    </row>
    <row r="2335" ht="18.0" hidden="1" customHeight="1" outlineLevel="2">
      <c r="A2335" s="1">
        <v>6.0</v>
      </c>
      <c r="B2335" s="1"/>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存在しない</v>
      </c>
      <c r="N2335" s="1" t="s">
        <v>29</v>
      </c>
      <c r="O2335" s="1"/>
      <c r="P2335" s="11"/>
      <c r="Q2335" s="11"/>
      <c r="R2335" s="11"/>
      <c r="S2335" s="11"/>
      <c r="T2335" s="1"/>
      <c r="U2335" s="1"/>
      <c r="V2335" s="1"/>
      <c r="W2335" s="1"/>
      <c r="X2335" s="1"/>
      <c r="Y2335" s="1"/>
      <c r="Z2335" s="1"/>
    </row>
    <row r="2336" ht="18.0" hidden="1" customHeight="1" outlineLevel="2">
      <c r="A2336" s="1">
        <v>7.0</v>
      </c>
      <c r="B2336" s="26" t="s">
        <v>297</v>
      </c>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
      </c>
      <c r="N2336" s="1" t="s">
        <v>29</v>
      </c>
      <c r="O2336" s="1"/>
      <c r="P2336" s="11"/>
      <c r="Q2336" s="11"/>
      <c r="R2336" s="11"/>
      <c r="S2336" s="11"/>
      <c r="T2336" s="1"/>
      <c r="U2336" s="1"/>
      <c r="V2336" s="1"/>
      <c r="W2336" s="1"/>
      <c r="X2336" s="1"/>
      <c r="Y2336" s="1"/>
      <c r="Z2336" s="1"/>
    </row>
    <row r="2337" ht="18.0" hidden="1" customHeight="1" outlineLevel="2">
      <c r="A2337" s="1">
        <v>8.0</v>
      </c>
      <c r="B2337" s="1"/>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存在しない</v>
      </c>
      <c r="N2337" s="1" t="s">
        <v>29</v>
      </c>
      <c r="O2337" s="1"/>
      <c r="P2337" s="11"/>
      <c r="Q2337" s="11"/>
      <c r="R2337" s="11"/>
      <c r="S2337" s="11"/>
      <c r="T2337" s="1"/>
      <c r="U2337" s="1"/>
      <c r="V2337" s="1"/>
      <c r="W2337" s="1"/>
      <c r="X2337" s="1"/>
      <c r="Y2337" s="1"/>
      <c r="Z2337" s="1"/>
    </row>
    <row r="2338" ht="18.0" hidden="1" customHeight="1" outlineLevel="2">
      <c r="A2338" s="1">
        <v>9.0</v>
      </c>
      <c r="B2338" s="26" t="s">
        <v>2199</v>
      </c>
      <c r="C2338" s="1"/>
      <c r="D2338" s="1"/>
      <c r="E2338" s="14"/>
      <c r="F2338" s="15"/>
      <c r="G2338" s="16"/>
      <c r="H2338" s="11"/>
      <c r="I2338" s="7"/>
      <c r="J2338" s="7" t="str">
        <f>IFERROR(LET(_xlpm.v,
VLOOKUP($I2338,'用語辞書'!$A:$B,COLUMN('用語辞書'!B$1),FALSE),
IF(_xlpm.v=0,"",_xlpm.v)
),"")</f>
        <v/>
      </c>
      <c r="K2338" s="17"/>
      <c r="L2338" s="17" t="str">
        <f>IF(OR(COUNTIF('クラス'!$A$1:$A$1267,$B2338)&gt;0,$B2338="",$M2338=""),"",True)</f>
        <v/>
      </c>
      <c r="M2338" s="1" t="str">
        <f t="shared" si="30"/>
        <v/>
      </c>
      <c r="N2338" s="1" t="s">
        <v>29</v>
      </c>
      <c r="O2338" s="1"/>
      <c r="P2338" s="11"/>
      <c r="Q2338" s="11"/>
      <c r="R2338" s="11"/>
      <c r="S2338" s="11"/>
      <c r="T2338" s="1"/>
      <c r="U2338" s="1"/>
      <c r="V2338" s="1"/>
      <c r="W2338" s="1"/>
      <c r="X2338" s="1"/>
      <c r="Y2338" s="1"/>
      <c r="Z2338" s="1"/>
    </row>
    <row r="2339" ht="18.0" hidden="1" customHeight="1" outlineLevel="2">
      <c r="A2339" s="1">
        <v>10.0</v>
      </c>
      <c r="B2339" s="26" t="s">
        <v>2330</v>
      </c>
      <c r="C2339" s="1"/>
      <c r="D2339" s="26" t="s">
        <v>284</v>
      </c>
      <c r="E2339" s="29" t="s">
        <v>33</v>
      </c>
      <c r="F2339" s="15"/>
      <c r="G2339" s="30">
        <v>60.0</v>
      </c>
      <c r="H2339" s="22" t="s">
        <v>2331</v>
      </c>
      <c r="I2339" s="7"/>
      <c r="J2339" s="7" t="str">
        <f>IFERROR(LET(_xlpm.v,
VLOOKUP($I2339,'用語辞書'!$A:$B,COLUMN('用語辞書'!B$1),FALSE),
IF(_xlpm.v=0,"",_xlpm.v)
),"")</f>
        <v/>
      </c>
      <c r="K2339" s="17"/>
      <c r="L2339" s="17" t="b">
        <f>IF(OR(COUNTIF('クラス'!$A$1:$A$1267,$B2339)&gt;0,$B2339="",$M2339=""),"",True)</f>
        <v>1</v>
      </c>
      <c r="M2339" s="1" t="str">
        <f t="shared" si="30"/>
        <v>存在しない</v>
      </c>
      <c r="N2339" s="1" t="s">
        <v>29</v>
      </c>
      <c r="O2339" s="1"/>
      <c r="P2339" s="11"/>
      <c r="Q2339" s="11"/>
      <c r="R2339" s="11"/>
      <c r="S2339" s="11"/>
      <c r="T2339" s="1"/>
      <c r="U2339" s="1"/>
      <c r="V2339" s="1"/>
      <c r="W2339" s="1"/>
      <c r="X2339" s="1"/>
      <c r="Y2339" s="1"/>
      <c r="Z2339" s="1"/>
    </row>
    <row r="2340" ht="18.0" customHeight="1" outlineLevel="1" collapsed="1">
      <c r="A2340" s="1"/>
      <c r="B2340" s="1"/>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customHeight="1" outlineLevel="1">
      <c r="A2341" s="1"/>
      <c r="B2341" s="26" t="s">
        <v>2332</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存在しない</v>
      </c>
      <c r="N2341" s="1" t="s">
        <v>29</v>
      </c>
      <c r="O2341" s="1"/>
      <c r="P2341" s="11"/>
      <c r="Q2341" s="11"/>
      <c r="R2341" s="11"/>
      <c r="S2341" s="11"/>
      <c r="T2341" s="1"/>
      <c r="U2341" s="1"/>
      <c r="V2341" s="1"/>
      <c r="W2341" s="1"/>
      <c r="X2341" s="1"/>
      <c r="Y2341" s="1"/>
      <c r="Z2341" s="1"/>
    </row>
    <row r="2342" ht="18.0" hidden="1" customHeight="1" outlineLevel="2">
      <c r="A2342" s="1">
        <v>1.0</v>
      </c>
      <c r="B2342" s="26" t="s">
        <v>2203</v>
      </c>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
      </c>
      <c r="N2342" s="1" t="s">
        <v>29</v>
      </c>
      <c r="O2342" s="1"/>
      <c r="P2342" s="11"/>
      <c r="Q2342" s="11"/>
      <c r="R2342" s="11"/>
      <c r="S2342" s="11"/>
      <c r="T2342" s="1"/>
      <c r="U2342" s="1"/>
      <c r="V2342" s="1"/>
      <c r="W2342" s="1"/>
      <c r="X2342" s="1"/>
      <c r="Y2342" s="1"/>
      <c r="Z2342" s="1"/>
    </row>
    <row r="2343" ht="18.0" hidden="1" customHeight="1" outlineLevel="2">
      <c r="A2343" s="1">
        <v>2.0</v>
      </c>
      <c r="B2343" s="1"/>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存在しない</v>
      </c>
      <c r="N2343" s="1" t="s">
        <v>29</v>
      </c>
      <c r="O2343" s="1"/>
      <c r="P2343" s="11"/>
      <c r="Q2343" s="11"/>
      <c r="R2343" s="11"/>
      <c r="S2343" s="11"/>
      <c r="T2343" s="1"/>
      <c r="U2343" s="1"/>
      <c r="V2343" s="1"/>
      <c r="W2343" s="1"/>
      <c r="X2343" s="1"/>
      <c r="Y2343" s="1"/>
      <c r="Z2343" s="1"/>
    </row>
    <row r="2344" ht="18.0" hidden="1" customHeight="1" outlineLevel="2">
      <c r="A2344" s="1">
        <v>3.0</v>
      </c>
      <c r="B2344" s="26" t="s">
        <v>372</v>
      </c>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
      </c>
      <c r="N2344" s="1" t="s">
        <v>29</v>
      </c>
      <c r="O2344" s="1"/>
      <c r="P2344" s="11"/>
      <c r="Q2344" s="11"/>
      <c r="R2344" s="11"/>
      <c r="S2344" s="11"/>
      <c r="T2344" s="1"/>
      <c r="U2344" s="1"/>
      <c r="V2344" s="1"/>
      <c r="W2344" s="1"/>
      <c r="X2344" s="1"/>
      <c r="Y2344" s="1"/>
      <c r="Z2344" s="1"/>
    </row>
    <row r="2345" ht="18.0" hidden="1" customHeight="1" outlineLevel="2">
      <c r="A2345" s="1">
        <v>4.0</v>
      </c>
      <c r="B2345" s="1"/>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存在しない</v>
      </c>
      <c r="N2345" s="1" t="s">
        <v>29</v>
      </c>
      <c r="O2345" s="1"/>
      <c r="P2345" s="11"/>
      <c r="Q2345" s="11"/>
      <c r="R2345" s="11"/>
      <c r="S2345" s="11"/>
      <c r="T2345" s="1"/>
      <c r="U2345" s="1"/>
      <c r="V2345" s="1"/>
      <c r="W2345" s="1"/>
      <c r="X2345" s="1"/>
      <c r="Y2345" s="1"/>
      <c r="Z2345" s="1"/>
    </row>
    <row r="2346" ht="18.0" hidden="1" customHeight="1" outlineLevel="2">
      <c r="A2346" s="1">
        <v>5.0</v>
      </c>
      <c r="B2346" s="26" t="s">
        <v>2205</v>
      </c>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
      </c>
      <c r="N2346" s="1" t="s">
        <v>29</v>
      </c>
      <c r="O2346" s="1"/>
      <c r="P2346" s="11"/>
      <c r="Q2346" s="11"/>
      <c r="R2346" s="11"/>
      <c r="S2346" s="11"/>
      <c r="T2346" s="1"/>
      <c r="U2346" s="1"/>
      <c r="V2346" s="1"/>
      <c r="W2346" s="1"/>
      <c r="X2346" s="1"/>
      <c r="Y2346" s="1"/>
      <c r="Z2346" s="1"/>
    </row>
    <row r="2347" ht="18.0" hidden="1" customHeight="1" outlineLevel="2">
      <c r="A2347" s="1">
        <v>6.0</v>
      </c>
      <c r="B2347" s="1"/>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存在しない</v>
      </c>
      <c r="N2347" s="1" t="s">
        <v>29</v>
      </c>
      <c r="O2347" s="1"/>
      <c r="P2347" s="11"/>
      <c r="Q2347" s="11"/>
      <c r="R2347" s="11"/>
      <c r="S2347" s="11"/>
      <c r="T2347" s="1"/>
      <c r="U2347" s="1"/>
      <c r="V2347" s="1"/>
      <c r="W2347" s="1"/>
      <c r="X2347" s="1"/>
      <c r="Y2347" s="1"/>
      <c r="Z2347" s="1"/>
    </row>
    <row r="2348" ht="18.0" hidden="1" customHeight="1" outlineLevel="2">
      <c r="A2348" s="1">
        <v>7.0</v>
      </c>
      <c r="B2348" s="26" t="s">
        <v>388</v>
      </c>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
      </c>
      <c r="N2348" s="1" t="s">
        <v>29</v>
      </c>
      <c r="O2348" s="1"/>
      <c r="P2348" s="11"/>
      <c r="Q2348" s="11"/>
      <c r="R2348" s="11"/>
      <c r="S2348" s="11"/>
      <c r="T2348" s="1"/>
      <c r="U2348" s="1"/>
      <c r="V2348" s="1"/>
      <c r="W2348" s="1"/>
      <c r="X2348" s="1"/>
      <c r="Y2348" s="1"/>
      <c r="Z2348" s="1"/>
    </row>
    <row r="2349" ht="18.0" hidden="1" customHeight="1" outlineLevel="2">
      <c r="A2349" s="1">
        <v>8.0</v>
      </c>
      <c r="B2349" s="1"/>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存在しない</v>
      </c>
      <c r="N2349" s="1" t="s">
        <v>29</v>
      </c>
      <c r="O2349" s="1"/>
      <c r="P2349" s="11"/>
      <c r="Q2349" s="11"/>
      <c r="R2349" s="11"/>
      <c r="S2349" s="11"/>
      <c r="T2349" s="1"/>
      <c r="U2349" s="1"/>
      <c r="V2349" s="1"/>
      <c r="W2349" s="1"/>
      <c r="X2349" s="1"/>
      <c r="Y2349" s="1"/>
      <c r="Z2349" s="1"/>
    </row>
    <row r="2350" ht="18.0" hidden="1" customHeight="1" outlineLevel="2">
      <c r="A2350" s="1">
        <v>9.0</v>
      </c>
      <c r="B2350" s="26" t="s">
        <v>2206</v>
      </c>
      <c r="C2350" s="1"/>
      <c r="D2350" s="1"/>
      <c r="E2350" s="14"/>
      <c r="F2350" s="15"/>
      <c r="G2350" s="16"/>
      <c r="H2350" s="11"/>
      <c r="I2350" s="7"/>
      <c r="J2350" s="7" t="str">
        <f>IFERROR(LET(_xlpm.v,
VLOOKUP($I2350,'用語辞書'!$A:$B,COLUMN('用語辞書'!B$1),FALSE),
IF(_xlpm.v=0,"",_xlpm.v)
),"")</f>
        <v/>
      </c>
      <c r="K2350" s="17"/>
      <c r="L2350" s="17" t="str">
        <f>IF(OR(COUNTIF('クラス'!$A$1:$A$1267,$B2350)&gt;0,$B2350="",$M2350=""),"",True)</f>
        <v/>
      </c>
      <c r="M2350" s="1" t="str">
        <f t="shared" si="30"/>
        <v/>
      </c>
      <c r="N2350" s="1" t="s">
        <v>29</v>
      </c>
      <c r="O2350" s="1"/>
      <c r="P2350" s="11"/>
      <c r="Q2350" s="11"/>
      <c r="R2350" s="11"/>
      <c r="S2350" s="11"/>
      <c r="T2350" s="1"/>
      <c r="U2350" s="1"/>
      <c r="V2350" s="1"/>
      <c r="W2350" s="1"/>
      <c r="X2350" s="1"/>
      <c r="Y2350" s="1"/>
      <c r="Z2350" s="1"/>
    </row>
    <row r="2351" ht="18.0" hidden="1" customHeight="1" outlineLevel="2">
      <c r="A2351" s="1">
        <v>10.0</v>
      </c>
      <c r="B2351" s="26" t="s">
        <v>2333</v>
      </c>
      <c r="C2351" s="1"/>
      <c r="D2351" s="26" t="s">
        <v>370</v>
      </c>
      <c r="E2351" s="29" t="s">
        <v>33</v>
      </c>
      <c r="F2351" s="15"/>
      <c r="G2351" s="30">
        <v>60.0</v>
      </c>
      <c r="H2351" s="22" t="s">
        <v>2334</v>
      </c>
      <c r="I2351" s="7"/>
      <c r="J2351" s="7" t="str">
        <f>IFERROR(LET(_xlpm.v,
VLOOKUP($I2351,'用語辞書'!$A:$B,COLUMN('用語辞書'!B$1),FALSE),
IF(_xlpm.v=0,"",_xlpm.v)
),"")</f>
        <v/>
      </c>
      <c r="K2351" s="17"/>
      <c r="L2351" s="17" t="b">
        <f>IF(OR(COUNTIF('クラス'!$A$1:$A$1267,$B2351)&gt;0,$B2351="",$M2351=""),"",True)</f>
        <v>1</v>
      </c>
      <c r="M2351" s="1" t="str">
        <f t="shared" si="30"/>
        <v>存在しない</v>
      </c>
      <c r="N2351" s="1" t="s">
        <v>29</v>
      </c>
      <c r="O2351" s="1"/>
      <c r="P2351" s="11"/>
      <c r="Q2351" s="11"/>
      <c r="R2351" s="11"/>
      <c r="S2351" s="11"/>
      <c r="T2351" s="1"/>
      <c r="U2351" s="1"/>
      <c r="V2351" s="1"/>
      <c r="W2351" s="1"/>
      <c r="X2351" s="1"/>
      <c r="Y2351" s="1"/>
      <c r="Z2351" s="1"/>
    </row>
    <row r="2352" ht="18.0" customHeight="1" outlineLevel="1" collapsed="1">
      <c r="A2352" s="1"/>
      <c r="B2352" s="1"/>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customHeight="1" outlineLevel="1">
      <c r="A2353" s="1"/>
      <c r="B2353" s="26" t="s">
        <v>2335</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存在しない</v>
      </c>
      <c r="N2353" s="1" t="s">
        <v>29</v>
      </c>
      <c r="O2353" s="1"/>
      <c r="P2353" s="11"/>
      <c r="Q2353" s="11"/>
      <c r="R2353" s="11"/>
      <c r="S2353" s="11"/>
      <c r="T2353" s="1"/>
      <c r="U2353" s="1"/>
      <c r="V2353" s="1"/>
      <c r="W2353" s="1"/>
      <c r="X2353" s="1"/>
      <c r="Y2353" s="1"/>
      <c r="Z2353" s="1"/>
    </row>
    <row r="2354" ht="18.0" hidden="1" customHeight="1" outlineLevel="2">
      <c r="A2354" s="1">
        <v>1.0</v>
      </c>
      <c r="B2354" s="26" t="s">
        <v>2210</v>
      </c>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
      </c>
      <c r="N2354" s="1" t="s">
        <v>29</v>
      </c>
      <c r="O2354" s="1"/>
      <c r="P2354" s="11"/>
      <c r="Q2354" s="11"/>
      <c r="R2354" s="11"/>
      <c r="S2354" s="11"/>
      <c r="T2354" s="1"/>
      <c r="U2354" s="1"/>
      <c r="V2354" s="1"/>
      <c r="W2354" s="1"/>
      <c r="X2354" s="1"/>
      <c r="Y2354" s="1"/>
      <c r="Z2354" s="1"/>
    </row>
    <row r="2355" ht="18.0" hidden="1" customHeight="1" outlineLevel="2">
      <c r="A2355" s="1">
        <v>2.0</v>
      </c>
      <c r="B2355" s="1"/>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存在しない</v>
      </c>
      <c r="N2355" s="1" t="s">
        <v>29</v>
      </c>
      <c r="O2355" s="1"/>
      <c r="P2355" s="11"/>
      <c r="Q2355" s="11"/>
      <c r="R2355" s="11"/>
      <c r="S2355" s="11"/>
      <c r="T2355" s="1"/>
      <c r="U2355" s="1"/>
      <c r="V2355" s="1"/>
      <c r="W2355" s="1"/>
      <c r="X2355" s="1"/>
      <c r="Y2355" s="1"/>
      <c r="Z2355" s="1"/>
    </row>
    <row r="2356" ht="18.0" hidden="1" customHeight="1" outlineLevel="2">
      <c r="A2356" s="1">
        <v>3.0</v>
      </c>
      <c r="B2356" s="26" t="s">
        <v>516</v>
      </c>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
      </c>
      <c r="N2356" s="1" t="s">
        <v>29</v>
      </c>
      <c r="O2356" s="1"/>
      <c r="P2356" s="11"/>
      <c r="Q2356" s="11"/>
      <c r="R2356" s="11"/>
      <c r="S2356" s="11"/>
      <c r="T2356" s="1"/>
      <c r="U2356" s="1"/>
      <c r="V2356" s="1"/>
      <c r="W2356" s="1"/>
      <c r="X2356" s="1"/>
      <c r="Y2356" s="1"/>
      <c r="Z2356" s="1"/>
    </row>
    <row r="2357" ht="18.0" hidden="1" customHeight="1" outlineLevel="2">
      <c r="A2357" s="1">
        <v>4.0</v>
      </c>
      <c r="B2357" s="1"/>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存在しない</v>
      </c>
      <c r="N2357" s="1" t="s">
        <v>29</v>
      </c>
      <c r="O2357" s="1"/>
      <c r="P2357" s="11"/>
      <c r="Q2357" s="11"/>
      <c r="R2357" s="11"/>
      <c r="S2357" s="11"/>
      <c r="T2357" s="1"/>
      <c r="U2357" s="1"/>
      <c r="V2357" s="1"/>
      <c r="W2357" s="1"/>
      <c r="X2357" s="1"/>
      <c r="Y2357" s="1"/>
      <c r="Z2357" s="1"/>
    </row>
    <row r="2358" ht="18.0" hidden="1" customHeight="1" outlineLevel="2">
      <c r="A2358" s="1">
        <v>5.0</v>
      </c>
      <c r="B2358" s="26" t="s">
        <v>2212</v>
      </c>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
      </c>
      <c r="N2358" s="1" t="s">
        <v>29</v>
      </c>
      <c r="O2358" s="1"/>
      <c r="P2358" s="11"/>
      <c r="Q2358" s="11"/>
      <c r="R2358" s="11"/>
      <c r="S2358" s="11"/>
      <c r="T2358" s="1"/>
      <c r="U2358" s="1"/>
      <c r="V2358" s="1"/>
      <c r="W2358" s="1"/>
      <c r="X2358" s="1"/>
      <c r="Y2358" s="1"/>
      <c r="Z2358" s="1"/>
    </row>
    <row r="2359" ht="18.0" hidden="1" customHeight="1" outlineLevel="2">
      <c r="A2359" s="1">
        <v>6.0</v>
      </c>
      <c r="B2359" s="1"/>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存在しない</v>
      </c>
      <c r="N2359" s="1" t="s">
        <v>29</v>
      </c>
      <c r="O2359" s="1"/>
      <c r="P2359" s="11"/>
      <c r="Q2359" s="11"/>
      <c r="R2359" s="11"/>
      <c r="S2359" s="11"/>
      <c r="T2359" s="1"/>
      <c r="U2359" s="1"/>
      <c r="V2359" s="1"/>
      <c r="W2359" s="1"/>
      <c r="X2359" s="1"/>
      <c r="Y2359" s="1"/>
      <c r="Z2359" s="1"/>
    </row>
    <row r="2360" ht="18.0" hidden="1" customHeight="1" outlineLevel="2">
      <c r="A2360" s="1">
        <v>7.0</v>
      </c>
      <c r="B2360" s="26" t="s">
        <v>526</v>
      </c>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
      </c>
      <c r="N2360" s="1" t="s">
        <v>29</v>
      </c>
      <c r="O2360" s="1"/>
      <c r="P2360" s="11"/>
      <c r="Q2360" s="11"/>
      <c r="R2360" s="11"/>
      <c r="S2360" s="11"/>
      <c r="T2360" s="1"/>
      <c r="U2360" s="1"/>
      <c r="V2360" s="1"/>
      <c r="W2360" s="1"/>
      <c r="X2360" s="1"/>
      <c r="Y2360" s="1"/>
      <c r="Z2360" s="1"/>
    </row>
    <row r="2361" ht="18.0" hidden="1" customHeight="1" outlineLevel="2">
      <c r="A2361" s="1">
        <v>8.0</v>
      </c>
      <c r="B2361" s="1"/>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存在しない</v>
      </c>
      <c r="N2361" s="1" t="s">
        <v>29</v>
      </c>
      <c r="O2361" s="1"/>
      <c r="P2361" s="11"/>
      <c r="Q2361" s="11"/>
      <c r="R2361" s="11"/>
      <c r="S2361" s="11"/>
      <c r="T2361" s="1"/>
      <c r="U2361" s="1"/>
      <c r="V2361" s="1"/>
      <c r="W2361" s="1"/>
      <c r="X2361" s="1"/>
      <c r="Y2361" s="1"/>
      <c r="Z2361" s="1"/>
    </row>
    <row r="2362" ht="18.0" hidden="1" customHeight="1" outlineLevel="2">
      <c r="A2362" s="1">
        <v>9.0</v>
      </c>
      <c r="B2362" s="26" t="s">
        <v>2213</v>
      </c>
      <c r="C2362" s="1"/>
      <c r="D2362" s="1"/>
      <c r="E2362" s="14"/>
      <c r="F2362" s="15"/>
      <c r="G2362" s="16"/>
      <c r="H2362" s="11"/>
      <c r="I2362" s="7"/>
      <c r="J2362" s="7" t="str">
        <f>IFERROR(LET(_xlpm.v,
VLOOKUP($I2362,'用語辞書'!$A:$B,COLUMN('用語辞書'!B$1),FALSE),
IF(_xlpm.v=0,"",_xlpm.v)
),"")</f>
        <v/>
      </c>
      <c r="K2362" s="17"/>
      <c r="L2362" s="17" t="str">
        <f>IF(OR(COUNTIF('クラス'!$A$1:$A$1267,$B2362)&gt;0,$B2362="",$M2362=""),"",True)</f>
        <v/>
      </c>
      <c r="M2362" s="1" t="str">
        <f t="shared" si="30"/>
        <v/>
      </c>
      <c r="N2362" s="1" t="s">
        <v>29</v>
      </c>
      <c r="O2362" s="1"/>
      <c r="P2362" s="11"/>
      <c r="Q2362" s="11"/>
      <c r="R2362" s="11"/>
      <c r="S2362" s="11"/>
      <c r="T2362" s="1"/>
      <c r="U2362" s="1"/>
      <c r="V2362" s="1"/>
      <c r="W2362" s="1"/>
      <c r="X2362" s="1"/>
      <c r="Y2362" s="1"/>
      <c r="Z2362" s="1"/>
    </row>
    <row r="2363" ht="18.0" hidden="1" customHeight="1" outlineLevel="2">
      <c r="A2363" s="1">
        <v>10.0</v>
      </c>
      <c r="B2363" s="26" t="s">
        <v>2336</v>
      </c>
      <c r="C2363" s="1"/>
      <c r="D2363" s="26" t="s">
        <v>518</v>
      </c>
      <c r="E2363" s="29" t="s">
        <v>33</v>
      </c>
      <c r="F2363" s="15"/>
      <c r="G2363" s="30">
        <v>60.0</v>
      </c>
      <c r="H2363" s="22" t="s">
        <v>2337</v>
      </c>
      <c r="I2363" s="7"/>
      <c r="J2363" s="7" t="str">
        <f>IFERROR(LET(_xlpm.v,
VLOOKUP($I2363,'用語辞書'!$A:$B,COLUMN('用語辞書'!B$1),FALSE),
IF(_xlpm.v=0,"",_xlpm.v)
),"")</f>
        <v/>
      </c>
      <c r="K2363" s="17"/>
      <c r="L2363" s="17" t="b">
        <f>IF(OR(COUNTIF('クラス'!$A$1:$A$1267,$B2363)&gt;0,$B2363="",$M2363=""),"",True)</f>
        <v>1</v>
      </c>
      <c r="M2363" s="1" t="str">
        <f t="shared" si="30"/>
        <v>存在しない</v>
      </c>
      <c r="N2363" s="1" t="s">
        <v>29</v>
      </c>
      <c r="O2363" s="1"/>
      <c r="P2363" s="11"/>
      <c r="Q2363" s="11"/>
      <c r="R2363" s="11"/>
      <c r="S2363" s="11"/>
      <c r="T2363" s="1"/>
      <c r="U2363" s="1"/>
      <c r="V2363" s="1"/>
      <c r="W2363" s="1"/>
      <c r="X2363" s="1"/>
      <c r="Y2363" s="1"/>
      <c r="Z2363" s="1"/>
    </row>
    <row r="2364" ht="18.0" customHeight="1" outlineLevel="1" collapsed="1">
      <c r="A2364" s="1"/>
      <c r="B2364" s="1"/>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customHeight="1" outlineLevel="1">
      <c r="A2365" s="1"/>
      <c r="B2365" s="26" t="s">
        <v>2338</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存在しない</v>
      </c>
      <c r="N2365" s="1" t="s">
        <v>29</v>
      </c>
      <c r="O2365" s="1"/>
      <c r="P2365" s="11"/>
      <c r="Q2365" s="11"/>
      <c r="R2365" s="11"/>
      <c r="S2365" s="11"/>
      <c r="T2365" s="1"/>
      <c r="U2365" s="1"/>
      <c r="V2365" s="1"/>
      <c r="W2365" s="1"/>
      <c r="X2365" s="1"/>
      <c r="Y2365" s="1"/>
      <c r="Z2365" s="1"/>
    </row>
    <row r="2366" ht="18.0" hidden="1" customHeight="1" outlineLevel="2">
      <c r="A2366" s="1">
        <v>1.0</v>
      </c>
      <c r="B2366" s="26" t="s">
        <v>2217</v>
      </c>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
      </c>
      <c r="N2366" s="1" t="s">
        <v>29</v>
      </c>
      <c r="O2366" s="1"/>
      <c r="P2366" s="11"/>
      <c r="Q2366" s="11"/>
      <c r="R2366" s="11"/>
      <c r="S2366" s="11"/>
      <c r="T2366" s="1"/>
      <c r="U2366" s="1"/>
      <c r="V2366" s="1"/>
      <c r="W2366" s="1"/>
      <c r="X2366" s="1"/>
      <c r="Y2366" s="1"/>
      <c r="Z2366" s="1"/>
    </row>
    <row r="2367" ht="18.0" hidden="1" customHeight="1" outlineLevel="2">
      <c r="A2367" s="1">
        <v>2.0</v>
      </c>
      <c r="B2367" s="1"/>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存在しない</v>
      </c>
      <c r="N2367" s="1" t="s">
        <v>29</v>
      </c>
      <c r="O2367" s="1"/>
      <c r="P2367" s="11"/>
      <c r="Q2367" s="11"/>
      <c r="R2367" s="11"/>
      <c r="S2367" s="11"/>
      <c r="T2367" s="1"/>
      <c r="U2367" s="1"/>
      <c r="V2367" s="1"/>
      <c r="W2367" s="1"/>
      <c r="X2367" s="1"/>
      <c r="Y2367" s="1"/>
      <c r="Z2367" s="1"/>
    </row>
    <row r="2368" ht="18.0" hidden="1" customHeight="1" outlineLevel="2">
      <c r="A2368" s="1">
        <v>3.0</v>
      </c>
      <c r="B2368" s="26" t="s">
        <v>646</v>
      </c>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
      </c>
      <c r="N2368" s="1" t="s">
        <v>29</v>
      </c>
      <c r="O2368" s="1"/>
      <c r="P2368" s="11"/>
      <c r="Q2368" s="11"/>
      <c r="R2368" s="11"/>
      <c r="S2368" s="11"/>
      <c r="T2368" s="1"/>
      <c r="U2368" s="1"/>
      <c r="V2368" s="1"/>
      <c r="W2368" s="1"/>
      <c r="X2368" s="1"/>
      <c r="Y2368" s="1"/>
      <c r="Z2368" s="1"/>
    </row>
    <row r="2369" ht="18.0" hidden="1" customHeight="1" outlineLevel="2">
      <c r="A2369" s="1">
        <v>4.0</v>
      </c>
      <c r="B2369" s="1"/>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存在しない</v>
      </c>
      <c r="N2369" s="1" t="s">
        <v>29</v>
      </c>
      <c r="O2369" s="1"/>
      <c r="P2369" s="11"/>
      <c r="Q2369" s="11"/>
      <c r="R2369" s="11"/>
      <c r="S2369" s="11"/>
      <c r="T2369" s="1"/>
      <c r="U2369" s="1"/>
      <c r="V2369" s="1"/>
      <c r="W2369" s="1"/>
      <c r="X2369" s="1"/>
      <c r="Y2369" s="1"/>
      <c r="Z2369" s="1"/>
    </row>
    <row r="2370" ht="18.0" hidden="1" customHeight="1" outlineLevel="2">
      <c r="A2370" s="1">
        <v>5.0</v>
      </c>
      <c r="B2370" s="26" t="s">
        <v>2219</v>
      </c>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
      </c>
      <c r="N2370" s="1" t="s">
        <v>29</v>
      </c>
      <c r="O2370" s="1"/>
      <c r="P2370" s="11"/>
      <c r="Q2370" s="11"/>
      <c r="R2370" s="11"/>
      <c r="S2370" s="11"/>
      <c r="T2370" s="1"/>
      <c r="U2370" s="1"/>
      <c r="V2370" s="1"/>
      <c r="W2370" s="1"/>
      <c r="X2370" s="1"/>
      <c r="Y2370" s="1"/>
      <c r="Z2370" s="1"/>
    </row>
    <row r="2371" ht="18.0" hidden="1" customHeight="1" outlineLevel="2">
      <c r="A2371" s="1">
        <v>6.0</v>
      </c>
      <c r="B2371" s="1"/>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存在しない</v>
      </c>
      <c r="N2371" s="1" t="s">
        <v>29</v>
      </c>
      <c r="O2371" s="1"/>
      <c r="P2371" s="11"/>
      <c r="Q2371" s="11"/>
      <c r="R2371" s="11"/>
      <c r="S2371" s="11"/>
      <c r="T2371" s="1"/>
      <c r="U2371" s="1"/>
      <c r="V2371" s="1"/>
      <c r="W2371" s="1"/>
      <c r="X2371" s="1"/>
      <c r="Y2371" s="1"/>
      <c r="Z2371" s="1"/>
    </row>
    <row r="2372" ht="18.0" hidden="1" customHeight="1" outlineLevel="2">
      <c r="A2372" s="1">
        <v>7.0</v>
      </c>
      <c r="B2372" s="26" t="s">
        <v>652</v>
      </c>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
      </c>
      <c r="N2372" s="1" t="s">
        <v>29</v>
      </c>
      <c r="O2372" s="1"/>
      <c r="P2372" s="11"/>
      <c r="Q2372" s="11"/>
      <c r="R2372" s="11"/>
      <c r="S2372" s="11"/>
      <c r="T2372" s="1"/>
      <c r="U2372" s="1"/>
      <c r="V2372" s="1"/>
      <c r="W2372" s="1"/>
      <c r="X2372" s="1"/>
      <c r="Y2372" s="1"/>
      <c r="Z2372" s="1"/>
    </row>
    <row r="2373" ht="18.0" hidden="1" customHeight="1" outlineLevel="2">
      <c r="A2373" s="1">
        <v>8.0</v>
      </c>
      <c r="B2373" s="1"/>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存在しない</v>
      </c>
      <c r="N2373" s="1" t="s">
        <v>29</v>
      </c>
      <c r="O2373" s="1"/>
      <c r="P2373" s="11"/>
      <c r="Q2373" s="11"/>
      <c r="R2373" s="11"/>
      <c r="S2373" s="11"/>
      <c r="T2373" s="1"/>
      <c r="U2373" s="1"/>
      <c r="V2373" s="1"/>
      <c r="W2373" s="1"/>
      <c r="X2373" s="1"/>
      <c r="Y2373" s="1"/>
      <c r="Z2373" s="1"/>
    </row>
    <row r="2374" ht="18.0" hidden="1" customHeight="1" outlineLevel="2">
      <c r="A2374" s="1">
        <v>9.0</v>
      </c>
      <c r="B2374" s="26" t="s">
        <v>2220</v>
      </c>
      <c r="C2374" s="1"/>
      <c r="D2374" s="1"/>
      <c r="E2374" s="14"/>
      <c r="F2374" s="15"/>
      <c r="G2374" s="16"/>
      <c r="H2374" s="11"/>
      <c r="I2374" s="7"/>
      <c r="J2374" s="7" t="str">
        <f>IFERROR(LET(_xlpm.v,
VLOOKUP($I2374,'用語辞書'!$A:$B,COLUMN('用語辞書'!B$1),FALSE),
IF(_xlpm.v=0,"",_xlpm.v)
),"")</f>
        <v/>
      </c>
      <c r="K2374" s="17"/>
      <c r="L2374" s="17" t="str">
        <f>IF(OR(COUNTIF('クラス'!$A$1:$A$1267,$B2374)&gt;0,$B2374="",$M2374=""),"",True)</f>
        <v/>
      </c>
      <c r="M2374" s="1" t="str">
        <f t="shared" si="30"/>
        <v/>
      </c>
      <c r="N2374" s="1" t="s">
        <v>29</v>
      </c>
      <c r="O2374" s="1"/>
      <c r="P2374" s="11"/>
      <c r="Q2374" s="11"/>
      <c r="R2374" s="11"/>
      <c r="S2374" s="11"/>
      <c r="T2374" s="1"/>
      <c r="U2374" s="1"/>
      <c r="V2374" s="1"/>
      <c r="W2374" s="1"/>
      <c r="X2374" s="1"/>
      <c r="Y2374" s="1"/>
      <c r="Z2374" s="1"/>
    </row>
    <row r="2375" ht="18.0" hidden="1" customHeight="1" outlineLevel="2">
      <c r="A2375" s="1">
        <v>10.0</v>
      </c>
      <c r="B2375" s="26" t="s">
        <v>2339</v>
      </c>
      <c r="C2375" s="1"/>
      <c r="D2375" s="26" t="s">
        <v>644</v>
      </c>
      <c r="E2375" s="29" t="s">
        <v>33</v>
      </c>
      <c r="F2375" s="15"/>
      <c r="G2375" s="30">
        <v>60.0</v>
      </c>
      <c r="H2375" s="31" t="s">
        <v>2340</v>
      </c>
      <c r="I2375" s="7"/>
      <c r="J2375" s="7" t="str">
        <f>IFERROR(LET(_xlpm.v,
VLOOKUP($I2375,'用語辞書'!$A:$B,COLUMN('用語辞書'!B$1),FALSE),
IF(_xlpm.v=0,"",_xlpm.v)
),"")</f>
        <v/>
      </c>
      <c r="K2375" s="17"/>
      <c r="L2375" s="17" t="b">
        <f>IF(OR(COUNTIF('クラス'!$A$1:$A$1267,$B2375)&gt;0,$B2375="",$M2375=""),"",True)</f>
        <v>1</v>
      </c>
      <c r="M2375" s="1" t="str">
        <f t="shared" si="30"/>
        <v>存在しない</v>
      </c>
      <c r="N2375" s="1" t="s">
        <v>29</v>
      </c>
      <c r="O2375" s="1"/>
      <c r="P2375" s="11"/>
      <c r="Q2375" s="11"/>
      <c r="R2375" s="11"/>
      <c r="S2375" s="11"/>
      <c r="T2375" s="1"/>
      <c r="U2375" s="1"/>
      <c r="V2375" s="1"/>
      <c r="W2375" s="1"/>
      <c r="X2375" s="1"/>
      <c r="Y2375" s="1"/>
      <c r="Z2375" s="1"/>
    </row>
    <row r="2376" ht="18.0" customHeight="1" outlineLevel="1" collapsed="1">
      <c r="A2376" s="1"/>
      <c r="B2376" s="1"/>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customHeight="1" outlineLevel="1">
      <c r="A2377" s="1"/>
      <c r="B2377" s="26" t="s">
        <v>2341</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存在しない</v>
      </c>
      <c r="N2377" s="1" t="s">
        <v>29</v>
      </c>
      <c r="O2377" s="1"/>
      <c r="P2377" s="11"/>
      <c r="Q2377" s="11"/>
      <c r="R2377" s="11"/>
      <c r="S2377" s="11"/>
      <c r="T2377" s="1"/>
      <c r="U2377" s="1"/>
      <c r="V2377" s="1"/>
      <c r="W2377" s="1"/>
      <c r="X2377" s="1"/>
      <c r="Y2377" s="1"/>
      <c r="Z2377" s="1"/>
    </row>
    <row r="2378" ht="18.0" hidden="1" customHeight="1" outlineLevel="2">
      <c r="A2378" s="1">
        <v>1.0</v>
      </c>
      <c r="B2378" s="26" t="s">
        <v>2224</v>
      </c>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
      </c>
      <c r="N2378" s="1" t="s">
        <v>29</v>
      </c>
      <c r="O2378" s="1"/>
      <c r="P2378" s="11"/>
      <c r="Q2378" s="11"/>
      <c r="R2378" s="11"/>
      <c r="S2378" s="11"/>
      <c r="T2378" s="1"/>
      <c r="U2378" s="1"/>
      <c r="V2378" s="1"/>
      <c r="W2378" s="1"/>
      <c r="X2378" s="1"/>
      <c r="Y2378" s="1"/>
      <c r="Z2378" s="1"/>
    </row>
    <row r="2379" ht="18.0" hidden="1" customHeight="1" outlineLevel="2">
      <c r="A2379" s="1">
        <v>2.0</v>
      </c>
      <c r="B2379" s="1"/>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存在しない</v>
      </c>
      <c r="N2379" s="1" t="s">
        <v>29</v>
      </c>
      <c r="O2379" s="1"/>
      <c r="P2379" s="11"/>
      <c r="Q2379" s="11"/>
      <c r="R2379" s="11"/>
      <c r="S2379" s="11"/>
      <c r="T2379" s="1"/>
      <c r="U2379" s="1"/>
      <c r="V2379" s="1"/>
      <c r="W2379" s="1"/>
      <c r="X2379" s="1"/>
      <c r="Y2379" s="1"/>
      <c r="Z2379" s="1"/>
    </row>
    <row r="2380" ht="18.0" hidden="1" customHeight="1" outlineLevel="2">
      <c r="A2380" s="1">
        <v>3.0</v>
      </c>
      <c r="B2380" s="26" t="s">
        <v>898</v>
      </c>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
      </c>
      <c r="N2380" s="1" t="s">
        <v>29</v>
      </c>
      <c r="O2380" s="1"/>
      <c r="P2380" s="11"/>
      <c r="Q2380" s="11"/>
      <c r="R2380" s="11"/>
      <c r="S2380" s="11"/>
      <c r="T2380" s="1"/>
      <c r="U2380" s="1"/>
      <c r="V2380" s="1"/>
      <c r="W2380" s="1"/>
      <c r="X2380" s="1"/>
      <c r="Y2380" s="1"/>
      <c r="Z2380" s="1"/>
    </row>
    <row r="2381" ht="18.0" hidden="1" customHeight="1" outlineLevel="2">
      <c r="A2381" s="1">
        <v>4.0</v>
      </c>
      <c r="B2381" s="1"/>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存在しない</v>
      </c>
      <c r="N2381" s="1" t="s">
        <v>29</v>
      </c>
      <c r="O2381" s="1"/>
      <c r="P2381" s="11"/>
      <c r="Q2381" s="11"/>
      <c r="R2381" s="11"/>
      <c r="S2381" s="11"/>
      <c r="T2381" s="1"/>
      <c r="U2381" s="1"/>
      <c r="V2381" s="1"/>
      <c r="W2381" s="1"/>
      <c r="X2381" s="1"/>
      <c r="Y2381" s="1"/>
      <c r="Z2381" s="1"/>
    </row>
    <row r="2382" ht="18.0" hidden="1" customHeight="1" outlineLevel="2">
      <c r="A2382" s="1">
        <v>5.0</v>
      </c>
      <c r="B2382" s="26" t="s">
        <v>1768</v>
      </c>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
      </c>
      <c r="N2382" s="1" t="s">
        <v>29</v>
      </c>
      <c r="O2382" s="1"/>
      <c r="P2382" s="11"/>
      <c r="Q2382" s="11"/>
      <c r="R2382" s="11"/>
      <c r="S2382" s="11"/>
      <c r="T2382" s="1"/>
      <c r="U2382" s="1"/>
      <c r="V2382" s="1"/>
      <c r="W2382" s="1"/>
      <c r="X2382" s="1"/>
      <c r="Y2382" s="1"/>
      <c r="Z2382" s="1"/>
    </row>
    <row r="2383" ht="18.0" hidden="1" customHeight="1" outlineLevel="2">
      <c r="A2383" s="1">
        <v>6.0</v>
      </c>
      <c r="B2383" s="1"/>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存在しない</v>
      </c>
      <c r="N2383" s="1" t="s">
        <v>29</v>
      </c>
      <c r="O2383" s="1"/>
      <c r="P2383" s="11"/>
      <c r="Q2383" s="11"/>
      <c r="R2383" s="11"/>
      <c r="S2383" s="11"/>
      <c r="T2383" s="1"/>
      <c r="U2383" s="1"/>
      <c r="V2383" s="1"/>
      <c r="W2383" s="1"/>
      <c r="X2383" s="1"/>
      <c r="Y2383" s="1"/>
      <c r="Z2383" s="1"/>
    </row>
    <row r="2384" ht="18.0" hidden="1" customHeight="1" outlineLevel="2">
      <c r="A2384" s="1">
        <v>7.0</v>
      </c>
      <c r="B2384" s="26" t="s">
        <v>902</v>
      </c>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
      </c>
      <c r="N2384" s="1" t="s">
        <v>29</v>
      </c>
      <c r="O2384" s="1"/>
      <c r="P2384" s="11"/>
      <c r="Q2384" s="11"/>
      <c r="R2384" s="11"/>
      <c r="S2384" s="11"/>
      <c r="T2384" s="1"/>
      <c r="U2384" s="1"/>
      <c r="V2384" s="1"/>
      <c r="W2384" s="1"/>
      <c r="X2384" s="1"/>
      <c r="Y2384" s="1"/>
      <c r="Z2384" s="1"/>
    </row>
    <row r="2385" ht="18.0" hidden="1" customHeight="1" outlineLevel="2">
      <c r="A2385" s="1">
        <v>8.0</v>
      </c>
      <c r="B2385" s="1"/>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存在しない</v>
      </c>
      <c r="N2385" s="1" t="s">
        <v>29</v>
      </c>
      <c r="O2385" s="1"/>
      <c r="P2385" s="11"/>
      <c r="Q2385" s="11"/>
      <c r="R2385" s="11"/>
      <c r="S2385" s="11"/>
      <c r="T2385" s="1"/>
      <c r="U2385" s="1"/>
      <c r="V2385" s="1"/>
      <c r="W2385" s="1"/>
      <c r="X2385" s="1"/>
      <c r="Y2385" s="1"/>
      <c r="Z2385" s="1"/>
    </row>
    <row r="2386" ht="18.0" hidden="1" customHeight="1" outlineLevel="2">
      <c r="A2386" s="1">
        <v>9.0</v>
      </c>
      <c r="B2386" s="26" t="s">
        <v>1772</v>
      </c>
      <c r="C2386" s="1"/>
      <c r="D2386" s="1"/>
      <c r="E2386" s="14"/>
      <c r="F2386" s="15"/>
      <c r="G2386" s="16"/>
      <c r="H2386" s="11"/>
      <c r="I2386" s="7"/>
      <c r="J2386" s="7" t="str">
        <f>IFERROR(LET(_xlpm.v,
VLOOKUP($I2386,'用語辞書'!$A:$B,COLUMN('用語辞書'!B$1),FALSE),
IF(_xlpm.v=0,"",_xlpm.v)
),"")</f>
        <v/>
      </c>
      <c r="K2386" s="17"/>
      <c r="L2386" s="17" t="str">
        <f>IF(OR(COUNTIF('クラス'!$A$1:$A$1267,$B2386)&gt;0,$B2386="",$M2386=""),"",True)</f>
        <v/>
      </c>
      <c r="M2386" s="1" t="str">
        <f t="shared" si="30"/>
        <v/>
      </c>
      <c r="N2386" s="1" t="s">
        <v>29</v>
      </c>
      <c r="O2386" s="1"/>
      <c r="P2386" s="11"/>
      <c r="Q2386" s="11"/>
      <c r="R2386" s="11"/>
      <c r="S2386" s="11"/>
      <c r="T2386" s="1"/>
      <c r="U2386" s="1"/>
      <c r="V2386" s="1"/>
      <c r="W2386" s="1"/>
      <c r="X2386" s="1"/>
      <c r="Y2386" s="1"/>
      <c r="Z2386" s="1"/>
    </row>
    <row r="2387" ht="18.0" hidden="1" customHeight="1" outlineLevel="2">
      <c r="A2387" s="1">
        <v>10.0</v>
      </c>
      <c r="B2387" s="26" t="s">
        <v>2342</v>
      </c>
      <c r="C2387" s="1"/>
      <c r="D2387" s="26" t="s">
        <v>908</v>
      </c>
      <c r="E2387" s="29" t="s">
        <v>33</v>
      </c>
      <c r="F2387" s="15"/>
      <c r="G2387" s="30">
        <v>60.0</v>
      </c>
      <c r="H2387" s="22" t="s">
        <v>2343</v>
      </c>
      <c r="I2387" s="7"/>
      <c r="J2387" s="7" t="str">
        <f>IFERROR(LET(_xlpm.v,
VLOOKUP($I2387,'用語辞書'!$A:$B,COLUMN('用語辞書'!B$1),FALSE),
IF(_xlpm.v=0,"",_xlpm.v)
),"")</f>
        <v/>
      </c>
      <c r="K2387" s="17"/>
      <c r="L2387" s="17" t="b">
        <f>IF(OR(COUNTIF('クラス'!$A$1:$A$1267,$B2387)&gt;0,$B2387="",$M2387=""),"",True)</f>
        <v>1</v>
      </c>
      <c r="M2387" s="1" t="str">
        <f t="shared" si="30"/>
        <v>存在しない</v>
      </c>
      <c r="N2387" s="1" t="s">
        <v>29</v>
      </c>
      <c r="O2387" s="1"/>
      <c r="P2387" s="11"/>
      <c r="Q2387" s="11"/>
      <c r="R2387" s="11"/>
      <c r="S2387" s="11"/>
      <c r="T2387" s="1"/>
      <c r="U2387" s="1"/>
      <c r="V2387" s="1"/>
      <c r="W2387" s="1"/>
      <c r="X2387" s="1"/>
      <c r="Y2387" s="1"/>
      <c r="Z2387" s="1"/>
    </row>
    <row r="2388" ht="18.0" customHeight="1" outlineLevel="1" collapsed="1">
      <c r="A2388" s="1"/>
      <c r="B2388" s="1"/>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customHeight="1" outlineLevel="1">
      <c r="A2389" s="1"/>
      <c r="B2389" s="26" t="s">
        <v>2344</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存在しない</v>
      </c>
      <c r="N2389" s="1" t="s">
        <v>29</v>
      </c>
      <c r="O2389" s="1"/>
      <c r="P2389" s="11"/>
      <c r="Q2389" s="11"/>
      <c r="R2389" s="11"/>
      <c r="S2389" s="11"/>
      <c r="T2389" s="1"/>
      <c r="U2389" s="1"/>
      <c r="V2389" s="1"/>
      <c r="W2389" s="1"/>
      <c r="X2389" s="1"/>
      <c r="Y2389" s="1"/>
      <c r="Z2389" s="1"/>
    </row>
    <row r="2390" ht="18.0" hidden="1" customHeight="1" outlineLevel="2">
      <c r="A2390" s="1">
        <v>1.0</v>
      </c>
      <c r="B2390" s="26" t="s">
        <v>2229</v>
      </c>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
      </c>
      <c r="N2390" s="1" t="s">
        <v>29</v>
      </c>
      <c r="O2390" s="1"/>
      <c r="P2390" s="11"/>
      <c r="Q2390" s="11"/>
      <c r="R2390" s="11"/>
      <c r="S2390" s="11"/>
      <c r="T2390" s="1"/>
      <c r="U2390" s="1"/>
      <c r="V2390" s="1"/>
      <c r="W2390" s="1"/>
      <c r="X2390" s="1"/>
      <c r="Y2390" s="1"/>
      <c r="Z2390" s="1"/>
    </row>
    <row r="2391" ht="18.0" hidden="1" customHeight="1" outlineLevel="2">
      <c r="A2391" s="1">
        <v>2.0</v>
      </c>
      <c r="B2391" s="1"/>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存在しない</v>
      </c>
      <c r="N2391" s="1" t="s">
        <v>29</v>
      </c>
      <c r="O2391" s="1"/>
      <c r="P2391" s="11"/>
      <c r="Q2391" s="11"/>
      <c r="R2391" s="11"/>
      <c r="S2391" s="11"/>
      <c r="T2391" s="1"/>
      <c r="U2391" s="1"/>
      <c r="V2391" s="1"/>
      <c r="W2391" s="1"/>
      <c r="X2391" s="1"/>
      <c r="Y2391" s="1"/>
      <c r="Z2391" s="1"/>
    </row>
    <row r="2392" ht="18.0" hidden="1" customHeight="1" outlineLevel="2">
      <c r="A2392" s="1">
        <v>3.0</v>
      </c>
      <c r="B2392" s="26" t="s">
        <v>966</v>
      </c>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
      </c>
      <c r="N2392" s="1" t="s">
        <v>29</v>
      </c>
      <c r="O2392" s="1"/>
      <c r="P2392" s="11"/>
      <c r="Q2392" s="11"/>
      <c r="R2392" s="11"/>
      <c r="S2392" s="11"/>
      <c r="T2392" s="1"/>
      <c r="U2392" s="1"/>
      <c r="V2392" s="1"/>
      <c r="W2392" s="1"/>
      <c r="X2392" s="1"/>
      <c r="Y2392" s="1"/>
      <c r="Z2392" s="1"/>
    </row>
    <row r="2393" ht="18.0" hidden="1" customHeight="1" outlineLevel="2">
      <c r="A2393" s="1">
        <v>4.0</v>
      </c>
      <c r="B2393" s="1"/>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存在しない</v>
      </c>
      <c r="N2393" s="1" t="s">
        <v>29</v>
      </c>
      <c r="O2393" s="1"/>
      <c r="P2393" s="11"/>
      <c r="Q2393" s="11"/>
      <c r="R2393" s="11"/>
      <c r="S2393" s="11"/>
      <c r="T2393" s="1"/>
      <c r="U2393" s="1"/>
      <c r="V2393" s="1"/>
      <c r="W2393" s="1"/>
      <c r="X2393" s="1"/>
      <c r="Y2393" s="1"/>
      <c r="Z2393" s="1"/>
    </row>
    <row r="2394" ht="18.0" hidden="1" customHeight="1" outlineLevel="2">
      <c r="A2394" s="1">
        <v>5.0</v>
      </c>
      <c r="B2394" s="26" t="s">
        <v>1789</v>
      </c>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
      </c>
      <c r="N2394" s="1" t="s">
        <v>29</v>
      </c>
      <c r="O2394" s="1"/>
      <c r="P2394" s="11"/>
      <c r="Q2394" s="11"/>
      <c r="R2394" s="11"/>
      <c r="S2394" s="11"/>
      <c r="T2394" s="1"/>
      <c r="U2394" s="1"/>
      <c r="V2394" s="1"/>
      <c r="W2394" s="1"/>
      <c r="X2394" s="1"/>
      <c r="Y2394" s="1"/>
      <c r="Z2394" s="1"/>
    </row>
    <row r="2395" ht="18.0" hidden="1" customHeight="1" outlineLevel="2">
      <c r="A2395" s="1">
        <v>6.0</v>
      </c>
      <c r="B2395" s="1"/>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存在しない</v>
      </c>
      <c r="N2395" s="1" t="s">
        <v>29</v>
      </c>
      <c r="O2395" s="1"/>
      <c r="P2395" s="11"/>
      <c r="Q2395" s="11"/>
      <c r="R2395" s="11"/>
      <c r="S2395" s="11"/>
      <c r="T2395" s="1"/>
      <c r="U2395" s="1"/>
      <c r="V2395" s="1"/>
      <c r="W2395" s="1"/>
      <c r="X2395" s="1"/>
      <c r="Y2395" s="1"/>
      <c r="Z2395" s="1"/>
    </row>
    <row r="2396" ht="18.0" hidden="1" customHeight="1" outlineLevel="2">
      <c r="A2396" s="1">
        <v>7.0</v>
      </c>
      <c r="B2396" s="26" t="s">
        <v>978</v>
      </c>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
      </c>
      <c r="N2396" s="1" t="s">
        <v>29</v>
      </c>
      <c r="O2396" s="1"/>
      <c r="P2396" s="11"/>
      <c r="Q2396" s="11"/>
      <c r="R2396" s="11"/>
      <c r="S2396" s="11"/>
      <c r="T2396" s="1"/>
      <c r="U2396" s="1"/>
      <c r="V2396" s="1"/>
      <c r="W2396" s="1"/>
      <c r="X2396" s="1"/>
      <c r="Y2396" s="1"/>
      <c r="Z2396" s="1"/>
    </row>
    <row r="2397" ht="18.0" hidden="1" customHeight="1" outlineLevel="2">
      <c r="A2397" s="1">
        <v>8.0</v>
      </c>
      <c r="B2397" s="1"/>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存在しない</v>
      </c>
      <c r="N2397" s="1" t="s">
        <v>29</v>
      </c>
      <c r="O2397" s="1"/>
      <c r="P2397" s="11"/>
      <c r="Q2397" s="11"/>
      <c r="R2397" s="11"/>
      <c r="S2397" s="11"/>
      <c r="T2397" s="1"/>
      <c r="U2397" s="1"/>
      <c r="V2397" s="1"/>
      <c r="W2397" s="1"/>
      <c r="X2397" s="1"/>
      <c r="Y2397" s="1"/>
      <c r="Z2397" s="1"/>
    </row>
    <row r="2398" ht="18.0" hidden="1" customHeight="1" outlineLevel="2">
      <c r="A2398" s="1">
        <v>9.0</v>
      </c>
      <c r="B2398" s="26" t="s">
        <v>1793</v>
      </c>
      <c r="C2398" s="1"/>
      <c r="D2398" s="1"/>
      <c r="E2398" s="14"/>
      <c r="F2398" s="15"/>
      <c r="G2398" s="16"/>
      <c r="H2398" s="11"/>
      <c r="I2398" s="7"/>
      <c r="J2398" s="7" t="str">
        <f>IFERROR(LET(_xlpm.v,
VLOOKUP($I2398,'用語辞書'!$A:$B,COLUMN('用語辞書'!B$1),FALSE),
IF(_xlpm.v=0,"",_xlpm.v)
),"")</f>
        <v/>
      </c>
      <c r="K2398" s="17"/>
      <c r="L2398" s="17" t="str">
        <f>IF(OR(COUNTIF('クラス'!$A$1:$A$1267,$B2398)&gt;0,$B2398="",$M2398=""),"",True)</f>
        <v/>
      </c>
      <c r="M2398" s="1" t="str">
        <f t="shared" si="30"/>
        <v/>
      </c>
      <c r="N2398" s="1" t="s">
        <v>29</v>
      </c>
      <c r="O2398" s="1"/>
      <c r="P2398" s="11"/>
      <c r="Q2398" s="11"/>
      <c r="R2398" s="11"/>
      <c r="S2398" s="11"/>
      <c r="T2398" s="1"/>
      <c r="U2398" s="1"/>
      <c r="V2398" s="1"/>
      <c r="W2398" s="1"/>
      <c r="X2398" s="1"/>
      <c r="Y2398" s="1"/>
      <c r="Z2398" s="1"/>
    </row>
    <row r="2399" ht="18.0" hidden="1" customHeight="1" outlineLevel="2">
      <c r="A2399" s="1">
        <v>10.0</v>
      </c>
      <c r="B2399" s="26" t="s">
        <v>2345</v>
      </c>
      <c r="C2399" s="1"/>
      <c r="D2399" s="26" t="s">
        <v>965</v>
      </c>
      <c r="E2399" s="29" t="s">
        <v>33</v>
      </c>
      <c r="F2399" s="15"/>
      <c r="G2399" s="30">
        <v>60.0</v>
      </c>
      <c r="H2399" s="22" t="s">
        <v>2346</v>
      </c>
      <c r="I2399" s="7"/>
      <c r="J2399" s="7" t="str">
        <f>IFERROR(LET(_xlpm.v,
VLOOKUP($I2399,'用語辞書'!$A:$B,COLUMN('用語辞書'!B$1),FALSE),
IF(_xlpm.v=0,"",_xlpm.v)
),"")</f>
        <v/>
      </c>
      <c r="K2399" s="17"/>
      <c r="L2399" s="17" t="b">
        <f>IF(OR(COUNTIF('クラス'!$A$1:$A$1267,$B2399)&gt;0,$B2399="",$M2399=""),"",True)</f>
        <v>1</v>
      </c>
      <c r="M2399" s="1" t="str">
        <f t="shared" si="30"/>
        <v>存在しない</v>
      </c>
      <c r="N2399" s="1" t="s">
        <v>29</v>
      </c>
      <c r="O2399" s="1"/>
      <c r="P2399" s="11"/>
      <c r="Q2399" s="11"/>
      <c r="R2399" s="11"/>
      <c r="S2399" s="11"/>
      <c r="T2399" s="1"/>
      <c r="U2399" s="1"/>
      <c r="V2399" s="1"/>
      <c r="W2399" s="1"/>
      <c r="X2399" s="1"/>
      <c r="Y2399" s="1"/>
      <c r="Z2399" s="1"/>
    </row>
    <row r="2400" ht="18.0" customHeight="1" collapsed="1">
      <c r="A2400" s="1"/>
      <c r="B2400" s="1"/>
      <c r="C2400" s="26" t="s">
        <v>2347</v>
      </c>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customHeight="1">
      <c r="A2401" s="1"/>
      <c r="B2401" s="26" t="s">
        <v>2348</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存在しない</v>
      </c>
      <c r="N2401" s="1" t="s">
        <v>29</v>
      </c>
      <c r="O2401" s="1"/>
      <c r="P2401" s="11"/>
      <c r="Q2401" s="11"/>
      <c r="R2401" s="11"/>
      <c r="S2401" s="11"/>
      <c r="T2401" s="1"/>
      <c r="U2401" s="1"/>
      <c r="V2401" s="1"/>
      <c r="W2401" s="1"/>
      <c r="X2401" s="1"/>
      <c r="Y2401" s="1"/>
      <c r="Z2401" s="1"/>
    </row>
    <row r="2402" ht="18.0" hidden="1" customHeight="1" outlineLevel="1">
      <c r="A2402" s="1">
        <v>1.0</v>
      </c>
      <c r="B2402" s="26" t="s">
        <v>1103</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2.0</v>
      </c>
      <c r="B2403" s="26" t="s">
        <v>1132</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3.0</v>
      </c>
      <c r="B2404" s="26" t="s">
        <v>1125</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4.0</v>
      </c>
      <c r="B2405" s="26" t="s">
        <v>1111</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5.0</v>
      </c>
      <c r="B2406" s="26" t="s">
        <v>1500</v>
      </c>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
      </c>
      <c r="N2406" s="1" t="s">
        <v>29</v>
      </c>
      <c r="O2406" s="1"/>
      <c r="P2406" s="11"/>
      <c r="Q2406" s="11"/>
      <c r="R2406" s="11"/>
      <c r="S2406" s="11"/>
      <c r="T2406" s="1"/>
      <c r="U2406" s="1"/>
      <c r="V2406" s="1"/>
      <c r="W2406" s="1"/>
      <c r="X2406" s="1"/>
      <c r="Y2406" s="1"/>
      <c r="Z2406" s="1"/>
    </row>
    <row r="2407" ht="18.0" hidden="1" customHeight="1" outlineLevel="1">
      <c r="A2407" s="1">
        <v>6.0</v>
      </c>
      <c r="B2407" s="1"/>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存在しない</v>
      </c>
      <c r="N2407" s="1" t="s">
        <v>29</v>
      </c>
      <c r="O2407" s="1"/>
      <c r="P2407" s="11"/>
      <c r="Q2407" s="11"/>
      <c r="R2407" s="11"/>
      <c r="S2407" s="11"/>
      <c r="T2407" s="1"/>
      <c r="U2407" s="1"/>
      <c r="V2407" s="1"/>
      <c r="W2407" s="1"/>
      <c r="X2407" s="1"/>
      <c r="Y2407" s="1"/>
      <c r="Z2407" s="1"/>
    </row>
    <row r="2408" ht="18.0" hidden="1" customHeight="1" outlineLevel="1">
      <c r="A2408" s="1">
        <v>7.0</v>
      </c>
      <c r="B2408" s="26" t="s">
        <v>1116</v>
      </c>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
      </c>
      <c r="N2408" s="1" t="s">
        <v>29</v>
      </c>
      <c r="O2408" s="1"/>
      <c r="P2408" s="11"/>
      <c r="Q2408" s="11"/>
      <c r="R2408" s="11"/>
      <c r="S2408" s="11"/>
      <c r="T2408" s="1"/>
      <c r="U2408" s="1"/>
      <c r="V2408" s="1"/>
      <c r="W2408" s="1"/>
      <c r="X2408" s="1"/>
      <c r="Y2408" s="1"/>
      <c r="Z2408" s="1"/>
    </row>
    <row r="2409" ht="18.0" hidden="1" customHeight="1" outlineLevel="1">
      <c r="A2409" s="1">
        <v>8.0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9.0</v>
      </c>
      <c r="B2410" s="1"/>
      <c r="C2410" s="1"/>
      <c r="D2410" s="1"/>
      <c r="E2410" s="14"/>
      <c r="F2410" s="15"/>
      <c r="G2410" s="16"/>
      <c r="H2410" s="11"/>
      <c r="I2410" s="7"/>
      <c r="J2410" s="7" t="str">
        <f>IFERROR(LET(_xlpm.v,
VLOOKUP($I2410,'用語辞書'!$A:$B,COLUMN('用語辞書'!B$1),FALSE),
IF(_xlpm.v=0,"",_xlpm.v)
),"")</f>
        <v/>
      </c>
      <c r="K2410" s="17"/>
      <c r="L2410" s="17" t="str">
        <f>IF(OR(COUNTIF('クラス'!$A$1:$A$1267,$B2410)&gt;0,$B2410="",$M2410=""),"",True)</f>
        <v/>
      </c>
      <c r="M2410" s="1" t="str">
        <f t="shared" si="30"/>
        <v>存在しない</v>
      </c>
      <c r="N2410" s="1" t="s">
        <v>29</v>
      </c>
      <c r="O2410" s="1"/>
      <c r="P2410" s="11"/>
      <c r="Q2410" s="11"/>
      <c r="R2410" s="11"/>
      <c r="S2410" s="11"/>
      <c r="T2410" s="1"/>
      <c r="U2410" s="1"/>
      <c r="V2410" s="1"/>
      <c r="W2410" s="1"/>
      <c r="X2410" s="1"/>
      <c r="Y2410" s="1"/>
      <c r="Z2410" s="1"/>
    </row>
    <row r="2411" ht="18.0" hidden="1" customHeight="1" outlineLevel="1">
      <c r="A2411" s="1">
        <v>10.0</v>
      </c>
      <c r="B2411" s="26" t="s">
        <v>2349</v>
      </c>
      <c r="C2411" s="26" t="s">
        <v>29</v>
      </c>
      <c r="D2411" s="26" t="s">
        <v>29</v>
      </c>
      <c r="E2411" s="29" t="s">
        <v>55</v>
      </c>
      <c r="F2411" s="34" t="s">
        <v>29</v>
      </c>
      <c r="G2411" s="30" t="s">
        <v>29</v>
      </c>
      <c r="H2411" s="22" t="s">
        <v>2350</v>
      </c>
      <c r="I2411" s="7"/>
      <c r="J2411" s="7" t="str">
        <f>IFERROR(LET(_xlpm.v,
VLOOKUP($I2411,'用語辞書'!$A:$B,COLUMN('用語辞書'!B$1),FALSE),
IF(_xlpm.v=0,"",_xlpm.v)
),"")</f>
        <v/>
      </c>
      <c r="K2411" s="17"/>
      <c r="L2411" s="17" t="b">
        <f>IF(OR(COUNTIF('クラス'!$A$1:$A$1267,$B2411)&gt;0,$B2411="",$M2411=""),"",True)</f>
        <v>1</v>
      </c>
      <c r="M2411" s="1" t="str">
        <f t="shared" si="30"/>
        <v>存在しない</v>
      </c>
      <c r="N2411" s="1" t="s">
        <v>29</v>
      </c>
      <c r="O2411" s="1"/>
      <c r="P2411" s="11"/>
      <c r="Q2411" s="11"/>
      <c r="R2411" s="11"/>
      <c r="S2411" s="11"/>
      <c r="T2411" s="1"/>
      <c r="U2411" s="1"/>
      <c r="V2411" s="1"/>
      <c r="W2411" s="1"/>
      <c r="X2411" s="1"/>
      <c r="Y2411" s="1"/>
      <c r="Z2411" s="1"/>
    </row>
    <row r="2412" ht="18.0" customHeight="1" collapsed="1">
      <c r="A2412" s="1"/>
      <c r="B2412" s="1"/>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customHeight="1">
      <c r="A2413" s="1"/>
      <c r="B2413" s="26" t="s">
        <v>2351</v>
      </c>
      <c r="C2413" s="1"/>
      <c r="D2413" s="1"/>
      <c r="E2413" s="14"/>
      <c r="F2413" s="15"/>
      <c r="G2413" s="16"/>
      <c r="H2413" s="11"/>
      <c r="I2413" s="7"/>
      <c r="J2413" s="7" t="str">
        <f>IFERROR(LET(_xlpm.v,
VLOOKUP($I2413,'用語辞書'!$A:$B,COLUMN('用語辞書'!B$1),FALSE),
IF(_xlpm.v=0,"",_xlpm.v)
),"")</f>
        <v/>
      </c>
      <c r="K2413" s="17"/>
      <c r="L2413" s="17" t="str">
        <f>IF(OR(COUNTIF('クラス'!$A$1:$A$1267,$B2413)&gt;0,$B2413="",$M2413=""),"",True)</f>
        <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1.0</v>
      </c>
      <c r="B2414" s="26" t="s">
        <v>2352</v>
      </c>
      <c r="C2414" s="26" t="s">
        <v>29</v>
      </c>
      <c r="D2414" s="26" t="s">
        <v>29</v>
      </c>
      <c r="E2414" s="29" t="s">
        <v>33</v>
      </c>
      <c r="F2414" s="34" t="s">
        <v>29</v>
      </c>
      <c r="G2414" s="30">
        <v>50.0</v>
      </c>
      <c r="H2414" s="22" t="s">
        <v>2353</v>
      </c>
      <c r="I2414" s="7"/>
      <c r="J2414" s="7" t="str">
        <f>IFERROR(LET(_xlpm.v,
VLOOKUP($I2414,'用語辞書'!$A:$B,COLUMN('用語辞書'!B$1),FALSE),
IF(_xlpm.v=0,"",_xlpm.v)
),"")</f>
        <v/>
      </c>
      <c r="K2414" s="17"/>
      <c r="L2414" s="17" t="b">
        <f>IF(OR(COUNTIF('クラス'!$A$1:$A$1267,$B2414)&gt;0,$B2414="",$M2414=""),"",True)</f>
        <v>1</v>
      </c>
      <c r="M2414" s="1" t="str">
        <f t="shared" si="30"/>
        <v>存在しない</v>
      </c>
      <c r="N2414" s="1" t="s">
        <v>29</v>
      </c>
      <c r="O2414" s="1"/>
      <c r="P2414" s="11"/>
      <c r="Q2414" s="11"/>
      <c r="R2414" s="11"/>
      <c r="S2414" s="11"/>
      <c r="T2414" s="1"/>
      <c r="U2414" s="1"/>
      <c r="V2414" s="1"/>
      <c r="W2414" s="1"/>
      <c r="X2414" s="1"/>
      <c r="Y2414" s="1"/>
      <c r="Z2414" s="1"/>
    </row>
    <row r="2415" ht="18.0" hidden="1" customHeight="1" outlineLevel="1">
      <c r="A2415" s="1">
        <v>2.0</v>
      </c>
      <c r="B2415" s="26" t="s">
        <v>29</v>
      </c>
      <c r="C2415" s="1"/>
      <c r="D2415" s="1"/>
      <c r="E2415" s="14"/>
      <c r="F2415" s="15"/>
      <c r="G2415" s="16"/>
      <c r="H2415" s="11"/>
      <c r="I2415" s="7"/>
      <c r="J2415" s="7" t="str">
        <f>IFERROR(LET(_xlpm.v,
VLOOKUP($I2415,'用語辞書'!$A:$B,COLUMN('用語辞書'!B$1),FALSE),
IF(_xlpm.v=0,"",_xlpm.v)
),"")</f>
        <v/>
      </c>
      <c r="K2415" s="17"/>
      <c r="L2415" s="17" t="str">
        <f>IF(OR(COUNTIF('クラス'!$A$1:$A$1267,$B2415)&gt;0,$B2415="",$M2415=""),"",True)</f>
        <v/>
      </c>
      <c r="M2415" s="1" t="str">
        <f t="shared" si="30"/>
        <v/>
      </c>
      <c r="N2415" s="1" t="s">
        <v>29</v>
      </c>
      <c r="O2415" s="1"/>
      <c r="P2415" s="11"/>
      <c r="Q2415" s="11"/>
      <c r="R2415" s="11"/>
      <c r="S2415" s="11"/>
      <c r="T2415" s="1"/>
      <c r="U2415" s="1"/>
      <c r="V2415" s="1"/>
      <c r="W2415" s="1"/>
      <c r="X2415" s="1"/>
      <c r="Y2415" s="1"/>
      <c r="Z2415" s="1"/>
    </row>
    <row r="2416" ht="18.0" hidden="1" customHeight="1" outlineLevel="1">
      <c r="A2416" s="1">
        <v>3.0</v>
      </c>
      <c r="B2416" s="26" t="s">
        <v>2354</v>
      </c>
      <c r="C2416" s="26" t="s">
        <v>29</v>
      </c>
      <c r="D2416" s="26" t="s">
        <v>29</v>
      </c>
      <c r="E2416" s="29" t="s">
        <v>55</v>
      </c>
      <c r="F2416" s="34" t="s">
        <v>29</v>
      </c>
      <c r="G2416" s="30" t="s">
        <v>29</v>
      </c>
      <c r="H2416" s="22" t="s">
        <v>2355</v>
      </c>
      <c r="I2416" s="7"/>
      <c r="J2416" s="7" t="str">
        <f>IFERROR(LET(_xlpm.v,
VLOOKUP($I2416,'用語辞書'!$A:$B,COLUMN('用語辞書'!B$1),FALSE),
IF(_xlpm.v=0,"",_xlpm.v)
),"")</f>
        <v/>
      </c>
      <c r="K2416" s="17"/>
      <c r="L2416" s="17" t="b">
        <f>IF(OR(COUNTIF('クラス'!$A$1:$A$1267,$B2416)&gt;0,$B2416="",$M2416=""),"",True)</f>
        <v>1</v>
      </c>
      <c r="M2416" s="1" t="str">
        <f t="shared" si="30"/>
        <v>存在しない</v>
      </c>
      <c r="N2416" s="1" t="s">
        <v>29</v>
      </c>
      <c r="O2416" s="1"/>
      <c r="P2416" s="11"/>
      <c r="Q2416" s="11"/>
      <c r="R2416" s="11"/>
      <c r="S2416" s="11"/>
      <c r="T2416" s="1"/>
      <c r="U2416" s="1"/>
      <c r="V2416" s="1"/>
      <c r="W2416" s="1"/>
      <c r="X2416" s="1"/>
      <c r="Y2416" s="1"/>
      <c r="Z2416" s="1"/>
    </row>
    <row r="2417" ht="18.0" hidden="1" customHeight="1" outlineLevel="1">
      <c r="A2417" s="1">
        <v>4.0</v>
      </c>
      <c r="B2417" s="26" t="s">
        <v>29</v>
      </c>
      <c r="C2417" s="1"/>
      <c r="D2417" s="1"/>
      <c r="E2417" s="14"/>
      <c r="F2417" s="15"/>
      <c r="G2417" s="16"/>
      <c r="H2417" s="11"/>
      <c r="I2417" s="7"/>
      <c r="J2417" s="7" t="str">
        <f>IFERROR(LET(_xlpm.v,
VLOOKUP($I2417,'用語辞書'!$A:$B,COLUMN('用語辞書'!B$1),FALSE),
IF(_xlpm.v=0,"",_xlpm.v)
),"")</f>
        <v/>
      </c>
      <c r="K2417" s="17"/>
      <c r="L2417" s="17" t="str">
        <f>IF(OR(COUNTIF('クラス'!$A$1:$A$1267,$B2417)&gt;0,$B2417="",$M2417=""),"",True)</f>
        <v/>
      </c>
      <c r="M2417" s="1" t="str">
        <f t="shared" si="30"/>
        <v/>
      </c>
      <c r="N2417" s="1" t="s">
        <v>29</v>
      </c>
      <c r="O2417" s="1"/>
      <c r="P2417" s="11"/>
      <c r="Q2417" s="11"/>
      <c r="R2417" s="11"/>
      <c r="S2417" s="11"/>
      <c r="T2417" s="1"/>
      <c r="U2417" s="1"/>
      <c r="V2417" s="1"/>
      <c r="W2417" s="1"/>
      <c r="X2417" s="1"/>
      <c r="Y2417" s="1"/>
      <c r="Z2417" s="1"/>
    </row>
    <row r="2418" ht="18.0" hidden="1" customHeight="1" outlineLevel="1">
      <c r="A2418" s="1">
        <v>5.0</v>
      </c>
      <c r="B2418" s="26" t="s">
        <v>2356</v>
      </c>
      <c r="C2418" s="26" t="s">
        <v>29</v>
      </c>
      <c r="D2418" s="26" t="s">
        <v>29</v>
      </c>
      <c r="E2418" s="29" t="s">
        <v>33</v>
      </c>
      <c r="F2418" s="34" t="s">
        <v>29</v>
      </c>
      <c r="G2418" s="30">
        <v>60.0</v>
      </c>
      <c r="H2418" s="22" t="s">
        <v>2357</v>
      </c>
      <c r="I2418" s="7"/>
      <c r="J2418" s="7" t="str">
        <f>IFERROR(LET(_xlpm.v,
VLOOKUP($I2418,'用語辞書'!$A:$B,COLUMN('用語辞書'!B$1),FALSE),
IF(_xlpm.v=0,"",_xlpm.v)
),"")</f>
        <v/>
      </c>
      <c r="K2418" s="17"/>
      <c r="L2418" s="17" t="b">
        <f>IF(OR(COUNTIF('クラス'!$A$1:$A$1267,$B2418)&gt;0,$B2418="",$M2418=""),"",True)</f>
        <v>1</v>
      </c>
      <c r="M2418" s="1" t="str">
        <f t="shared" si="30"/>
        <v>存在しない</v>
      </c>
      <c r="N2418" s="1" t="s">
        <v>29</v>
      </c>
      <c r="O2418" s="1"/>
      <c r="P2418" s="11"/>
      <c r="Q2418" s="11"/>
      <c r="R2418" s="11"/>
      <c r="S2418" s="11"/>
      <c r="T2418" s="1"/>
      <c r="U2418" s="1"/>
      <c r="V2418" s="1"/>
      <c r="W2418" s="1"/>
      <c r="X2418" s="1"/>
      <c r="Y2418" s="1"/>
      <c r="Z2418" s="1"/>
    </row>
    <row r="2419" ht="18.0" hidden="1" customHeight="1" outlineLevel="1">
      <c r="A2419" s="1">
        <v>6.0</v>
      </c>
      <c r="B2419" s="26" t="s">
        <v>29</v>
      </c>
      <c r="C2419" s="1"/>
      <c r="D2419" s="1"/>
      <c r="E2419" s="14"/>
      <c r="F2419" s="15"/>
      <c r="G2419" s="16"/>
      <c r="H2419" s="11"/>
      <c r="I2419" s="7"/>
      <c r="J2419" s="7" t="str">
        <f>IFERROR(LET(_xlpm.v,
VLOOKUP($I2419,'用語辞書'!$A:$B,COLUMN('用語辞書'!B$1),FALSE),
IF(_xlpm.v=0,"",_xlpm.v)
),"")</f>
        <v/>
      </c>
      <c r="K2419" s="17"/>
      <c r="L2419" s="17" t="str">
        <f>IF(OR(COUNTIF('クラス'!$A$1:$A$1267,$B2419)&gt;0,$B2419="",$M2419=""),"",True)</f>
        <v/>
      </c>
      <c r="M2419" s="1" t="str">
        <f t="shared" si="30"/>
        <v/>
      </c>
      <c r="N2419" s="1" t="s">
        <v>29</v>
      </c>
      <c r="O2419" s="1"/>
      <c r="P2419" s="11"/>
      <c r="Q2419" s="11"/>
      <c r="R2419" s="11"/>
      <c r="S2419" s="11"/>
      <c r="T2419" s="1"/>
      <c r="U2419" s="1"/>
      <c r="V2419" s="1"/>
      <c r="W2419" s="1"/>
      <c r="X2419" s="1"/>
      <c r="Y2419" s="1"/>
      <c r="Z2419" s="1"/>
    </row>
    <row r="2420" ht="18.0" hidden="1" customHeight="1" outlineLevel="1">
      <c r="A2420" s="1">
        <v>7.0</v>
      </c>
      <c r="B2420" s="26" t="s">
        <v>2358</v>
      </c>
      <c r="C2420" s="26" t="s">
        <v>29</v>
      </c>
      <c r="D2420" s="26" t="s">
        <v>29</v>
      </c>
      <c r="E2420" s="29" t="s">
        <v>33</v>
      </c>
      <c r="F2420" s="34" t="s">
        <v>29</v>
      </c>
      <c r="G2420" s="30">
        <v>40.0</v>
      </c>
      <c r="H2420" s="22" t="s">
        <v>2359</v>
      </c>
      <c r="I2420" s="7"/>
      <c r="J2420" s="7" t="str">
        <f>IFERROR(LET(_xlpm.v,
VLOOKUP($I2420,'用語辞書'!$A:$B,COLUMN('用語辞書'!B$1),FALSE),
IF(_xlpm.v=0,"",_xlpm.v)
),"")</f>
        <v/>
      </c>
      <c r="K2420" s="17"/>
      <c r="L2420" s="17" t="b">
        <f>IF(OR(COUNTIF('クラス'!$A$1:$A$1267,$B2420)&gt;0,$B2420="",$M2420=""),"",True)</f>
        <v>1</v>
      </c>
      <c r="M2420" s="1" t="str">
        <f t="shared" si="30"/>
        <v>存在しない</v>
      </c>
      <c r="N2420" s="1" t="s">
        <v>29</v>
      </c>
      <c r="O2420" s="1"/>
      <c r="P2420" s="11"/>
      <c r="Q2420" s="11"/>
      <c r="R2420" s="11"/>
      <c r="S2420" s="11"/>
      <c r="T2420" s="1"/>
      <c r="U2420" s="1"/>
      <c r="V2420" s="1"/>
      <c r="W2420" s="1"/>
      <c r="X2420" s="1"/>
      <c r="Y2420" s="1"/>
      <c r="Z2420" s="1"/>
    </row>
    <row r="2421" ht="18.0" hidden="1" customHeight="1" outlineLevel="1">
      <c r="A2421" s="1">
        <v>8.0</v>
      </c>
      <c r="B2421" s="26" t="s">
        <v>29</v>
      </c>
      <c r="C2421" s="1"/>
      <c r="D2421" s="1"/>
      <c r="E2421" s="14"/>
      <c r="F2421" s="15"/>
      <c r="G2421" s="16"/>
      <c r="H2421" s="11"/>
      <c r="I2421" s="7"/>
      <c r="J2421" s="7" t="str">
        <f>IFERROR(LET(_xlpm.v,
VLOOKUP($I2421,'用語辞書'!$A:$B,COLUMN('用語辞書'!B$1),FALSE),
IF(_xlpm.v=0,"",_xlpm.v)
),"")</f>
        <v/>
      </c>
      <c r="K2421" s="17"/>
      <c r="L2421" s="17" t="str">
        <f>IF(OR(COUNTIF('クラス'!$A$1:$A$1267,$B2421)&gt;0,$B2421="",$M2421=""),"",True)</f>
        <v/>
      </c>
      <c r="M2421" s="1" t="str">
        <f t="shared" si="30"/>
        <v/>
      </c>
      <c r="N2421" s="1" t="s">
        <v>29</v>
      </c>
      <c r="O2421" s="1"/>
      <c r="P2421" s="11"/>
      <c r="Q2421" s="11"/>
      <c r="R2421" s="11"/>
      <c r="S2421" s="11"/>
      <c r="T2421" s="1"/>
      <c r="U2421" s="1"/>
      <c r="V2421" s="1"/>
      <c r="W2421" s="1"/>
      <c r="X2421" s="1"/>
      <c r="Y2421" s="1"/>
      <c r="Z2421" s="1"/>
    </row>
    <row r="2422" ht="18.0" hidden="1" customHeight="1" outlineLevel="1">
      <c r="A2422" s="1">
        <v>9.0</v>
      </c>
      <c r="B2422" s="26" t="s">
        <v>2360</v>
      </c>
      <c r="C2422" s="26" t="s">
        <v>29</v>
      </c>
      <c r="D2422" s="26" t="s">
        <v>29</v>
      </c>
      <c r="E2422" s="29" t="s">
        <v>55</v>
      </c>
      <c r="F2422" s="34" t="s">
        <v>29</v>
      </c>
      <c r="G2422" s="30" t="s">
        <v>29</v>
      </c>
      <c r="H2422" s="22" t="s">
        <v>2361</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hidden="1" customHeight="1" outlineLevel="1">
      <c r="A2423" s="1">
        <v>10.0</v>
      </c>
      <c r="B2423" s="26" t="s">
        <v>2362</v>
      </c>
      <c r="C2423" s="26" t="s">
        <v>29</v>
      </c>
      <c r="D2423" s="26" t="s">
        <v>29</v>
      </c>
      <c r="E2423" s="29" t="s">
        <v>33</v>
      </c>
      <c r="F2423" s="34" t="s">
        <v>29</v>
      </c>
      <c r="G2423" s="30">
        <v>60.0</v>
      </c>
      <c r="H2423" s="22" t="s">
        <v>2363</v>
      </c>
      <c r="I2423" s="7"/>
      <c r="J2423" s="7" t="str">
        <f>IFERROR(LET(_xlpm.v,
VLOOKUP($I2423,'用語辞書'!$A:$B,COLUMN('用語辞書'!B$1),FALSE),
IF(_xlpm.v=0,"",_xlpm.v)
),"")</f>
        <v/>
      </c>
      <c r="K2423" s="17"/>
      <c r="L2423" s="17" t="b">
        <f>IF(OR(COUNTIF('クラス'!$A$1:$A$1267,$B2423)&gt;0,$B2423="",$M2423=""),"",True)</f>
        <v>1</v>
      </c>
      <c r="M2423" s="1" t="str">
        <f t="shared" si="30"/>
        <v>存在しない</v>
      </c>
      <c r="N2423" s="1" t="s">
        <v>29</v>
      </c>
      <c r="O2423" s="1"/>
      <c r="P2423" s="11"/>
      <c r="Q2423" s="11"/>
      <c r="R2423" s="11"/>
      <c r="S2423" s="11"/>
      <c r="T2423" s="1"/>
      <c r="U2423" s="1"/>
      <c r="V2423" s="1"/>
      <c r="W2423" s="1"/>
      <c r="X2423" s="1"/>
      <c r="Y2423" s="1"/>
      <c r="Z2423" s="1"/>
    </row>
    <row r="2424" ht="18.0" customHeight="1" collapsed="1">
      <c r="A2424" s="1"/>
      <c r="B2424" s="1"/>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customHeight="1">
      <c r="A2425" s="1"/>
      <c r="B2425" s="26" t="s">
        <v>2364</v>
      </c>
      <c r="C2425" s="1"/>
      <c r="D2425" s="1"/>
      <c r="E2425" s="14"/>
      <c r="F2425" s="15"/>
      <c r="G2425" s="16"/>
      <c r="H2425" s="11"/>
      <c r="I2425" s="7"/>
      <c r="J2425" s="7" t="str">
        <f>IFERROR(LET(_xlpm.v,
VLOOKUP($I2425,'用語辞書'!$A:$B,COLUMN('用語辞書'!B$1),FALSE),
IF(_xlpm.v=0,"",_xlpm.v)
),"")</f>
        <v/>
      </c>
      <c r="K2425" s="17"/>
      <c r="L2425" s="17" t="str">
        <f>IF(OR(COUNTIF('クラス'!$A$1:$A$1267,$B2425)&gt;0,$B2425="",$M2425=""),"",True)</f>
        <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1.0</v>
      </c>
      <c r="B2426" s="26" t="s">
        <v>2365</v>
      </c>
      <c r="C2426" s="26" t="s">
        <v>29</v>
      </c>
      <c r="D2426" s="26" t="s">
        <v>29</v>
      </c>
      <c r="E2426" s="29" t="s">
        <v>33</v>
      </c>
      <c r="F2426" s="34" t="s">
        <v>29</v>
      </c>
      <c r="G2426" s="30">
        <v>60.0</v>
      </c>
      <c r="H2426" s="22" t="s">
        <v>2366</v>
      </c>
      <c r="I2426" s="7"/>
      <c r="J2426" s="7" t="str">
        <f>IFERROR(LET(_xlpm.v,
VLOOKUP($I2426,'用語辞書'!$A:$B,COLUMN('用語辞書'!B$1),FALSE),
IF(_xlpm.v=0,"",_xlpm.v)
),"")</f>
        <v/>
      </c>
      <c r="K2426" s="17"/>
      <c r="L2426" s="17" t="b">
        <f>IF(OR(COUNTIF('クラス'!$A$1:$A$1267,$B2426)&gt;0,$B2426="",$M2426=""),"",True)</f>
        <v>1</v>
      </c>
      <c r="M2426" s="1" t="str">
        <f t="shared" si="30"/>
        <v>存在しない</v>
      </c>
      <c r="N2426" s="1" t="s">
        <v>29</v>
      </c>
      <c r="O2426" s="1"/>
      <c r="P2426" s="11"/>
      <c r="Q2426" s="11"/>
      <c r="R2426" s="11"/>
      <c r="S2426" s="11"/>
      <c r="T2426" s="1"/>
      <c r="U2426" s="1"/>
      <c r="V2426" s="1"/>
      <c r="W2426" s="1"/>
      <c r="X2426" s="1"/>
      <c r="Y2426" s="1"/>
      <c r="Z2426" s="1"/>
    </row>
    <row r="2427" ht="18.0" hidden="1" customHeight="1" outlineLevel="1">
      <c r="A2427" s="1">
        <v>2.0</v>
      </c>
      <c r="B2427" s="26" t="s">
        <v>29</v>
      </c>
      <c r="C2427" s="1"/>
      <c r="D2427" s="1"/>
      <c r="E2427" s="14"/>
      <c r="F2427" s="15"/>
      <c r="G2427" s="16"/>
      <c r="H2427" s="11"/>
      <c r="I2427" s="7"/>
      <c r="J2427" s="7" t="str">
        <f>IFERROR(LET(_xlpm.v,
VLOOKUP($I2427,'用語辞書'!$A:$B,COLUMN('用語辞書'!B$1),FALSE),
IF(_xlpm.v=0,"",_xlpm.v)
),"")</f>
        <v/>
      </c>
      <c r="K2427" s="17"/>
      <c r="L2427" s="17" t="str">
        <f>IF(OR(COUNTIF('クラス'!$A$1:$A$1267,$B2427)&gt;0,$B2427="",$M2427=""),"",True)</f>
        <v/>
      </c>
      <c r="M2427" s="1" t="str">
        <f t="shared" si="30"/>
        <v/>
      </c>
      <c r="N2427" s="1" t="s">
        <v>29</v>
      </c>
      <c r="O2427" s="1"/>
      <c r="P2427" s="11"/>
      <c r="Q2427" s="11"/>
      <c r="R2427" s="11"/>
      <c r="S2427" s="11"/>
      <c r="T2427" s="1"/>
      <c r="U2427" s="1"/>
      <c r="V2427" s="1"/>
      <c r="W2427" s="1"/>
      <c r="X2427" s="1"/>
      <c r="Y2427" s="1"/>
      <c r="Z2427" s="1"/>
    </row>
    <row r="2428" ht="18.0" hidden="1" customHeight="1" outlineLevel="1">
      <c r="A2428" s="1">
        <v>3.0</v>
      </c>
      <c r="B2428" s="26" t="s">
        <v>2367</v>
      </c>
      <c r="C2428" s="26" t="s">
        <v>29</v>
      </c>
      <c r="D2428" s="26" t="s">
        <v>29</v>
      </c>
      <c r="E2428" s="29" t="s">
        <v>55</v>
      </c>
      <c r="F2428" s="34" t="s">
        <v>29</v>
      </c>
      <c r="G2428" s="30" t="s">
        <v>29</v>
      </c>
      <c r="H2428" s="22" t="s">
        <v>2368</v>
      </c>
      <c r="I2428" s="7"/>
      <c r="J2428" s="7" t="str">
        <f>IFERROR(LET(_xlpm.v,
VLOOKUP($I2428,'用語辞書'!$A:$B,COLUMN('用語辞書'!B$1),FALSE),
IF(_xlpm.v=0,"",_xlpm.v)
),"")</f>
        <v/>
      </c>
      <c r="K2428" s="17"/>
      <c r="L2428" s="17" t="b">
        <f>IF(OR(COUNTIF('クラス'!$A$1:$A$1267,$B2428)&gt;0,$B2428="",$M2428=""),"",True)</f>
        <v>1</v>
      </c>
      <c r="M2428" s="1" t="str">
        <f t="shared" si="30"/>
        <v>存在しない</v>
      </c>
      <c r="N2428" s="1" t="s">
        <v>29</v>
      </c>
      <c r="O2428" s="1"/>
      <c r="P2428" s="11"/>
      <c r="Q2428" s="11"/>
      <c r="R2428" s="11"/>
      <c r="S2428" s="11"/>
      <c r="T2428" s="1"/>
      <c r="U2428" s="1"/>
      <c r="V2428" s="1"/>
      <c r="W2428" s="1"/>
      <c r="X2428" s="1"/>
      <c r="Y2428" s="1"/>
      <c r="Z2428" s="1"/>
    </row>
    <row r="2429" ht="18.0" hidden="1" customHeight="1" outlineLevel="1">
      <c r="A2429" s="1">
        <v>4.0</v>
      </c>
      <c r="B2429" s="26" t="s">
        <v>29</v>
      </c>
      <c r="C2429" s="1"/>
      <c r="D2429" s="1"/>
      <c r="E2429" s="14"/>
      <c r="F2429" s="15"/>
      <c r="G2429" s="16"/>
      <c r="H2429" s="11"/>
      <c r="I2429" s="7"/>
      <c r="J2429" s="7" t="str">
        <f>IFERROR(LET(_xlpm.v,
VLOOKUP($I2429,'用語辞書'!$A:$B,COLUMN('用語辞書'!B$1),FALSE),
IF(_xlpm.v=0,"",_xlpm.v)
),"")</f>
        <v/>
      </c>
      <c r="K2429" s="17"/>
      <c r="L2429" s="17" t="str">
        <f>IF(OR(COUNTIF('クラス'!$A$1:$A$1267,$B2429)&gt;0,$B2429="",$M2429=""),"",True)</f>
        <v/>
      </c>
      <c r="M2429" s="1" t="str">
        <f t="shared" si="30"/>
        <v/>
      </c>
      <c r="N2429" s="1" t="s">
        <v>29</v>
      </c>
      <c r="O2429" s="1"/>
      <c r="P2429" s="11"/>
      <c r="Q2429" s="11"/>
      <c r="R2429" s="11"/>
      <c r="S2429" s="11"/>
      <c r="T2429" s="1"/>
      <c r="U2429" s="1"/>
      <c r="V2429" s="1"/>
      <c r="W2429" s="1"/>
      <c r="X2429" s="1"/>
      <c r="Y2429" s="1"/>
      <c r="Z2429" s="1"/>
    </row>
    <row r="2430" ht="18.0" hidden="1" customHeight="1" outlineLevel="1">
      <c r="A2430" s="1">
        <v>5.0</v>
      </c>
      <c r="B2430" s="26" t="s">
        <v>2369</v>
      </c>
      <c r="C2430" s="26" t="s">
        <v>29</v>
      </c>
      <c r="D2430" s="26" t="s">
        <v>29</v>
      </c>
      <c r="E2430" s="29" t="s">
        <v>33</v>
      </c>
      <c r="F2430" s="34" t="s">
        <v>29</v>
      </c>
      <c r="G2430" s="30">
        <v>60.0</v>
      </c>
      <c r="H2430" s="22" t="s">
        <v>2370</v>
      </c>
      <c r="I2430" s="7"/>
      <c r="J2430" s="7" t="str">
        <f>IFERROR(LET(_xlpm.v,
VLOOKUP($I2430,'用語辞書'!$A:$B,COLUMN('用語辞書'!B$1),FALSE),
IF(_xlpm.v=0,"",_xlpm.v)
),"")</f>
        <v/>
      </c>
      <c r="K2430" s="17"/>
      <c r="L2430" s="17" t="b">
        <f>IF(OR(COUNTIF('クラス'!$A$1:$A$1267,$B2430)&gt;0,$B2430="",$M2430=""),"",True)</f>
        <v>1</v>
      </c>
      <c r="M2430" s="1" t="str">
        <f t="shared" si="30"/>
        <v>存在しない</v>
      </c>
      <c r="N2430" s="1" t="s">
        <v>29</v>
      </c>
      <c r="O2430" s="1"/>
      <c r="P2430" s="11"/>
      <c r="Q2430" s="11"/>
      <c r="R2430" s="11"/>
      <c r="S2430" s="11"/>
      <c r="T2430" s="1"/>
      <c r="U2430" s="1"/>
      <c r="V2430" s="1"/>
      <c r="W2430" s="1"/>
      <c r="X2430" s="1"/>
      <c r="Y2430" s="1"/>
      <c r="Z2430" s="1"/>
    </row>
    <row r="2431" ht="18.0" hidden="1" customHeight="1" outlineLevel="1">
      <c r="A2431" s="1">
        <v>6.0</v>
      </c>
      <c r="B2431" s="26" t="s">
        <v>29</v>
      </c>
      <c r="C2431" s="1"/>
      <c r="D2431" s="1"/>
      <c r="E2431" s="14"/>
      <c r="F2431" s="15"/>
      <c r="G2431" s="16"/>
      <c r="H2431" s="11"/>
      <c r="I2431" s="7"/>
      <c r="J2431" s="7" t="str">
        <f>IFERROR(LET(_xlpm.v,
VLOOKUP($I2431,'用語辞書'!$A:$B,COLUMN('用語辞書'!B$1),FALSE),
IF(_xlpm.v=0,"",_xlpm.v)
),"")</f>
        <v/>
      </c>
      <c r="K2431" s="17"/>
      <c r="L2431" s="17" t="str">
        <f>IF(OR(COUNTIF('クラス'!$A$1:$A$1267,$B2431)&gt;0,$B2431="",$M2431=""),"",True)</f>
        <v/>
      </c>
      <c r="M2431" s="1" t="str">
        <f t="shared" si="30"/>
        <v/>
      </c>
      <c r="N2431" s="1" t="s">
        <v>29</v>
      </c>
      <c r="O2431" s="1"/>
      <c r="P2431" s="11"/>
      <c r="Q2431" s="11"/>
      <c r="R2431" s="11"/>
      <c r="S2431" s="11"/>
      <c r="T2431" s="1"/>
      <c r="U2431" s="1"/>
      <c r="V2431" s="1"/>
      <c r="W2431" s="1"/>
      <c r="X2431" s="1"/>
      <c r="Y2431" s="1"/>
      <c r="Z2431" s="1"/>
    </row>
    <row r="2432" ht="18.0" hidden="1" customHeight="1" outlineLevel="1">
      <c r="A2432" s="1">
        <v>7.0</v>
      </c>
      <c r="B2432" s="26" t="s">
        <v>2371</v>
      </c>
      <c r="C2432" s="26" t="s">
        <v>29</v>
      </c>
      <c r="D2432" s="26" t="s">
        <v>29</v>
      </c>
      <c r="E2432" s="29" t="s">
        <v>33</v>
      </c>
      <c r="F2432" s="34" t="s">
        <v>29</v>
      </c>
      <c r="G2432" s="30">
        <v>60.0</v>
      </c>
      <c r="H2432" s="22" t="s">
        <v>2372</v>
      </c>
      <c r="I2432" s="7"/>
      <c r="J2432" s="7" t="str">
        <f>IFERROR(LET(_xlpm.v,
VLOOKUP($I2432,'用語辞書'!$A:$B,COLUMN('用語辞書'!B$1),FALSE),
IF(_xlpm.v=0,"",_xlpm.v)
),"")</f>
        <v/>
      </c>
      <c r="K2432" s="17"/>
      <c r="L2432" s="17" t="b">
        <f>IF(OR(COUNTIF('クラス'!$A$1:$A$1267,$B2432)&gt;0,$B2432="",$M2432=""),"",True)</f>
        <v>1</v>
      </c>
      <c r="M2432" s="1" t="str">
        <f t="shared" si="30"/>
        <v>存在しない</v>
      </c>
      <c r="N2432" s="1" t="s">
        <v>29</v>
      </c>
      <c r="O2432" s="1"/>
      <c r="P2432" s="11"/>
      <c r="Q2432" s="11"/>
      <c r="R2432" s="11"/>
      <c r="S2432" s="11"/>
      <c r="T2432" s="1"/>
      <c r="U2432" s="1"/>
      <c r="V2432" s="1"/>
      <c r="W2432" s="1"/>
      <c r="X2432" s="1"/>
      <c r="Y2432" s="1"/>
      <c r="Z2432" s="1"/>
    </row>
    <row r="2433" ht="18.0" hidden="1" customHeight="1" outlineLevel="1">
      <c r="A2433" s="1">
        <v>8.0</v>
      </c>
      <c r="B2433" s="26" t="s">
        <v>29</v>
      </c>
      <c r="C2433" s="1"/>
      <c r="D2433" s="1"/>
      <c r="E2433" s="14"/>
      <c r="F2433" s="15"/>
      <c r="G2433" s="16"/>
      <c r="H2433" s="11"/>
      <c r="I2433" s="7"/>
      <c r="J2433" s="7" t="str">
        <f>IFERROR(LET(_xlpm.v,
VLOOKUP($I2433,'用語辞書'!$A:$B,COLUMN('用語辞書'!B$1),FALSE),
IF(_xlpm.v=0,"",_xlpm.v)
),"")</f>
        <v/>
      </c>
      <c r="K2433" s="17"/>
      <c r="L2433" s="17" t="str">
        <f>IF(OR(COUNTIF('クラス'!$A$1:$A$1267,$B2433)&gt;0,$B2433="",$M2433=""),"",True)</f>
        <v/>
      </c>
      <c r="M2433" s="1" t="str">
        <f t="shared" si="30"/>
        <v/>
      </c>
      <c r="N2433" s="1" t="s">
        <v>29</v>
      </c>
      <c r="O2433" s="1"/>
      <c r="P2433" s="11"/>
      <c r="Q2433" s="11"/>
      <c r="R2433" s="11"/>
      <c r="S2433" s="11"/>
      <c r="T2433" s="1"/>
      <c r="U2433" s="1"/>
      <c r="V2433" s="1"/>
      <c r="W2433" s="1"/>
      <c r="X2433" s="1"/>
      <c r="Y2433" s="1"/>
      <c r="Z2433" s="1"/>
    </row>
    <row r="2434" ht="18.0" hidden="1" customHeight="1" outlineLevel="1">
      <c r="A2434" s="1">
        <v>9.0</v>
      </c>
      <c r="B2434" s="26" t="s">
        <v>2373</v>
      </c>
      <c r="C2434" s="26" t="s">
        <v>29</v>
      </c>
      <c r="D2434" s="26" t="s">
        <v>29</v>
      </c>
      <c r="E2434" s="29" t="s">
        <v>55</v>
      </c>
      <c r="F2434" s="34" t="s">
        <v>29</v>
      </c>
      <c r="G2434" s="30" t="s">
        <v>29</v>
      </c>
      <c r="H2434" s="22" t="s">
        <v>2374</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hidden="1" customHeight="1" outlineLevel="1">
      <c r="A2435" s="1">
        <v>10.0</v>
      </c>
      <c r="B2435" s="26" t="s">
        <v>2375</v>
      </c>
      <c r="C2435" s="26" t="s">
        <v>29</v>
      </c>
      <c r="D2435" s="26" t="s">
        <v>29</v>
      </c>
      <c r="E2435" s="29" t="s">
        <v>33</v>
      </c>
      <c r="F2435" s="34" t="s">
        <v>29</v>
      </c>
      <c r="G2435" s="30">
        <v>60.0</v>
      </c>
      <c r="H2435" s="22" t="s">
        <v>2376</v>
      </c>
      <c r="I2435" s="7"/>
      <c r="J2435" s="7" t="str">
        <f>IFERROR(LET(_xlpm.v,
VLOOKUP($I2435,'用語辞書'!$A:$B,COLUMN('用語辞書'!B$1),FALSE),
IF(_xlpm.v=0,"",_xlpm.v)
),"")</f>
        <v/>
      </c>
      <c r="K2435" s="17"/>
      <c r="L2435" s="17" t="b">
        <f>IF(OR(COUNTIF('クラス'!$A$1:$A$1267,$B2435)&gt;0,$B2435="",$M2435=""),"",True)</f>
        <v>1</v>
      </c>
      <c r="M2435" s="1" t="str">
        <f t="shared" si="30"/>
        <v>存在しない</v>
      </c>
      <c r="N2435" s="1" t="s">
        <v>29</v>
      </c>
      <c r="O2435" s="1"/>
      <c r="P2435" s="11"/>
      <c r="Q2435" s="11"/>
      <c r="R2435" s="11"/>
      <c r="S2435" s="11"/>
      <c r="T2435" s="1"/>
      <c r="U2435" s="1"/>
      <c r="V2435" s="1"/>
      <c r="W2435" s="1"/>
      <c r="X2435" s="1"/>
      <c r="Y2435" s="1"/>
      <c r="Z2435" s="1"/>
    </row>
    <row r="2436" ht="18.0" customHeight="1" collapsed="1">
      <c r="A2436" s="1"/>
      <c r="B2436" s="1"/>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customHeight="1">
      <c r="A2437" s="1"/>
      <c r="B2437" s="26" t="s">
        <v>2377</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存在しない</v>
      </c>
      <c r="N2437" s="1" t="s">
        <v>29</v>
      </c>
      <c r="O2437" s="1"/>
      <c r="P2437" s="11"/>
      <c r="Q2437" s="11"/>
      <c r="R2437" s="11"/>
      <c r="S2437" s="11"/>
      <c r="T2437" s="1"/>
      <c r="U2437" s="1"/>
      <c r="V2437" s="1"/>
      <c r="W2437" s="1"/>
      <c r="X2437" s="1"/>
      <c r="Y2437" s="1"/>
      <c r="Z2437" s="1"/>
    </row>
    <row r="2438" ht="18.0" hidden="1" customHeight="1" outlineLevel="1">
      <c r="A2438" s="1">
        <v>1.0</v>
      </c>
      <c r="B2438" s="26" t="s">
        <v>2369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2.0</v>
      </c>
      <c r="B2439" s="26" t="s">
        <v>29</v>
      </c>
      <c r="C2439" s="1"/>
      <c r="D2439" s="1"/>
      <c r="E2439" s="14"/>
      <c r="F2439" s="15"/>
      <c r="G2439" s="16"/>
      <c r="H2439" s="11"/>
      <c r="I2439" s="7"/>
      <c r="J2439" s="7" t="str">
        <f>IFERROR(LET(_xlpm.v,
VLOOKUP($I2439,'用語辞書'!$A:$B,COLUMN('用語辞書'!B$1),FALSE),
IF(_xlpm.v=0,"",_xlpm.v)
),"")</f>
        <v/>
      </c>
      <c r="K2439" s="17"/>
      <c r="L2439" s="17" t="str">
        <f>IF(OR(COUNTIF('クラス'!$A$1:$A$1267,$B2439)&gt;0,$B2439="",$M2439=""),"",True)</f>
        <v/>
      </c>
      <c r="M2439" s="1" t="str">
        <f t="shared" si="30"/>
        <v/>
      </c>
      <c r="N2439" s="1" t="s">
        <v>29</v>
      </c>
      <c r="O2439" s="1"/>
      <c r="P2439" s="11"/>
      <c r="Q2439" s="11"/>
      <c r="R2439" s="11"/>
      <c r="S2439" s="11"/>
      <c r="T2439" s="1"/>
      <c r="U2439" s="1"/>
      <c r="V2439" s="1"/>
      <c r="W2439" s="1"/>
      <c r="X2439" s="1"/>
      <c r="Y2439" s="1"/>
      <c r="Z2439" s="1"/>
    </row>
    <row r="2440" ht="18.0" hidden="1" customHeight="1" outlineLevel="1">
      <c r="A2440" s="1">
        <v>3.0</v>
      </c>
      <c r="B2440" s="26" t="s">
        <v>2378</v>
      </c>
      <c r="C2440" s="26" t="s">
        <v>29</v>
      </c>
      <c r="D2440" s="26" t="s">
        <v>29</v>
      </c>
      <c r="E2440" s="29" t="s">
        <v>55</v>
      </c>
      <c r="F2440" s="34" t="s">
        <v>29</v>
      </c>
      <c r="G2440" s="30" t="s">
        <v>29</v>
      </c>
      <c r="H2440" s="22" t="s">
        <v>2379</v>
      </c>
      <c r="I2440" s="7"/>
      <c r="J2440" s="7" t="str">
        <f>IFERROR(LET(_xlpm.v,
VLOOKUP($I2440,'用語辞書'!$A:$B,COLUMN('用語辞書'!B$1),FALSE),
IF(_xlpm.v=0,"",_xlpm.v)
),"")</f>
        <v/>
      </c>
      <c r="K2440" s="17"/>
      <c r="L2440" s="17" t="b">
        <f>IF(OR(COUNTIF('クラス'!$A$1:$A$1267,$B2440)&gt;0,$B2440="",$M2440=""),"",True)</f>
        <v>1</v>
      </c>
      <c r="M2440" s="1" t="str">
        <f t="shared" si="30"/>
        <v>存在しない</v>
      </c>
      <c r="N2440" s="1" t="s">
        <v>29</v>
      </c>
      <c r="O2440" s="1"/>
      <c r="P2440" s="11"/>
      <c r="Q2440" s="11"/>
      <c r="R2440" s="11"/>
      <c r="S2440" s="11"/>
      <c r="T2440" s="1"/>
      <c r="U2440" s="1"/>
      <c r="V2440" s="1"/>
      <c r="W2440" s="1"/>
      <c r="X2440" s="1"/>
      <c r="Y2440" s="1"/>
      <c r="Z2440" s="1"/>
    </row>
    <row r="2441" ht="18.0" hidden="1" customHeight="1" outlineLevel="1">
      <c r="A2441" s="1">
        <v>4.0</v>
      </c>
      <c r="B2441" s="26" t="s">
        <v>29</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5.0</v>
      </c>
      <c r="B2442" s="26" t="s">
        <v>2362</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6.0</v>
      </c>
      <c r="B2443" s="26" t="s">
        <v>29</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7.0</v>
      </c>
      <c r="B2444" s="26" t="s">
        <v>2100</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8.0</v>
      </c>
      <c r="B2445" s="26" t="s">
        <v>29</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9.0</v>
      </c>
      <c r="B2446" s="26" t="s">
        <v>2136</v>
      </c>
      <c r="C2446" s="1"/>
      <c r="D2446" s="1"/>
      <c r="E2446" s="14"/>
      <c r="F2446" s="15"/>
      <c r="G2446" s="16"/>
      <c r="H2446" s="11"/>
      <c r="I2446" s="7"/>
      <c r="J2446" s="7" t="str">
        <f>IFERROR(LET(_xlpm.v,
VLOOKUP($I2446,'用語辞書'!$A:$B,COLUMN('用語辞書'!B$1),FALSE),
IF(_xlpm.v=0,"",_xlpm.v)
),"")</f>
        <v/>
      </c>
      <c r="K2446" s="17"/>
      <c r="L2446" s="17" t="str">
        <f>IF(OR(COUNTIF('クラス'!$A$1:$A$1267,$B2446)&gt;0,$B2446="",$M2446=""),"",True)</f>
        <v/>
      </c>
      <c r="M2446" s="1" t="str">
        <f t="shared" si="30"/>
        <v/>
      </c>
      <c r="N2446" s="1" t="s">
        <v>29</v>
      </c>
      <c r="O2446" s="1"/>
      <c r="P2446" s="11"/>
      <c r="Q2446" s="11"/>
      <c r="R2446" s="11"/>
      <c r="S2446" s="11"/>
      <c r="T2446" s="1"/>
      <c r="U2446" s="1"/>
      <c r="V2446" s="1"/>
      <c r="W2446" s="1"/>
      <c r="X2446" s="1"/>
      <c r="Y2446" s="1"/>
      <c r="Z2446" s="1"/>
    </row>
    <row r="2447" ht="18.0" hidden="1" customHeight="1" outlineLevel="1">
      <c r="A2447" s="1">
        <v>10.0</v>
      </c>
      <c r="B2447" s="26" t="s">
        <v>2380</v>
      </c>
      <c r="C2447" s="26" t="s">
        <v>29</v>
      </c>
      <c r="D2447" s="26" t="s">
        <v>29</v>
      </c>
      <c r="E2447" s="29" t="s">
        <v>33</v>
      </c>
      <c r="F2447" s="34" t="s">
        <v>29</v>
      </c>
      <c r="G2447" s="30">
        <v>60.0</v>
      </c>
      <c r="H2447" s="22" t="s">
        <v>2381</v>
      </c>
      <c r="I2447" s="7"/>
      <c r="J2447" s="7" t="str">
        <f>IFERROR(LET(_xlpm.v,
VLOOKUP($I2447,'用語辞書'!$A:$B,COLUMN('用語辞書'!B$1),FALSE),
IF(_xlpm.v=0,"",_xlpm.v)
),"")</f>
        <v/>
      </c>
      <c r="K2447" s="17"/>
      <c r="L2447" s="17" t="b">
        <f>IF(OR(COUNTIF('クラス'!$A$1:$A$1267,$B2447)&gt;0,$B2447="",$M2447=""),"",True)</f>
        <v>1</v>
      </c>
      <c r="M2447" s="1" t="str">
        <f t="shared" si="30"/>
        <v>存在しない</v>
      </c>
      <c r="N2447" s="1" t="s">
        <v>29</v>
      </c>
      <c r="O2447" s="1"/>
      <c r="P2447" s="11"/>
      <c r="Q2447" s="11"/>
      <c r="R2447" s="11"/>
      <c r="S2447" s="11"/>
      <c r="T2447" s="1"/>
      <c r="U2447" s="1"/>
      <c r="V2447" s="1"/>
      <c r="W2447" s="1"/>
      <c r="X2447" s="1"/>
      <c r="Y2447" s="1"/>
      <c r="Z2447" s="1"/>
    </row>
    <row r="2448" ht="18.0" customHeight="1" collapsed="1">
      <c r="A2448" s="1"/>
      <c r="B2448" s="1"/>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customHeight="1">
      <c r="A2449" s="1"/>
      <c r="B2449" s="26" t="s">
        <v>2382</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存在しない</v>
      </c>
      <c r="N2449" s="1" t="s">
        <v>29</v>
      </c>
      <c r="O2449" s="1"/>
      <c r="P2449" s="11"/>
      <c r="Q2449" s="11"/>
      <c r="R2449" s="11"/>
      <c r="S2449" s="11"/>
      <c r="T2449" s="1"/>
      <c r="U2449" s="1"/>
      <c r="V2449" s="1"/>
      <c r="W2449" s="1"/>
      <c r="X2449" s="1"/>
      <c r="Y2449" s="1"/>
      <c r="Z2449" s="1"/>
    </row>
    <row r="2450" ht="18.0" hidden="1" customHeight="1" outlineLevel="1">
      <c r="A2450" s="1">
        <v>1.0</v>
      </c>
      <c r="B2450" s="26" t="s">
        <v>2375</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2.0</v>
      </c>
      <c r="B2451" s="26" t="s">
        <v>29</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3.0</v>
      </c>
      <c r="B2452" s="26" t="s">
        <v>2378</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4.0</v>
      </c>
      <c r="B2453" s="26" t="s">
        <v>29</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5.0</v>
      </c>
      <c r="B2454" s="26" t="s">
        <v>2132</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6.0</v>
      </c>
      <c r="B2455" s="26" t="s">
        <v>29</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7.0</v>
      </c>
      <c r="B2456" s="26" t="s">
        <v>1854</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8.0</v>
      </c>
      <c r="B2457" s="26" t="s">
        <v>29</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9.0</v>
      </c>
      <c r="B2458" s="26" t="s">
        <v>2136</v>
      </c>
      <c r="C2458" s="1"/>
      <c r="D2458" s="1"/>
      <c r="E2458" s="14"/>
      <c r="F2458" s="15"/>
      <c r="G2458" s="16"/>
      <c r="H2458" s="11"/>
      <c r="I2458" s="7"/>
      <c r="J2458" s="7" t="str">
        <f>IFERROR(LET(_xlpm.v,
VLOOKUP($I2458,'用語辞書'!$A:$B,COLUMN('用語辞書'!B$1),FALSE),
IF(_xlpm.v=0,"",_xlpm.v)
),"")</f>
        <v/>
      </c>
      <c r="K2458" s="17"/>
      <c r="L2458" s="17" t="str">
        <f>IF(OR(COUNTIF('クラス'!$A$1:$A$1267,$B2458)&gt;0,$B2458="",$M2458=""),"",True)</f>
        <v/>
      </c>
      <c r="M2458" s="1" t="str">
        <f t="shared" si="30"/>
        <v/>
      </c>
      <c r="N2458" s="1" t="s">
        <v>29</v>
      </c>
      <c r="O2458" s="1"/>
      <c r="P2458" s="11"/>
      <c r="Q2458" s="11"/>
      <c r="R2458" s="11"/>
      <c r="S2458" s="11"/>
      <c r="T2458" s="1"/>
      <c r="U2458" s="1"/>
      <c r="V2458" s="1"/>
      <c r="W2458" s="1"/>
      <c r="X2458" s="1"/>
      <c r="Y2458" s="1"/>
      <c r="Z2458" s="1"/>
    </row>
    <row r="2459" ht="18.0" hidden="1" customHeight="1" outlineLevel="1">
      <c r="A2459" s="1">
        <v>10.0</v>
      </c>
      <c r="B2459" s="26" t="s">
        <v>2383</v>
      </c>
      <c r="C2459" s="26" t="s">
        <v>29</v>
      </c>
      <c r="D2459" s="26" t="s">
        <v>29</v>
      </c>
      <c r="E2459" s="29" t="s">
        <v>33</v>
      </c>
      <c r="F2459" s="34" t="s">
        <v>29</v>
      </c>
      <c r="G2459" s="30">
        <v>60.0</v>
      </c>
      <c r="H2459" s="22" t="s">
        <v>2384</v>
      </c>
      <c r="I2459" s="7"/>
      <c r="J2459" s="7" t="str">
        <f>IFERROR(LET(_xlpm.v,
VLOOKUP($I2459,'用語辞書'!$A:$B,COLUMN('用語辞書'!B$1),FALSE),
IF(_xlpm.v=0,"",_xlpm.v)
),"")</f>
        <v/>
      </c>
      <c r="K2459" s="17"/>
      <c r="L2459" s="17" t="b">
        <f>IF(OR(COUNTIF('クラス'!$A$1:$A$1267,$B2459)&gt;0,$B2459="",$M2459=""),"",True)</f>
        <v>1</v>
      </c>
      <c r="M2459" s="1" t="str">
        <f t="shared" si="30"/>
        <v>存在しない</v>
      </c>
      <c r="N2459" s="1" t="s">
        <v>29</v>
      </c>
      <c r="O2459" s="1"/>
      <c r="P2459" s="11"/>
      <c r="Q2459" s="11"/>
      <c r="R2459" s="11"/>
      <c r="S2459" s="11"/>
      <c r="T2459" s="1"/>
      <c r="U2459" s="1"/>
      <c r="V2459" s="1"/>
      <c r="W2459" s="1"/>
      <c r="X2459" s="1"/>
      <c r="Y2459" s="1"/>
      <c r="Z2459" s="1"/>
    </row>
    <row r="2460" ht="18.0" customHeight="1" collapsed="1">
      <c r="A2460" s="1"/>
      <c r="B2460" s="1"/>
      <c r="C2460" s="26" t="s">
        <v>2385</v>
      </c>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customHeight="1" outlineLevel="1">
      <c r="A2461" s="1"/>
      <c r="B2461" s="26" t="s">
        <v>2386</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存在しない</v>
      </c>
      <c r="N2461" s="1" t="s">
        <v>29</v>
      </c>
      <c r="O2461" s="1"/>
      <c r="P2461" s="11"/>
      <c r="Q2461" s="11"/>
      <c r="R2461" s="11"/>
      <c r="S2461" s="11"/>
      <c r="T2461" s="1"/>
      <c r="U2461" s="1"/>
      <c r="V2461" s="1"/>
      <c r="W2461" s="1"/>
      <c r="X2461" s="1"/>
      <c r="Y2461" s="1"/>
      <c r="Z2461" s="1"/>
    </row>
    <row r="2462" ht="18.0" hidden="1" customHeight="1" outlineLevel="2">
      <c r="A2462" s="1">
        <v>1.0</v>
      </c>
      <c r="B2462" s="26" t="s">
        <v>2239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2.0</v>
      </c>
      <c r="B2463" s="26" t="s">
        <v>29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3.0</v>
      </c>
      <c r="B2464" s="26" t="s">
        <v>1259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4.0</v>
      </c>
      <c r="B2465" s="26" t="s">
        <v>29</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5.0</v>
      </c>
      <c r="B2466" s="26" t="s">
        <v>2100</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6.0</v>
      </c>
      <c r="B2467" s="26" t="s">
        <v>29</v>
      </c>
      <c r="C2467" s="1"/>
      <c r="D2467" s="1"/>
      <c r="E2467" s="14"/>
      <c r="F2467" s="15"/>
      <c r="G2467" s="16"/>
      <c r="H2467" s="11"/>
      <c r="I2467" s="7"/>
      <c r="J2467" s="7" t="str">
        <f>IFERROR(LET(_xlpm.v,
VLOOKUP($I2467,'用語辞書'!$A:$B,COLUMN('用語辞書'!B$1),FALSE),
IF(_xlpm.v=0,"",_xlpm.v)
),"")</f>
        <v/>
      </c>
      <c r="K2467" s="17"/>
      <c r="L2467" s="17" t="str">
        <f>IF(OR(COUNTIF('クラス'!$A$1:$A$1267,$B2467)&gt;0,$B2467="",$M2467=""),"",True)</f>
        <v/>
      </c>
      <c r="M2467" s="1" t="str">
        <f t="shared" si="30"/>
        <v/>
      </c>
      <c r="N2467" s="1" t="s">
        <v>29</v>
      </c>
      <c r="O2467" s="1"/>
      <c r="P2467" s="11"/>
      <c r="Q2467" s="11"/>
      <c r="R2467" s="11"/>
      <c r="S2467" s="11"/>
      <c r="T2467" s="1"/>
      <c r="U2467" s="1"/>
      <c r="V2467" s="1"/>
      <c r="W2467" s="1"/>
      <c r="X2467" s="1"/>
      <c r="Y2467" s="1"/>
      <c r="Z2467" s="1"/>
    </row>
    <row r="2468" ht="18.0" hidden="1" customHeight="1" outlineLevel="2">
      <c r="A2468" s="1">
        <v>7.0</v>
      </c>
      <c r="B2468" s="26" t="s">
        <v>2387</v>
      </c>
      <c r="C2468" s="26" t="s">
        <v>29</v>
      </c>
      <c r="D2468" s="26" t="s">
        <v>29</v>
      </c>
      <c r="E2468" s="29" t="s">
        <v>33</v>
      </c>
      <c r="F2468" s="34" t="s">
        <v>29</v>
      </c>
      <c r="G2468" s="30">
        <v>40.0</v>
      </c>
      <c r="H2468" s="22" t="s">
        <v>2388</v>
      </c>
      <c r="I2468" s="7"/>
      <c r="J2468" s="7" t="str">
        <f>IFERROR(LET(_xlpm.v,
VLOOKUP($I2468,'用語辞書'!$A:$B,COLUMN('用語辞書'!B$1),FALSE),
IF(_xlpm.v=0,"",_xlpm.v)
),"")</f>
        <v/>
      </c>
      <c r="K2468" s="17"/>
      <c r="L2468" s="17" t="b">
        <f>IF(OR(COUNTIF('クラス'!$A$1:$A$1267,$B2468)&gt;0,$B2468="",$M2468=""),"",True)</f>
        <v>1</v>
      </c>
      <c r="M2468" s="1" t="str">
        <f t="shared" si="30"/>
        <v>存在しない</v>
      </c>
      <c r="N2468" s="1" t="s">
        <v>29</v>
      </c>
      <c r="O2468" s="1"/>
      <c r="P2468" s="11"/>
      <c r="Q2468" s="11"/>
      <c r="R2468" s="11"/>
      <c r="S2468" s="11"/>
      <c r="T2468" s="1"/>
      <c r="U2468" s="1"/>
      <c r="V2468" s="1"/>
      <c r="W2468" s="1"/>
      <c r="X2468" s="1"/>
      <c r="Y2468" s="1"/>
      <c r="Z2468" s="1"/>
    </row>
    <row r="2469" ht="18.0" hidden="1" customHeight="1" outlineLevel="2">
      <c r="A2469" s="1">
        <v>8.0</v>
      </c>
      <c r="B2469" s="26" t="s">
        <v>29</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9.0</v>
      </c>
      <c r="B2470" s="26" t="s">
        <v>1500</v>
      </c>
      <c r="C2470" s="1"/>
      <c r="D2470" s="1"/>
      <c r="E2470" s="14"/>
      <c r="F2470" s="15"/>
      <c r="G2470" s="16"/>
      <c r="H2470" s="11"/>
      <c r="I2470" s="7"/>
      <c r="J2470" s="7" t="str">
        <f>IFERROR(LET(_xlpm.v,
VLOOKUP($I2470,'用語辞書'!$A:$B,COLUMN('用語辞書'!B$1),FALSE),
IF(_xlpm.v=0,"",_xlpm.v)
),"")</f>
        <v/>
      </c>
      <c r="K2470" s="17"/>
      <c r="L2470" s="17" t="str">
        <f>IF(OR(COUNTIF('クラス'!$A$1:$A$1267,$B2470)&gt;0,$B2470="",$M2470=""),"",True)</f>
        <v/>
      </c>
      <c r="M2470" s="1" t="str">
        <f t="shared" si="30"/>
        <v/>
      </c>
      <c r="N2470" s="1" t="s">
        <v>29</v>
      </c>
      <c r="O2470" s="1"/>
      <c r="P2470" s="11"/>
      <c r="Q2470" s="11"/>
      <c r="R2470" s="11"/>
      <c r="S2470" s="11"/>
      <c r="T2470" s="1"/>
      <c r="U2470" s="1"/>
      <c r="V2470" s="1"/>
      <c r="W2470" s="1"/>
      <c r="X2470" s="1"/>
      <c r="Y2470" s="1"/>
      <c r="Z2470" s="1"/>
    </row>
    <row r="2471" ht="18.0" hidden="1" customHeight="1" outlineLevel="2">
      <c r="A2471" s="1">
        <v>10.0</v>
      </c>
      <c r="B2471" s="26" t="s">
        <v>2389</v>
      </c>
      <c r="C2471" s="26" t="s">
        <v>29</v>
      </c>
      <c r="D2471" s="26" t="s">
        <v>29</v>
      </c>
      <c r="E2471" s="29" t="s">
        <v>33</v>
      </c>
      <c r="F2471" s="34" t="s">
        <v>29</v>
      </c>
      <c r="G2471" s="30">
        <v>60.0</v>
      </c>
      <c r="H2471" s="22" t="s">
        <v>2390</v>
      </c>
      <c r="I2471" s="7"/>
      <c r="J2471" s="7" t="str">
        <f>IFERROR(LET(_xlpm.v,
VLOOKUP($I2471,'用語辞書'!$A:$B,COLUMN('用語辞書'!B$1),FALSE),
IF(_xlpm.v=0,"",_xlpm.v)
),"")</f>
        <v/>
      </c>
      <c r="K2471" s="17"/>
      <c r="L2471" s="17" t="b">
        <f>IF(OR(COUNTIF('クラス'!$A$1:$A$1267,$B2471)&gt;0,$B2471="",$M2471=""),"",True)</f>
        <v>1</v>
      </c>
      <c r="M2471" s="1" t="str">
        <f t="shared" si="30"/>
        <v>存在しない</v>
      </c>
      <c r="N2471" s="1" t="s">
        <v>29</v>
      </c>
      <c r="O2471" s="1"/>
      <c r="P2471" s="11"/>
      <c r="Q2471" s="11"/>
      <c r="R2471" s="11"/>
      <c r="S2471" s="11"/>
      <c r="T2471" s="1"/>
      <c r="U2471" s="1"/>
      <c r="V2471" s="1"/>
      <c r="W2471" s="1"/>
      <c r="X2471" s="1"/>
      <c r="Y2471" s="1"/>
      <c r="Z2471" s="1"/>
    </row>
    <row r="2472" ht="18.0" customHeight="1" outlineLevel="1" collapsed="1">
      <c r="A2472" s="1"/>
      <c r="B2472" s="1"/>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customHeight="1" outlineLevel="1">
      <c r="A2473" s="1"/>
      <c r="B2473" s="26" t="s">
        <v>2391</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存在しない</v>
      </c>
      <c r="N2473" s="1" t="s">
        <v>29</v>
      </c>
      <c r="O2473" s="1"/>
      <c r="P2473" s="11"/>
      <c r="Q2473" s="11"/>
      <c r="R2473" s="11"/>
      <c r="S2473" s="11"/>
      <c r="T2473" s="1"/>
      <c r="U2473" s="1"/>
      <c r="V2473" s="1"/>
      <c r="W2473" s="1"/>
      <c r="X2473" s="1"/>
      <c r="Y2473" s="1"/>
      <c r="Z2473" s="1"/>
    </row>
    <row r="2474" ht="18.0" hidden="1" customHeight="1" outlineLevel="2">
      <c r="A2474" s="1">
        <v>1.0</v>
      </c>
      <c r="B2474" s="26" t="s">
        <v>2239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2.0</v>
      </c>
      <c r="B2475" s="26" t="s">
        <v>29</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3.0</v>
      </c>
      <c r="B2476" s="26" t="s">
        <v>2387</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4.0</v>
      </c>
      <c r="B2477" s="26" t="s">
        <v>29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5.0</v>
      </c>
      <c r="B2478" s="26" t="s">
        <v>1399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6.0</v>
      </c>
      <c r="B2479" s="26" t="s">
        <v>29</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7.0</v>
      </c>
      <c r="B2480" s="26" t="s">
        <v>1854</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8.0</v>
      </c>
      <c r="B2481" s="26" t="s">
        <v>29</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9.0</v>
      </c>
      <c r="B2482" s="26" t="s">
        <v>1263</v>
      </c>
      <c r="C2482" s="1"/>
      <c r="D2482" s="1"/>
      <c r="E2482" s="14"/>
      <c r="F2482" s="15"/>
      <c r="G2482" s="16"/>
      <c r="H2482" s="11"/>
      <c r="I2482" s="7"/>
      <c r="J2482" s="7" t="str">
        <f>IFERROR(LET(_xlpm.v,
VLOOKUP($I2482,'用語辞書'!$A:$B,COLUMN('用語辞書'!B$1),FALSE),
IF(_xlpm.v=0,"",_xlpm.v)
),"")</f>
        <v/>
      </c>
      <c r="K2482" s="17"/>
      <c r="L2482" s="17" t="str">
        <f>IF(OR(COUNTIF('クラス'!$A$1:$A$1267,$B2482)&gt;0,$B2482="",$M2482=""),"",True)</f>
        <v/>
      </c>
      <c r="M2482" s="1" t="str">
        <f t="shared" si="30"/>
        <v/>
      </c>
      <c r="N2482" s="1" t="s">
        <v>29</v>
      </c>
      <c r="O2482" s="1"/>
      <c r="P2482" s="11"/>
      <c r="Q2482" s="11"/>
      <c r="R2482" s="11"/>
      <c r="S2482" s="11"/>
      <c r="T2482" s="1"/>
      <c r="U2482" s="1"/>
      <c r="V2482" s="1"/>
      <c r="W2482" s="1"/>
      <c r="X2482" s="1"/>
      <c r="Y2482" s="1"/>
      <c r="Z2482" s="1"/>
    </row>
    <row r="2483" ht="18.0" hidden="1" customHeight="1" outlineLevel="2">
      <c r="A2483" s="1">
        <v>10.0</v>
      </c>
      <c r="B2483" s="26" t="s">
        <v>2392</v>
      </c>
      <c r="C2483" s="26" t="s">
        <v>29</v>
      </c>
      <c r="D2483" s="26" t="s">
        <v>29</v>
      </c>
      <c r="E2483" s="29" t="s">
        <v>33</v>
      </c>
      <c r="F2483" s="34" t="s">
        <v>29</v>
      </c>
      <c r="G2483" s="30">
        <v>60.0</v>
      </c>
      <c r="H2483" s="22" t="s">
        <v>2393</v>
      </c>
      <c r="I2483" s="7"/>
      <c r="J2483" s="7" t="str">
        <f>IFERROR(LET(_xlpm.v,
VLOOKUP($I2483,'用語辞書'!$A:$B,COLUMN('用語辞書'!B$1),FALSE),
IF(_xlpm.v=0,"",_xlpm.v)
),"")</f>
        <v/>
      </c>
      <c r="K2483" s="17"/>
      <c r="L2483" s="17" t="b">
        <f>IF(OR(COUNTIF('クラス'!$A$1:$A$1267,$B2483)&gt;0,$B2483="",$M2483=""),"",True)</f>
        <v>1</v>
      </c>
      <c r="M2483" s="1" t="str">
        <f t="shared" si="30"/>
        <v>存在しない</v>
      </c>
      <c r="N2483" s="1" t="s">
        <v>29</v>
      </c>
      <c r="O2483" s="1"/>
      <c r="P2483" s="11"/>
      <c r="Q2483" s="11"/>
      <c r="R2483" s="11"/>
      <c r="S2483" s="11"/>
      <c r="T2483" s="1"/>
      <c r="U2483" s="1"/>
      <c r="V2483" s="1"/>
      <c r="W2483" s="1"/>
      <c r="X2483" s="1"/>
      <c r="Y2483" s="1"/>
      <c r="Z2483" s="1"/>
    </row>
    <row r="2484" ht="18.0" customHeight="1" collapsed="1">
      <c r="A2484" s="1"/>
      <c r="B2484" s="1"/>
      <c r="C2484" s="26" t="s">
        <v>2394</v>
      </c>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customHeight="1" outlineLevel="1">
      <c r="A2485" s="1"/>
      <c r="B2485" s="26" t="s">
        <v>2395</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存在しない</v>
      </c>
      <c r="N2485" s="1" t="s">
        <v>29</v>
      </c>
      <c r="O2485" s="1"/>
      <c r="P2485" s="11"/>
      <c r="Q2485" s="11"/>
      <c r="R2485" s="11"/>
      <c r="S2485" s="11"/>
      <c r="T2485" s="1"/>
      <c r="U2485" s="1"/>
      <c r="V2485" s="1"/>
      <c r="W2485" s="1"/>
      <c r="X2485" s="1"/>
      <c r="Y2485" s="1"/>
      <c r="Z2485" s="1"/>
    </row>
    <row r="2486" ht="18.0" hidden="1" customHeight="1" outlineLevel="2">
      <c r="A2486" s="1">
        <v>1.0</v>
      </c>
      <c r="B2486" s="26" t="s">
        <v>2396</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2.0</v>
      </c>
      <c r="B2487" s="26" t="s">
        <v>29</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3.0</v>
      </c>
      <c r="B2488" s="26" t="s">
        <v>282</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4.0</v>
      </c>
      <c r="B2489" s="26" t="s">
        <v>29</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5.0</v>
      </c>
      <c r="B2490" s="26" t="s">
        <v>2198</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6.0</v>
      </c>
      <c r="B2491" s="26" t="s">
        <v>29</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7.0</v>
      </c>
      <c r="B2492" s="26" t="s">
        <v>297</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8.0</v>
      </c>
      <c r="B2493" s="26" t="s">
        <v>29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9.0</v>
      </c>
      <c r="B2494" s="26" t="s">
        <v>2199</v>
      </c>
      <c r="C2494" s="1"/>
      <c r="D2494" s="1"/>
      <c r="E2494" s="14"/>
      <c r="F2494" s="15"/>
      <c r="G2494" s="16"/>
      <c r="H2494" s="11"/>
      <c r="I2494" s="7"/>
      <c r="J2494" s="7" t="str">
        <f>IFERROR(LET(_xlpm.v,
VLOOKUP($I2494,'用語辞書'!$A:$B,COLUMN('用語辞書'!B$1),FALSE),
IF(_xlpm.v=0,"",_xlpm.v)
),"")</f>
        <v/>
      </c>
      <c r="K2494" s="17"/>
      <c r="L2494" s="17" t="str">
        <f>IF(OR(COUNTIF('クラス'!$A$1:$A$1267,$B2494)&gt;0,$B2494="",$M2494=""),"",True)</f>
        <v/>
      </c>
      <c r="M2494" s="1" t="str">
        <f t="shared" si="30"/>
        <v/>
      </c>
      <c r="N2494" s="1" t="s">
        <v>29</v>
      </c>
      <c r="O2494" s="1"/>
      <c r="P2494" s="11"/>
      <c r="Q2494" s="11"/>
      <c r="R2494" s="11"/>
      <c r="S2494" s="11"/>
      <c r="T2494" s="1"/>
      <c r="U2494" s="1"/>
      <c r="V2494" s="1"/>
      <c r="W2494" s="1"/>
      <c r="X2494" s="1"/>
      <c r="Y2494" s="1"/>
      <c r="Z2494" s="1"/>
    </row>
    <row r="2495" ht="18.0" hidden="1" customHeight="1" outlineLevel="2">
      <c r="A2495" s="1">
        <v>10.0</v>
      </c>
      <c r="B2495" s="26" t="s">
        <v>2397</v>
      </c>
      <c r="C2495" s="26" t="s">
        <v>29</v>
      </c>
      <c r="D2495" s="26" t="s">
        <v>284</v>
      </c>
      <c r="E2495" s="29" t="s">
        <v>33</v>
      </c>
      <c r="F2495" s="34" t="s">
        <v>29</v>
      </c>
      <c r="G2495" s="30">
        <v>60.0</v>
      </c>
      <c r="H2495" s="22" t="s">
        <v>2398</v>
      </c>
      <c r="I2495" s="7"/>
      <c r="J2495" s="7" t="str">
        <f>IFERROR(LET(_xlpm.v,
VLOOKUP($I2495,'用語辞書'!$A:$B,COLUMN('用語辞書'!B$1),FALSE),
IF(_xlpm.v=0,"",_xlpm.v)
),"")</f>
        <v/>
      </c>
      <c r="K2495" s="17"/>
      <c r="L2495" s="17" t="b">
        <f>IF(OR(COUNTIF('クラス'!$A$1:$A$1267,$B2495)&gt;0,$B2495="",$M2495=""),"",True)</f>
        <v>1</v>
      </c>
      <c r="M2495" s="1" t="str">
        <f t="shared" si="30"/>
        <v>存在しない</v>
      </c>
      <c r="N2495" s="1" t="s">
        <v>29</v>
      </c>
      <c r="O2495" s="1"/>
      <c r="P2495" s="11"/>
      <c r="Q2495" s="11"/>
      <c r="R2495" s="11"/>
      <c r="S2495" s="11"/>
      <c r="T2495" s="1"/>
      <c r="U2495" s="1"/>
      <c r="V2495" s="1"/>
      <c r="W2495" s="1"/>
      <c r="X2495" s="1"/>
      <c r="Y2495" s="1"/>
      <c r="Z2495" s="1"/>
    </row>
    <row r="2496" ht="18.0" customHeight="1" outlineLevel="1" collapsed="1">
      <c r="A2496" s="1"/>
      <c r="B2496" s="1"/>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customHeight="1" outlineLevel="1">
      <c r="A2497" s="1"/>
      <c r="B2497" s="26" t="s">
        <v>2399</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存在しない</v>
      </c>
      <c r="N2497" s="1" t="s">
        <v>29</v>
      </c>
      <c r="O2497" s="1"/>
      <c r="P2497" s="11"/>
      <c r="Q2497" s="11"/>
      <c r="R2497" s="11"/>
      <c r="S2497" s="11"/>
      <c r="T2497" s="1"/>
      <c r="U2497" s="1"/>
      <c r="V2497" s="1"/>
      <c r="W2497" s="1"/>
      <c r="X2497" s="1"/>
      <c r="Y2497" s="1"/>
      <c r="Z2497" s="1"/>
    </row>
    <row r="2498" ht="18.0" hidden="1" customHeight="1" outlineLevel="2">
      <c r="A2498" s="1">
        <v>1.0</v>
      </c>
      <c r="B2498" s="26" t="s">
        <v>2400</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2.0</v>
      </c>
      <c r="B2499" s="26" t="s">
        <v>29</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3.0</v>
      </c>
      <c r="B2500" s="26" t="s">
        <v>372</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4.0</v>
      </c>
      <c r="B2501" s="26" t="s">
        <v>29</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5.0</v>
      </c>
      <c r="B2502" s="26" t="s">
        <v>2205</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6.0</v>
      </c>
      <c r="B2503" s="26" t="s">
        <v>29</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7.0</v>
      </c>
      <c r="B2504" s="26" t="s">
        <v>388</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8.0</v>
      </c>
      <c r="B2505" s="26" t="s">
        <v>29</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9.0</v>
      </c>
      <c r="B2506" s="26" t="s">
        <v>2206</v>
      </c>
      <c r="C2506" s="1"/>
      <c r="D2506" s="1"/>
      <c r="E2506" s="14"/>
      <c r="F2506" s="15"/>
      <c r="G2506" s="16"/>
      <c r="H2506" s="11"/>
      <c r="I2506" s="7"/>
      <c r="J2506" s="7" t="str">
        <f>IFERROR(LET(_xlpm.v,
VLOOKUP($I2506,'用語辞書'!$A:$B,COLUMN('用語辞書'!B$1),FALSE),
IF(_xlpm.v=0,"",_xlpm.v)
),"")</f>
        <v/>
      </c>
      <c r="K2506" s="17"/>
      <c r="L2506" s="17" t="str">
        <f>IF(OR(COUNTIF('クラス'!$A$1:$A$1267,$B2506)&gt;0,$B2506="",$M2506=""),"",True)</f>
        <v/>
      </c>
      <c r="M2506" s="1" t="str">
        <f t="shared" si="30"/>
        <v/>
      </c>
      <c r="N2506" s="1" t="s">
        <v>29</v>
      </c>
      <c r="O2506" s="1"/>
      <c r="P2506" s="11"/>
      <c r="Q2506" s="11"/>
      <c r="R2506" s="11"/>
      <c r="S2506" s="11"/>
      <c r="T2506" s="1"/>
      <c r="U2506" s="1"/>
      <c r="V2506" s="1"/>
      <c r="W2506" s="1"/>
      <c r="X2506" s="1"/>
      <c r="Y2506" s="1"/>
      <c r="Z2506" s="1"/>
    </row>
    <row r="2507" ht="18.0" hidden="1" customHeight="1" outlineLevel="2">
      <c r="A2507" s="1">
        <v>10.0</v>
      </c>
      <c r="B2507" s="26" t="s">
        <v>2401</v>
      </c>
      <c r="C2507" s="26" t="s">
        <v>29</v>
      </c>
      <c r="D2507" s="26" t="s">
        <v>370</v>
      </c>
      <c r="E2507" s="29" t="s">
        <v>33</v>
      </c>
      <c r="F2507" s="34" t="s">
        <v>29</v>
      </c>
      <c r="G2507" s="30">
        <v>60.0</v>
      </c>
      <c r="H2507" s="22" t="s">
        <v>2402</v>
      </c>
      <c r="I2507" s="7"/>
      <c r="J2507" s="7" t="str">
        <f>IFERROR(LET(_xlpm.v,
VLOOKUP($I2507,'用語辞書'!$A:$B,COLUMN('用語辞書'!B$1),FALSE),
IF(_xlpm.v=0,"",_xlpm.v)
),"")</f>
        <v/>
      </c>
      <c r="K2507" s="17"/>
      <c r="L2507" s="17" t="b">
        <f>IF(OR(COUNTIF('クラス'!$A$1:$A$1267,$B2507)&gt;0,$B2507="",$M2507=""),"",True)</f>
        <v>1</v>
      </c>
      <c r="M2507" s="1" t="str">
        <f t="shared" si="30"/>
        <v>存在しない</v>
      </c>
      <c r="N2507" s="1" t="s">
        <v>29</v>
      </c>
      <c r="O2507" s="1"/>
      <c r="P2507" s="11"/>
      <c r="Q2507" s="11"/>
      <c r="R2507" s="11"/>
      <c r="S2507" s="11"/>
      <c r="T2507" s="1"/>
      <c r="U2507" s="1"/>
      <c r="V2507" s="1"/>
      <c r="W2507" s="1"/>
      <c r="X2507" s="1"/>
      <c r="Y2507" s="1"/>
      <c r="Z2507" s="1"/>
    </row>
    <row r="2508" ht="18.0" customHeight="1" outlineLevel="1" collapsed="1">
      <c r="A2508" s="1"/>
      <c r="B2508" s="1"/>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customHeight="1" outlineLevel="1">
      <c r="A2509" s="1"/>
      <c r="B2509" s="26" t="s">
        <v>2403</v>
      </c>
      <c r="C2509" s="1"/>
      <c r="D2509" s="1"/>
      <c r="E2509" s="14"/>
      <c r="F2509" s="15"/>
      <c r="G2509" s="16"/>
      <c r="H2509" s="11"/>
      <c r="I2509" s="7"/>
      <c r="J2509" s="7" t="str">
        <f>IFERROR(LET(_xlpm.v,
VLOOKUP($I2509,'用語辞書'!$A:$B,COLUMN('用語辞書'!B$1),FALSE),
IF(_xlpm.v=0,"",_xlpm.v)
),"")</f>
        <v/>
      </c>
      <c r="K2509" s="17"/>
      <c r="L2509" s="17" t="str">
        <f>IF(OR(COUNTIF('クラス'!$A$1:$A$1267,$B2509)&gt;0,$B2509="",$M2509=""),"",True)</f>
        <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1.0</v>
      </c>
      <c r="B2510" s="26" t="s">
        <v>2404</v>
      </c>
      <c r="C2510" s="26" t="s">
        <v>29</v>
      </c>
      <c r="D2510" s="26" t="s">
        <v>518</v>
      </c>
      <c r="E2510" s="29" t="s">
        <v>33</v>
      </c>
      <c r="F2510" s="34" t="s">
        <v>29</v>
      </c>
      <c r="G2510" s="30">
        <v>60.0</v>
      </c>
      <c r="H2510" s="22" t="s">
        <v>2405</v>
      </c>
      <c r="I2510" s="7"/>
      <c r="J2510" s="7" t="str">
        <f>IFERROR(LET(_xlpm.v,
VLOOKUP($I2510,'用語辞書'!$A:$B,COLUMN('用語辞書'!B$1),FALSE),
IF(_xlpm.v=0,"",_xlpm.v)
),"")</f>
        <v/>
      </c>
      <c r="K2510" s="17"/>
      <c r="L2510" s="17" t="b">
        <f>IF(OR(COUNTIF('クラス'!$A$1:$A$1267,$B2510)&gt;0,$B2510="",$M2510=""),"",True)</f>
        <v>1</v>
      </c>
      <c r="M2510" s="1" t="str">
        <f t="shared" si="30"/>
        <v>存在しない</v>
      </c>
      <c r="N2510" s="1" t="s">
        <v>29</v>
      </c>
      <c r="O2510" s="1"/>
      <c r="P2510" s="11"/>
      <c r="Q2510" s="11"/>
      <c r="R2510" s="11"/>
      <c r="S2510" s="11"/>
      <c r="T2510" s="1"/>
      <c r="U2510" s="1"/>
      <c r="V2510" s="1"/>
      <c r="W2510" s="1"/>
      <c r="X2510" s="1"/>
      <c r="Y2510" s="1"/>
      <c r="Z2510" s="1"/>
    </row>
    <row r="2511" ht="18.0" hidden="1" customHeight="1" outlineLevel="2">
      <c r="A2511" s="1">
        <v>2.0</v>
      </c>
      <c r="B2511" s="26" t="s">
        <v>29</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3.0</v>
      </c>
      <c r="B2512" s="26" t="s">
        <v>516</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4.0</v>
      </c>
      <c r="B2513" s="26" t="s">
        <v>29</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5.0</v>
      </c>
      <c r="B2514" s="26" t="s">
        <v>2212</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6.0</v>
      </c>
      <c r="B2515" s="26" t="s">
        <v>29</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7.0</v>
      </c>
      <c r="B2516" s="26" t="s">
        <v>526</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8.0</v>
      </c>
      <c r="B2517" s="26" t="s">
        <v>29</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9.0</v>
      </c>
      <c r="B2518" s="26" t="s">
        <v>2213</v>
      </c>
      <c r="C2518" s="1"/>
      <c r="D2518" s="1"/>
      <c r="E2518" s="14"/>
      <c r="F2518" s="15"/>
      <c r="G2518" s="16"/>
      <c r="H2518" s="11"/>
      <c r="I2518" s="7"/>
      <c r="J2518" s="7" t="str">
        <f>IFERROR(LET(_xlpm.v,
VLOOKUP($I2518,'用語辞書'!$A:$B,COLUMN('用語辞書'!B$1),FALSE),
IF(_xlpm.v=0,"",_xlpm.v)
),"")</f>
        <v/>
      </c>
      <c r="K2518" s="17"/>
      <c r="L2518" s="17" t="str">
        <f>IF(OR(COUNTIF('クラス'!$A$1:$A$1267,$B2518)&gt;0,$B2518="",$M2518=""),"",True)</f>
        <v/>
      </c>
      <c r="M2518" s="1" t="str">
        <f t="shared" si="30"/>
        <v/>
      </c>
      <c r="N2518" s="1" t="s">
        <v>29</v>
      </c>
      <c r="O2518" s="1"/>
      <c r="P2518" s="11"/>
      <c r="Q2518" s="11"/>
      <c r="R2518" s="11"/>
      <c r="S2518" s="11"/>
      <c r="T2518" s="1"/>
      <c r="U2518" s="1"/>
      <c r="V2518" s="1"/>
      <c r="W2518" s="1"/>
      <c r="X2518" s="1"/>
      <c r="Y2518" s="1"/>
      <c r="Z2518" s="1"/>
    </row>
    <row r="2519" ht="18.0" hidden="1" customHeight="1" outlineLevel="2">
      <c r="A2519" s="1">
        <v>10.0</v>
      </c>
      <c r="B2519" s="26" t="s">
        <v>2406</v>
      </c>
      <c r="C2519" s="26" t="s">
        <v>29</v>
      </c>
      <c r="D2519" s="26" t="s">
        <v>518</v>
      </c>
      <c r="E2519" s="29" t="s">
        <v>33</v>
      </c>
      <c r="F2519" s="34" t="s">
        <v>29</v>
      </c>
      <c r="G2519" s="30">
        <v>60.0</v>
      </c>
      <c r="H2519" s="22" t="s">
        <v>2407</v>
      </c>
      <c r="I2519" s="7"/>
      <c r="J2519" s="7" t="str">
        <f>IFERROR(LET(_xlpm.v,
VLOOKUP($I2519,'用語辞書'!$A:$B,COLUMN('用語辞書'!B$1),FALSE),
IF(_xlpm.v=0,"",_xlpm.v)
),"")</f>
        <v/>
      </c>
      <c r="K2519" s="17"/>
      <c r="L2519" s="17" t="b">
        <f>IF(OR(COUNTIF('クラス'!$A$1:$A$1267,$B2519)&gt;0,$B2519="",$M2519=""),"",True)</f>
        <v>1</v>
      </c>
      <c r="M2519" s="1" t="str">
        <f t="shared" si="30"/>
        <v>存在しない</v>
      </c>
      <c r="N2519" s="1" t="s">
        <v>29</v>
      </c>
      <c r="O2519" s="1"/>
      <c r="P2519" s="11"/>
      <c r="Q2519" s="11"/>
      <c r="R2519" s="11"/>
      <c r="S2519" s="11"/>
      <c r="T2519" s="1"/>
      <c r="U2519" s="1"/>
      <c r="V2519" s="1"/>
      <c r="W2519" s="1"/>
      <c r="X2519" s="1"/>
      <c r="Y2519" s="1"/>
      <c r="Z2519" s="1"/>
    </row>
    <row r="2520" ht="18.0" customHeight="1" outlineLevel="1" collapsed="1">
      <c r="A2520" s="1"/>
      <c r="B2520" s="1"/>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customHeight="1" outlineLevel="1">
      <c r="A2521" s="1"/>
      <c r="B2521" s="26" t="s">
        <v>2408</v>
      </c>
      <c r="C2521" s="1"/>
      <c r="D2521" s="1"/>
      <c r="E2521" s="14"/>
      <c r="F2521" s="15"/>
      <c r="G2521" s="16"/>
      <c r="H2521" s="11"/>
      <c r="I2521" s="7"/>
      <c r="J2521" s="7" t="str">
        <f>IFERROR(LET(_xlpm.v,
VLOOKUP($I2521,'用語辞書'!$A:$B,COLUMN('用語辞書'!B$1),FALSE),
IF(_xlpm.v=0,"",_xlpm.v)
),"")</f>
        <v/>
      </c>
      <c r="K2521" s="17"/>
      <c r="L2521" s="17" t="str">
        <f>IF(OR(COUNTIF('クラス'!$A$1:$A$1267,$B2521)&gt;0,$B2521="",$M2521=""),"",True)</f>
        <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1.0</v>
      </c>
      <c r="B2522" s="26" t="s">
        <v>2409</v>
      </c>
      <c r="C2522" s="26" t="s">
        <v>29</v>
      </c>
      <c r="D2522" s="26" t="s">
        <v>644</v>
      </c>
      <c r="E2522" s="29" t="s">
        <v>33</v>
      </c>
      <c r="F2522" s="34" t="s">
        <v>29</v>
      </c>
      <c r="G2522" s="30">
        <v>60.0</v>
      </c>
      <c r="H2522" s="22" t="s">
        <v>2410</v>
      </c>
      <c r="I2522" s="7"/>
      <c r="J2522" s="7" t="str">
        <f>IFERROR(LET(_xlpm.v,
VLOOKUP($I2522,'用語辞書'!$A:$B,COLUMN('用語辞書'!B$1),FALSE),
IF(_xlpm.v=0,"",_xlpm.v)
),"")</f>
        <v/>
      </c>
      <c r="K2522" s="17"/>
      <c r="L2522" s="17" t="b">
        <f>IF(OR(COUNTIF('クラス'!$A$1:$A$1267,$B2522)&gt;0,$B2522="",$M2522=""),"",True)</f>
        <v>1</v>
      </c>
      <c r="M2522" s="1" t="str">
        <f t="shared" si="30"/>
        <v>存在しない</v>
      </c>
      <c r="N2522" s="1" t="s">
        <v>29</v>
      </c>
      <c r="O2522" s="1"/>
      <c r="P2522" s="11"/>
      <c r="Q2522" s="11"/>
      <c r="R2522" s="11"/>
      <c r="S2522" s="11"/>
      <c r="T2522" s="1"/>
      <c r="U2522" s="1"/>
      <c r="V2522" s="1"/>
      <c r="W2522" s="1"/>
      <c r="X2522" s="1"/>
      <c r="Y2522" s="1"/>
      <c r="Z2522" s="1"/>
    </row>
    <row r="2523" ht="18.0" hidden="1" customHeight="1" outlineLevel="2">
      <c r="A2523" s="1">
        <v>2.0</v>
      </c>
      <c r="B2523" s="26" t="s">
        <v>29</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3.0</v>
      </c>
      <c r="B2524" s="26" t="s">
        <v>646</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4.0</v>
      </c>
      <c r="B2525" s="26" t="s">
        <v>29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5.0</v>
      </c>
      <c r="B2526" s="26" t="s">
        <v>2219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6.0</v>
      </c>
      <c r="B2527" s="26" t="s">
        <v>29</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7.0</v>
      </c>
      <c r="B2528" s="26" t="s">
        <v>652</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8.0</v>
      </c>
      <c r="B2529" s="26" t="s">
        <v>29</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9.0</v>
      </c>
      <c r="B2530" s="26" t="s">
        <v>2220</v>
      </c>
      <c r="C2530" s="1"/>
      <c r="D2530" s="1"/>
      <c r="E2530" s="14"/>
      <c r="F2530" s="15"/>
      <c r="G2530" s="16"/>
      <c r="H2530" s="11"/>
      <c r="I2530" s="7"/>
      <c r="J2530" s="7" t="str">
        <f>IFERROR(LET(_xlpm.v,
VLOOKUP($I2530,'用語辞書'!$A:$B,COLUMN('用語辞書'!B$1),FALSE),
IF(_xlpm.v=0,"",_xlpm.v)
),"")</f>
        <v/>
      </c>
      <c r="K2530" s="17"/>
      <c r="L2530" s="17" t="str">
        <f>IF(OR(COUNTIF('クラス'!$A$1:$A$1267,$B2530)&gt;0,$B2530="",$M2530=""),"",True)</f>
        <v/>
      </c>
      <c r="M2530" s="1" t="str">
        <f t="shared" si="30"/>
        <v/>
      </c>
      <c r="N2530" s="1" t="s">
        <v>29</v>
      </c>
      <c r="O2530" s="1"/>
      <c r="P2530" s="11"/>
      <c r="Q2530" s="11"/>
      <c r="R2530" s="11"/>
      <c r="S2530" s="11"/>
      <c r="T2530" s="1"/>
      <c r="U2530" s="1"/>
      <c r="V2530" s="1"/>
      <c r="W2530" s="1"/>
      <c r="X2530" s="1"/>
      <c r="Y2530" s="1"/>
      <c r="Z2530" s="1"/>
    </row>
    <row r="2531" ht="18.0" hidden="1" customHeight="1" outlineLevel="2">
      <c r="A2531" s="1">
        <v>10.0</v>
      </c>
      <c r="B2531" s="26" t="s">
        <v>2411</v>
      </c>
      <c r="C2531" s="26" t="s">
        <v>29</v>
      </c>
      <c r="D2531" s="26" t="s">
        <v>644</v>
      </c>
      <c r="E2531" s="29" t="s">
        <v>33</v>
      </c>
      <c r="F2531" s="34" t="s">
        <v>29</v>
      </c>
      <c r="G2531" s="30">
        <v>60.0</v>
      </c>
      <c r="H2531" s="31" t="s">
        <v>2412</v>
      </c>
      <c r="I2531" s="7"/>
      <c r="J2531" s="7" t="str">
        <f>IFERROR(LET(_xlpm.v,
VLOOKUP($I2531,'用語辞書'!$A:$B,COLUMN('用語辞書'!B$1),FALSE),
IF(_xlpm.v=0,"",_xlpm.v)
),"")</f>
        <v/>
      </c>
      <c r="K2531" s="17"/>
      <c r="L2531" s="17" t="b">
        <f>IF(OR(COUNTIF('クラス'!$A$1:$A$1267,$B2531)&gt;0,$B2531="",$M2531=""),"",True)</f>
        <v>1</v>
      </c>
      <c r="M2531" s="1" t="str">
        <f t="shared" si="30"/>
        <v>存在しない</v>
      </c>
      <c r="N2531" s="1" t="s">
        <v>29</v>
      </c>
      <c r="O2531" s="1"/>
      <c r="P2531" s="11"/>
      <c r="Q2531" s="11"/>
      <c r="R2531" s="11"/>
      <c r="S2531" s="11"/>
      <c r="T2531" s="1"/>
      <c r="U2531" s="1"/>
      <c r="V2531" s="1"/>
      <c r="W2531" s="1"/>
      <c r="X2531" s="1"/>
      <c r="Y2531" s="1"/>
      <c r="Z2531" s="1"/>
    </row>
    <row r="2532" ht="18.0" customHeight="1" outlineLevel="1" collapsed="1">
      <c r="A2532" s="1"/>
      <c r="B2532" s="1"/>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customHeight="1" outlineLevel="1">
      <c r="A2533" s="1"/>
      <c r="B2533" s="26" t="s">
        <v>2413</v>
      </c>
      <c r="C2533" s="1"/>
      <c r="D2533" s="1"/>
      <c r="E2533" s="14"/>
      <c r="F2533" s="15"/>
      <c r="G2533" s="16"/>
      <c r="H2533" s="11"/>
      <c r="I2533" s="7"/>
      <c r="J2533" s="7" t="str">
        <f>IFERROR(LET(_xlpm.v,
VLOOKUP($I2533,'用語辞書'!$A:$B,COLUMN('用語辞書'!B$1),FALSE),
IF(_xlpm.v=0,"",_xlpm.v)
),"")</f>
        <v/>
      </c>
      <c r="K2533" s="17"/>
      <c r="L2533" s="17" t="str">
        <f>IF(OR(COUNTIF('クラス'!$A$1:$A$1267,$B2533)&gt;0,$B2533="",$M2533=""),"",True)</f>
        <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1.0</v>
      </c>
      <c r="B2534" s="26" t="s">
        <v>2414</v>
      </c>
      <c r="C2534" s="26" t="s">
        <v>29</v>
      </c>
      <c r="D2534" s="26" t="s">
        <v>908</v>
      </c>
      <c r="E2534" s="29" t="s">
        <v>33</v>
      </c>
      <c r="F2534" s="34" t="s">
        <v>29</v>
      </c>
      <c r="G2534" s="30">
        <v>60.0</v>
      </c>
      <c r="H2534" s="22" t="s">
        <v>2415</v>
      </c>
      <c r="I2534" s="7"/>
      <c r="J2534" s="7" t="str">
        <f>IFERROR(LET(_xlpm.v,
VLOOKUP($I2534,'用語辞書'!$A:$B,COLUMN('用語辞書'!B$1),FALSE),
IF(_xlpm.v=0,"",_xlpm.v)
),"")</f>
        <v/>
      </c>
      <c r="K2534" s="17"/>
      <c r="L2534" s="17" t="b">
        <f>IF(OR(COUNTIF('クラス'!$A$1:$A$1267,$B2534)&gt;0,$B2534="",$M2534=""),"",True)</f>
        <v>1</v>
      </c>
      <c r="M2534" s="1" t="str">
        <f t="shared" si="30"/>
        <v>存在しない</v>
      </c>
      <c r="N2534" s="1" t="s">
        <v>29</v>
      </c>
      <c r="O2534" s="1"/>
      <c r="P2534" s="11"/>
      <c r="Q2534" s="11"/>
      <c r="R2534" s="11"/>
      <c r="S2534" s="11"/>
      <c r="T2534" s="1"/>
      <c r="U2534" s="1"/>
      <c r="V2534" s="1"/>
      <c r="W2534" s="1"/>
      <c r="X2534" s="1"/>
      <c r="Y2534" s="1"/>
      <c r="Z2534" s="1"/>
    </row>
    <row r="2535" ht="18.0" hidden="1" customHeight="1" outlineLevel="2">
      <c r="A2535" s="1">
        <v>2.0</v>
      </c>
      <c r="B2535" s="26" t="s">
        <v>29</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3.0</v>
      </c>
      <c r="B2536" s="26" t="s">
        <v>898</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4.0</v>
      </c>
      <c r="B2537" s="26" t="s">
        <v>29</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5.0</v>
      </c>
      <c r="B2538" s="26" t="s">
        <v>1768</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6.0</v>
      </c>
      <c r="B2539" s="26" t="s">
        <v>29</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7.0</v>
      </c>
      <c r="B2540" s="26" t="s">
        <v>902</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8.0</v>
      </c>
      <c r="B2541" s="26" t="s">
        <v>29</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9.0</v>
      </c>
      <c r="B2542" s="26" t="s">
        <v>1772</v>
      </c>
      <c r="C2542" s="1"/>
      <c r="D2542" s="1"/>
      <c r="E2542" s="14"/>
      <c r="F2542" s="15"/>
      <c r="G2542" s="16"/>
      <c r="H2542" s="11"/>
      <c r="I2542" s="7"/>
      <c r="J2542" s="7" t="str">
        <f>IFERROR(LET(_xlpm.v,
VLOOKUP($I2542,'用語辞書'!$A:$B,COLUMN('用語辞書'!B$1),FALSE),
IF(_xlpm.v=0,"",_xlpm.v)
),"")</f>
        <v/>
      </c>
      <c r="K2542" s="17"/>
      <c r="L2542" s="17" t="str">
        <f>IF(OR(COUNTIF('クラス'!$A$1:$A$1267,$B2542)&gt;0,$B2542="",$M2542=""),"",True)</f>
        <v/>
      </c>
      <c r="M2542" s="1" t="str">
        <f t="shared" si="30"/>
        <v/>
      </c>
      <c r="N2542" s="1" t="s">
        <v>29</v>
      </c>
      <c r="O2542" s="1"/>
      <c r="P2542" s="11"/>
      <c r="Q2542" s="11"/>
      <c r="R2542" s="11"/>
      <c r="S2542" s="11"/>
      <c r="T2542" s="1"/>
      <c r="U2542" s="1"/>
      <c r="V2542" s="1"/>
      <c r="W2542" s="1"/>
      <c r="X2542" s="1"/>
      <c r="Y2542" s="1"/>
      <c r="Z2542" s="1"/>
    </row>
    <row r="2543" ht="18.0" hidden="1" customHeight="1" outlineLevel="2">
      <c r="A2543" s="1">
        <v>10.0</v>
      </c>
      <c r="B2543" s="26" t="s">
        <v>2416</v>
      </c>
      <c r="C2543" s="26" t="s">
        <v>29</v>
      </c>
      <c r="D2543" s="26" t="s">
        <v>908</v>
      </c>
      <c r="E2543" s="29" t="s">
        <v>33</v>
      </c>
      <c r="F2543" s="34" t="s">
        <v>29</v>
      </c>
      <c r="G2543" s="30">
        <v>60.0</v>
      </c>
      <c r="H2543" s="22" t="s">
        <v>2417</v>
      </c>
      <c r="I2543" s="7"/>
      <c r="J2543" s="7" t="str">
        <f>IFERROR(LET(_xlpm.v,
VLOOKUP($I2543,'用語辞書'!$A:$B,COLUMN('用語辞書'!B$1),FALSE),
IF(_xlpm.v=0,"",_xlpm.v)
),"")</f>
        <v/>
      </c>
      <c r="K2543" s="17"/>
      <c r="L2543" s="17" t="b">
        <f>IF(OR(COUNTIF('クラス'!$A$1:$A$1267,$B2543)&gt;0,$B2543="",$M2543=""),"",True)</f>
        <v>1</v>
      </c>
      <c r="M2543" s="1" t="str">
        <f t="shared" si="30"/>
        <v>存在しない</v>
      </c>
      <c r="N2543" s="1" t="s">
        <v>29</v>
      </c>
      <c r="O2543" s="1"/>
      <c r="P2543" s="11"/>
      <c r="Q2543" s="11"/>
      <c r="R2543" s="11"/>
      <c r="S2543" s="11"/>
      <c r="T2543" s="1"/>
      <c r="U2543" s="1"/>
      <c r="V2543" s="1"/>
      <c r="W2543" s="1"/>
      <c r="X2543" s="1"/>
      <c r="Y2543" s="1"/>
      <c r="Z2543" s="1"/>
    </row>
    <row r="2544" ht="18.0" customHeight="1" outlineLevel="1" collapsed="1">
      <c r="A2544" s="1"/>
      <c r="B2544" s="1"/>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customHeight="1" outlineLevel="1">
      <c r="A2545" s="1"/>
      <c r="B2545" s="26" t="s">
        <v>2418</v>
      </c>
      <c r="C2545" s="1"/>
      <c r="D2545" s="1"/>
      <c r="E2545" s="14"/>
      <c r="F2545" s="15"/>
      <c r="G2545" s="16"/>
      <c r="H2545" s="11"/>
      <c r="I2545" s="7"/>
      <c r="J2545" s="7" t="str">
        <f>IFERROR(LET(_xlpm.v,
VLOOKUP($I2545,'用語辞書'!$A:$B,COLUMN('用語辞書'!B$1),FALSE),
IF(_xlpm.v=0,"",_xlpm.v)
),"")</f>
        <v/>
      </c>
      <c r="K2545" s="17"/>
      <c r="L2545" s="17" t="str">
        <f>IF(OR(COUNTIF('クラス'!$A$1:$A$1267,$B2545)&gt;0,$B2545="",$M2545=""),"",True)</f>
        <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1.0</v>
      </c>
      <c r="B2546" s="26" t="s">
        <v>2419</v>
      </c>
      <c r="C2546" s="26" t="s">
        <v>29</v>
      </c>
      <c r="D2546" s="26" t="s">
        <v>965</v>
      </c>
      <c r="E2546" s="29" t="s">
        <v>33</v>
      </c>
      <c r="F2546" s="34" t="s">
        <v>29</v>
      </c>
      <c r="G2546" s="30">
        <v>60.0</v>
      </c>
      <c r="H2546" s="22" t="s">
        <v>2420</v>
      </c>
      <c r="I2546" s="7"/>
      <c r="J2546" s="7" t="str">
        <f>IFERROR(LET(_xlpm.v,
VLOOKUP($I2546,'用語辞書'!$A:$B,COLUMN('用語辞書'!B$1),FALSE),
IF(_xlpm.v=0,"",_xlpm.v)
),"")</f>
        <v/>
      </c>
      <c r="K2546" s="17"/>
      <c r="L2546" s="17" t="b">
        <f>IF(OR(COUNTIF('クラス'!$A$1:$A$1267,$B2546)&gt;0,$B2546="",$M2546=""),"",True)</f>
        <v>1</v>
      </c>
      <c r="M2546" s="1" t="str">
        <f t="shared" si="30"/>
        <v>存在しない</v>
      </c>
      <c r="N2546" s="1" t="s">
        <v>29</v>
      </c>
      <c r="O2546" s="1"/>
      <c r="P2546" s="11"/>
      <c r="Q2546" s="11"/>
      <c r="R2546" s="11"/>
      <c r="S2546" s="11"/>
      <c r="T2546" s="1"/>
      <c r="U2546" s="1"/>
      <c r="V2546" s="1"/>
      <c r="W2546" s="1"/>
      <c r="X2546" s="1"/>
      <c r="Y2546" s="1"/>
      <c r="Z2546" s="1"/>
    </row>
    <row r="2547" ht="18.0" hidden="1" customHeight="1" outlineLevel="2">
      <c r="A2547" s="1">
        <v>2.0</v>
      </c>
      <c r="B2547" s="26" t="s">
        <v>29</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3.0</v>
      </c>
      <c r="B2548" s="26" t="s">
        <v>966</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4.0</v>
      </c>
      <c r="B2549" s="26" t="s">
        <v>29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5.0</v>
      </c>
      <c r="B2550" s="26" t="s">
        <v>1789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6.0</v>
      </c>
      <c r="B2551" s="26" t="s">
        <v>29</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7.0</v>
      </c>
      <c r="B2552" s="26" t="s">
        <v>978</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8.0</v>
      </c>
      <c r="B2553" s="26" t="s">
        <v>29</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9.0</v>
      </c>
      <c r="B2554" s="26" t="s">
        <v>1793</v>
      </c>
      <c r="C2554" s="1"/>
      <c r="D2554" s="1"/>
      <c r="E2554" s="14"/>
      <c r="F2554" s="15"/>
      <c r="G2554" s="16"/>
      <c r="H2554" s="11"/>
      <c r="I2554" s="7"/>
      <c r="J2554" s="7" t="str">
        <f>IFERROR(LET(_xlpm.v,
VLOOKUP($I2554,'用語辞書'!$A:$B,COLUMN('用語辞書'!B$1),FALSE),
IF(_xlpm.v=0,"",_xlpm.v)
),"")</f>
        <v/>
      </c>
      <c r="K2554" s="17"/>
      <c r="L2554" s="17" t="str">
        <f>IF(OR(COUNTIF('クラス'!$A$1:$A$1267,$B2554)&gt;0,$B2554="",$M2554=""),"",True)</f>
        <v/>
      </c>
      <c r="M2554" s="1" t="str">
        <f t="shared" si="30"/>
        <v/>
      </c>
      <c r="N2554" s="1" t="s">
        <v>29</v>
      </c>
      <c r="O2554" s="1"/>
      <c r="P2554" s="11"/>
      <c r="Q2554" s="11"/>
      <c r="R2554" s="11"/>
      <c r="S2554" s="11"/>
      <c r="T2554" s="1"/>
      <c r="U2554" s="1"/>
      <c r="V2554" s="1"/>
      <c r="W2554" s="1"/>
      <c r="X2554" s="1"/>
      <c r="Y2554" s="1"/>
      <c r="Z2554" s="1"/>
    </row>
    <row r="2555" ht="18.0" hidden="1" customHeight="1" outlineLevel="2">
      <c r="A2555" s="1">
        <v>10.0</v>
      </c>
      <c r="B2555" s="26" t="s">
        <v>2421</v>
      </c>
      <c r="C2555" s="26" t="s">
        <v>29</v>
      </c>
      <c r="D2555" s="26" t="s">
        <v>965</v>
      </c>
      <c r="E2555" s="29" t="s">
        <v>33</v>
      </c>
      <c r="F2555" s="34" t="s">
        <v>29</v>
      </c>
      <c r="G2555" s="30">
        <v>60.0</v>
      </c>
      <c r="H2555" s="22" t="s">
        <v>2422</v>
      </c>
      <c r="I2555" s="7"/>
      <c r="J2555" s="7" t="str">
        <f>IFERROR(LET(_xlpm.v,
VLOOKUP($I2555,'用語辞書'!$A:$B,COLUMN('用語辞書'!B$1),FALSE),
IF(_xlpm.v=0,"",_xlpm.v)
),"")</f>
        <v/>
      </c>
      <c r="K2555" s="17"/>
      <c r="L2555" s="17" t="b">
        <f>IF(OR(COUNTIF('クラス'!$A$1:$A$1267,$B2555)&gt;0,$B2555="",$M2555=""),"",True)</f>
        <v>1</v>
      </c>
      <c r="M2555" s="1" t="str">
        <f t="shared" si="30"/>
        <v>存在しない</v>
      </c>
      <c r="N2555" s="1" t="s">
        <v>29</v>
      </c>
      <c r="O2555" s="1"/>
      <c r="P2555" s="11"/>
      <c r="Q2555" s="11"/>
      <c r="R2555" s="11"/>
      <c r="S2555" s="11"/>
      <c r="T2555" s="1"/>
      <c r="U2555" s="1"/>
      <c r="V2555" s="1"/>
      <c r="W2555" s="1"/>
      <c r="X2555" s="1"/>
      <c r="Y2555" s="1"/>
      <c r="Z2555" s="1"/>
    </row>
    <row r="2556" ht="18.0" customHeight="1" collapsed="1">
      <c r="A2556" s="1"/>
      <c r="B2556" s="1"/>
      <c r="C2556" s="26" t="s">
        <v>2423</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customHeight="1">
      <c r="A2557" s="1"/>
      <c r="B2557" s="26" t="s">
        <v>2424</v>
      </c>
      <c r="C2557" s="26" t="s">
        <v>2425</v>
      </c>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存在しない</v>
      </c>
      <c r="N2557" s="1" t="s">
        <v>29</v>
      </c>
      <c r="O2557" s="1"/>
      <c r="P2557" s="11"/>
      <c r="Q2557" s="11"/>
      <c r="R2557" s="11"/>
      <c r="S2557" s="11"/>
      <c r="T2557" s="1"/>
      <c r="U2557" s="1"/>
      <c r="V2557" s="1"/>
      <c r="W2557" s="1"/>
      <c r="X2557" s="1"/>
      <c r="Y2557" s="1"/>
      <c r="Z2557" s="1"/>
    </row>
    <row r="2558" ht="18.0" hidden="1" customHeight="1" outlineLevel="1">
      <c r="A2558" s="1">
        <v>1.0</v>
      </c>
      <c r="B2558" s="26" t="s">
        <v>297</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2.0</v>
      </c>
      <c r="B2559" s="26" t="s">
        <v>388</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3.0</v>
      </c>
      <c r="B2560" s="26" t="s">
        <v>465</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4.0</v>
      </c>
      <c r="B2561" s="26" t="s">
        <v>526</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5.0</v>
      </c>
      <c r="B2562" s="26" t="s">
        <v>902</v>
      </c>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
      </c>
      <c r="N2562" s="1" t="s">
        <v>29</v>
      </c>
      <c r="O2562" s="1"/>
      <c r="P2562" s="11"/>
      <c r="Q2562" s="11"/>
      <c r="R2562" s="11"/>
      <c r="S2562" s="11"/>
      <c r="T2562" s="1"/>
      <c r="U2562" s="1"/>
      <c r="V2562" s="1"/>
      <c r="W2562" s="1"/>
      <c r="X2562" s="1"/>
      <c r="Y2562" s="1"/>
      <c r="Z2562" s="1"/>
    </row>
    <row r="2563" ht="18.0" hidden="1" customHeight="1" outlineLevel="1">
      <c r="A2563" s="1">
        <v>6.0</v>
      </c>
      <c r="B2563" s="1"/>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存在しない</v>
      </c>
      <c r="N2563" s="1" t="s">
        <v>29</v>
      </c>
      <c r="O2563" s="1"/>
      <c r="P2563" s="11"/>
      <c r="Q2563" s="11"/>
      <c r="R2563" s="11"/>
      <c r="S2563" s="11"/>
      <c r="T2563" s="1"/>
      <c r="U2563" s="1"/>
      <c r="V2563" s="1"/>
      <c r="W2563" s="1"/>
      <c r="X2563" s="1"/>
      <c r="Y2563" s="1"/>
      <c r="Z2563" s="1"/>
    </row>
    <row r="2564" ht="18.0" hidden="1" customHeight="1" outlineLevel="1">
      <c r="A2564" s="1">
        <v>7.0</v>
      </c>
      <c r="B2564" s="26" t="s">
        <v>978</v>
      </c>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
      </c>
      <c r="N2564" s="1" t="s">
        <v>29</v>
      </c>
      <c r="O2564" s="1"/>
      <c r="P2564" s="11"/>
      <c r="Q2564" s="11"/>
      <c r="R2564" s="11"/>
      <c r="S2564" s="11"/>
      <c r="T2564" s="1"/>
      <c r="U2564" s="1"/>
      <c r="V2564" s="1"/>
      <c r="W2564" s="1"/>
      <c r="X2564" s="1"/>
      <c r="Y2564" s="1"/>
      <c r="Z2564" s="1"/>
    </row>
    <row r="2565" ht="18.0" hidden="1" customHeight="1" outlineLevel="1">
      <c r="A2565" s="1">
        <v>8.0</v>
      </c>
      <c r="B2565" s="1"/>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存在しない</v>
      </c>
      <c r="N2565" s="1" t="s">
        <v>29</v>
      </c>
      <c r="O2565" s="1"/>
      <c r="P2565" s="11"/>
      <c r="Q2565" s="11"/>
      <c r="R2565" s="11"/>
      <c r="S2565" s="11"/>
      <c r="T2565" s="1"/>
      <c r="U2565" s="1"/>
      <c r="V2565" s="1"/>
      <c r="W2565" s="1"/>
      <c r="X2565" s="1"/>
      <c r="Y2565" s="1"/>
      <c r="Z2565" s="1"/>
    </row>
    <row r="2566" ht="18.0" hidden="1" customHeight="1" outlineLevel="1">
      <c r="A2566" s="1">
        <v>9.0</v>
      </c>
      <c r="B2566" s="26" t="s">
        <v>788</v>
      </c>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
      </c>
      <c r="N2566" s="1" t="s">
        <v>29</v>
      </c>
      <c r="O2566" s="1"/>
      <c r="P2566" s="11"/>
      <c r="Q2566" s="11"/>
      <c r="R2566" s="11"/>
      <c r="S2566" s="11"/>
      <c r="T2566" s="1"/>
      <c r="U2566" s="1"/>
      <c r="V2566" s="1"/>
      <c r="W2566" s="1"/>
      <c r="X2566" s="1"/>
      <c r="Y2566" s="1"/>
      <c r="Z2566" s="1"/>
    </row>
    <row r="2567" ht="18.0" hidden="1" customHeight="1" outlineLevel="1">
      <c r="A2567" s="1">
        <v>10.0</v>
      </c>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ollapsed="1">
      <c r="A2568" s="1"/>
      <c r="B2568" s="1"/>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customHeight="1">
      <c r="A2569" s="1"/>
      <c r="B2569" s="26" t="s">
        <v>2426</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存在しない</v>
      </c>
      <c r="N2569" s="1" t="s">
        <v>29</v>
      </c>
      <c r="O2569" s="1"/>
      <c r="P2569" s="11"/>
      <c r="Q2569" s="11"/>
      <c r="R2569" s="11"/>
      <c r="S2569" s="11"/>
      <c r="T2569" s="1"/>
      <c r="U2569" s="1"/>
      <c r="V2569" s="1"/>
      <c r="W2569" s="1"/>
      <c r="X2569" s="1"/>
      <c r="Y2569" s="1"/>
      <c r="Z2569" s="1"/>
    </row>
    <row r="2570" ht="18.0" hidden="1" customHeight="1" outlineLevel="1">
      <c r="A2570" s="26">
        <v>1.0</v>
      </c>
      <c r="B2570" s="26" t="s">
        <v>310</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2.0</v>
      </c>
      <c r="B2571" s="26" t="s">
        <v>401</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3.0</v>
      </c>
      <c r="B2572" s="26" t="s">
        <v>537</v>
      </c>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
      </c>
      <c r="N2572" s="1" t="s">
        <v>29</v>
      </c>
      <c r="O2572" s="1"/>
      <c r="P2572" s="11"/>
      <c r="Q2572" s="11"/>
      <c r="R2572" s="11"/>
      <c r="S2572" s="11"/>
      <c r="T2572" s="1"/>
      <c r="U2572" s="1"/>
      <c r="V2572" s="1"/>
      <c r="W2572" s="1"/>
      <c r="X2572" s="1"/>
      <c r="Y2572" s="1"/>
      <c r="Z2572" s="1"/>
    </row>
    <row r="2573" ht="18.0" hidden="1" customHeight="1" outlineLevel="1">
      <c r="A2573" s="26">
        <v>4.0</v>
      </c>
      <c r="B2573" s="1"/>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存在しない</v>
      </c>
      <c r="N2573" s="1" t="s">
        <v>29</v>
      </c>
      <c r="O2573" s="1"/>
      <c r="P2573" s="11"/>
      <c r="Q2573" s="11"/>
      <c r="R2573" s="11"/>
      <c r="S2573" s="11"/>
      <c r="T2573" s="1"/>
      <c r="U2573" s="1"/>
      <c r="V2573" s="1"/>
      <c r="W2573" s="1"/>
      <c r="X2573" s="1"/>
      <c r="Y2573" s="1"/>
      <c r="Z2573" s="1"/>
    </row>
    <row r="2574" ht="18.0" hidden="1" customHeight="1" outlineLevel="1">
      <c r="A2574" s="26">
        <v>5.0</v>
      </c>
      <c r="B2574" s="26" t="s">
        <v>655</v>
      </c>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
      </c>
      <c r="N2574" s="1" t="s">
        <v>29</v>
      </c>
      <c r="O2574" s="1"/>
      <c r="P2574" s="11"/>
      <c r="Q2574" s="11"/>
      <c r="R2574" s="11"/>
      <c r="S2574" s="11"/>
      <c r="T2574" s="1"/>
      <c r="U2574" s="1"/>
      <c r="V2574" s="1"/>
      <c r="W2574" s="1"/>
      <c r="X2574" s="1"/>
      <c r="Y2574" s="1"/>
      <c r="Z2574" s="1"/>
    </row>
    <row r="2575" ht="18.0" hidden="1" customHeight="1" outlineLevel="1">
      <c r="A2575" s="26">
        <v>6.0</v>
      </c>
      <c r="B2575" s="1"/>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存在しない</v>
      </c>
      <c r="N2575" s="1" t="s">
        <v>29</v>
      </c>
      <c r="O2575" s="1"/>
      <c r="P2575" s="11"/>
      <c r="Q2575" s="11"/>
      <c r="R2575" s="11"/>
      <c r="S2575" s="11"/>
      <c r="T2575" s="1"/>
      <c r="U2575" s="1"/>
      <c r="V2575" s="1"/>
      <c r="W2575" s="1"/>
      <c r="X2575" s="1"/>
      <c r="Y2575" s="1"/>
      <c r="Z2575" s="1"/>
    </row>
    <row r="2576" ht="18.0" hidden="1" customHeight="1" outlineLevel="1">
      <c r="A2576" s="26">
        <v>7.0</v>
      </c>
      <c r="B2576" s="26" t="s">
        <v>918</v>
      </c>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
      </c>
      <c r="N2576" s="1" t="s">
        <v>29</v>
      </c>
      <c r="O2576" s="1"/>
      <c r="P2576" s="11"/>
      <c r="Q2576" s="11"/>
      <c r="R2576" s="11"/>
      <c r="S2576" s="11"/>
      <c r="T2576" s="1"/>
      <c r="U2576" s="1"/>
      <c r="V2576" s="1"/>
      <c r="W2576" s="1"/>
      <c r="X2576" s="1"/>
      <c r="Y2576" s="1"/>
      <c r="Z2576" s="1"/>
    </row>
    <row r="2577" ht="18.0" hidden="1" customHeight="1" outlineLevel="1">
      <c r="A2577" s="26">
        <v>8.0</v>
      </c>
      <c r="B2577" s="1"/>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存在しない</v>
      </c>
      <c r="N2577" s="1" t="s">
        <v>29</v>
      </c>
      <c r="O2577" s="1"/>
      <c r="P2577" s="11"/>
      <c r="Q2577" s="11"/>
      <c r="R2577" s="11"/>
      <c r="S2577" s="11"/>
      <c r="T2577" s="1"/>
      <c r="U2577" s="1"/>
      <c r="V2577" s="1"/>
      <c r="W2577" s="1"/>
      <c r="X2577" s="1"/>
      <c r="Y2577" s="1"/>
      <c r="Z2577" s="1"/>
    </row>
    <row r="2578" ht="18.0" hidden="1" customHeight="1" outlineLevel="1">
      <c r="A2578" s="26">
        <v>9.0</v>
      </c>
      <c r="B2578" s="26" t="s">
        <v>994</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hidden="1" customHeight="1" outlineLevel="1">
      <c r="A2579" s="26">
        <v>10.0</v>
      </c>
      <c r="B2579" s="26" t="s">
        <v>157</v>
      </c>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
      </c>
      <c r="N2579" s="1" t="s">
        <v>29</v>
      </c>
      <c r="O2579" s="1"/>
      <c r="P2579" s="11"/>
      <c r="Q2579" s="11"/>
      <c r="R2579" s="11"/>
      <c r="S2579" s="11"/>
      <c r="T2579" s="1"/>
      <c r="U2579" s="1"/>
      <c r="V2579" s="1"/>
      <c r="W2579" s="1"/>
      <c r="X2579" s="1"/>
      <c r="Y2579" s="1"/>
      <c r="Z2579" s="1"/>
    </row>
    <row r="2580" ht="18.0" customHeight="1" collapsed="1">
      <c r="A2580" s="1"/>
      <c r="B2580" s="1"/>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customHeight="1">
      <c r="A2581" s="1"/>
      <c r="B2581" s="26" t="s">
        <v>2427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存在しない</v>
      </c>
      <c r="N2581" s="1" t="s">
        <v>29</v>
      </c>
      <c r="O2581" s="1"/>
      <c r="P2581" s="11"/>
      <c r="Q2581" s="11"/>
      <c r="R2581" s="11"/>
      <c r="S2581" s="11"/>
      <c r="T2581" s="1"/>
      <c r="U2581" s="1"/>
      <c r="V2581" s="1"/>
      <c r="W2581" s="1"/>
      <c r="X2581" s="1"/>
      <c r="Y2581" s="1"/>
      <c r="Z2581" s="1"/>
    </row>
    <row r="2582" ht="18.0" hidden="1" customHeight="1" outlineLevel="1">
      <c r="A2582" s="26">
        <v>1.0</v>
      </c>
      <c r="B2582" s="26" t="s">
        <v>137</v>
      </c>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
      </c>
      <c r="N2582" s="1" t="s">
        <v>29</v>
      </c>
      <c r="O2582" s="1"/>
      <c r="P2582" s="11"/>
      <c r="Q2582" s="11"/>
      <c r="R2582" s="11"/>
      <c r="S2582" s="11"/>
      <c r="T2582" s="1"/>
      <c r="U2582" s="1"/>
      <c r="V2582" s="1"/>
      <c r="W2582" s="1"/>
      <c r="X2582" s="1"/>
      <c r="Y2582" s="1"/>
      <c r="Z2582" s="1"/>
    </row>
    <row r="2583" ht="18.0" hidden="1" customHeight="1" outlineLevel="1">
      <c r="A2583" s="26">
        <v>2.0</v>
      </c>
      <c r="B2583" s="1"/>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存在しない</v>
      </c>
      <c r="N2583" s="1" t="s">
        <v>29</v>
      </c>
      <c r="O2583" s="1"/>
      <c r="P2583" s="11"/>
      <c r="Q2583" s="11"/>
      <c r="R2583" s="11"/>
      <c r="S2583" s="11"/>
      <c r="T2583" s="1"/>
      <c r="U2583" s="1"/>
      <c r="V2583" s="1"/>
      <c r="W2583" s="1"/>
      <c r="X2583" s="1"/>
      <c r="Y2583" s="1"/>
      <c r="Z2583" s="1"/>
    </row>
    <row r="2584" ht="18.0" hidden="1" customHeight="1" outlineLevel="1">
      <c r="A2584" s="26">
        <v>3.0</v>
      </c>
      <c r="B2584" s="26" t="s">
        <v>150</v>
      </c>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
      </c>
      <c r="N2584" s="1" t="s">
        <v>29</v>
      </c>
      <c r="O2584" s="1"/>
      <c r="P2584" s="11"/>
      <c r="Q2584" s="11"/>
      <c r="R2584" s="11"/>
      <c r="S2584" s="11"/>
      <c r="T2584" s="1"/>
      <c r="U2584" s="1"/>
      <c r="V2584" s="1"/>
      <c r="W2584" s="1"/>
      <c r="X2584" s="1"/>
      <c r="Y2584" s="1"/>
      <c r="Z2584" s="1"/>
    </row>
    <row r="2585" ht="18.0" hidden="1" customHeight="1" outlineLevel="1">
      <c r="A2585" s="26">
        <v>4.0</v>
      </c>
      <c r="B2585" s="1"/>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存在しない</v>
      </c>
      <c r="N2585" s="1" t="s">
        <v>29</v>
      </c>
      <c r="O2585" s="1"/>
      <c r="P2585" s="11"/>
      <c r="Q2585" s="11"/>
      <c r="R2585" s="11"/>
      <c r="S2585" s="11"/>
      <c r="T2585" s="1"/>
      <c r="U2585" s="1"/>
      <c r="V2585" s="1"/>
      <c r="W2585" s="1"/>
      <c r="X2585" s="1"/>
      <c r="Y2585" s="1"/>
      <c r="Z2585" s="1"/>
    </row>
    <row r="2586" ht="18.0" hidden="1" customHeight="1" outlineLevel="1">
      <c r="A2586" s="26">
        <v>5.0</v>
      </c>
      <c r="B2586" s="26" t="s">
        <v>153</v>
      </c>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
      </c>
      <c r="N2586" s="1" t="s">
        <v>29</v>
      </c>
      <c r="O2586" s="1"/>
      <c r="P2586" s="11"/>
      <c r="Q2586" s="11"/>
      <c r="R2586" s="11"/>
      <c r="S2586" s="11"/>
      <c r="T2586" s="1"/>
      <c r="U2586" s="1"/>
      <c r="V2586" s="1"/>
      <c r="W2586" s="1"/>
      <c r="X2586" s="1"/>
      <c r="Y2586" s="1"/>
      <c r="Z2586" s="1"/>
    </row>
    <row r="2587" ht="18.0" hidden="1" customHeight="1" outlineLevel="1">
      <c r="A2587" s="26">
        <v>6.0</v>
      </c>
      <c r="B2587" s="1"/>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存在しない</v>
      </c>
      <c r="N2587" s="1" t="s">
        <v>29</v>
      </c>
      <c r="O2587" s="1"/>
      <c r="P2587" s="11"/>
      <c r="Q2587" s="11"/>
      <c r="R2587" s="11"/>
      <c r="S2587" s="11"/>
      <c r="T2587" s="1"/>
      <c r="U2587" s="1"/>
      <c r="V2587" s="1"/>
      <c r="W2587" s="1"/>
      <c r="X2587" s="1"/>
      <c r="Y2587" s="1"/>
      <c r="Z2587" s="1"/>
    </row>
    <row r="2588" ht="18.0" hidden="1" customHeight="1" outlineLevel="1">
      <c r="A2588" s="26">
        <v>7.0</v>
      </c>
      <c r="B2588" s="26" t="s">
        <v>143</v>
      </c>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
      </c>
      <c r="N2588" s="1" t="s">
        <v>29</v>
      </c>
      <c r="O2588" s="1"/>
      <c r="P2588" s="11"/>
      <c r="Q2588" s="11"/>
      <c r="R2588" s="11"/>
      <c r="S2588" s="11"/>
      <c r="T2588" s="1"/>
      <c r="U2588" s="1"/>
      <c r="V2588" s="1"/>
      <c r="W2588" s="1"/>
      <c r="X2588" s="1"/>
      <c r="Y2588" s="1"/>
      <c r="Z2588" s="1"/>
    </row>
    <row r="2589" ht="18.0" hidden="1" customHeight="1" outlineLevel="1">
      <c r="A2589" s="26">
        <v>8.0</v>
      </c>
      <c r="B2589" s="1"/>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存在しない</v>
      </c>
      <c r="N2589" s="1" t="s">
        <v>29</v>
      </c>
      <c r="O2589" s="1"/>
      <c r="P2589" s="11"/>
      <c r="Q2589" s="11"/>
      <c r="R2589" s="11"/>
      <c r="S2589" s="11"/>
      <c r="T2589" s="1"/>
      <c r="U2589" s="1"/>
      <c r="V2589" s="1"/>
      <c r="W2589" s="1"/>
      <c r="X2589" s="1"/>
      <c r="Y2589" s="1"/>
      <c r="Z2589" s="1"/>
    </row>
    <row r="2590" ht="18.0" hidden="1" customHeight="1" outlineLevel="1">
      <c r="A2590" s="26">
        <v>9.0</v>
      </c>
      <c r="B2590" s="26" t="s">
        <v>157</v>
      </c>
      <c r="C2590" s="1"/>
      <c r="D2590" s="1"/>
      <c r="E2590" s="14"/>
      <c r="F2590" s="15"/>
      <c r="G2590" s="16"/>
      <c r="H2590" s="11"/>
      <c r="I2590" s="7"/>
      <c r="J2590" s="7" t="str">
        <f>IFERROR(LET(_xlpm.v,
VLOOKUP($I2590,'用語辞書'!$A:$B,COLUMN('用語辞書'!B$1),FALSE),
IF(_xlpm.v=0,"",_xlpm.v)
),"")</f>
        <v/>
      </c>
      <c r="K2590" s="17"/>
      <c r="L2590" s="17" t="str">
        <f>IF(OR(COUNTIF('クラス'!$A$1:$A$1267,$B2590)&gt;0,$B2590="",$M2590=""),"",True)</f>
        <v/>
      </c>
      <c r="M2590" s="1" t="str">
        <f t="shared" si="30"/>
        <v/>
      </c>
      <c r="N2590" s="1" t="s">
        <v>29</v>
      </c>
      <c r="O2590" s="1"/>
      <c r="P2590" s="11"/>
      <c r="Q2590" s="11"/>
      <c r="R2590" s="11"/>
      <c r="S2590" s="11"/>
      <c r="T2590" s="1"/>
      <c r="U2590" s="1"/>
      <c r="V2590" s="1"/>
      <c r="W2590" s="1"/>
      <c r="X2590" s="1"/>
      <c r="Y2590" s="1"/>
      <c r="Z2590" s="1"/>
    </row>
    <row r="2591" ht="18.0" hidden="1" customHeight="1" outlineLevel="1">
      <c r="A2591" s="26">
        <v>10.0</v>
      </c>
      <c r="B2591" s="26" t="s">
        <v>2428</v>
      </c>
      <c r="C2591" s="26" t="s">
        <v>29</v>
      </c>
      <c r="D2591" s="26" t="s">
        <v>2429</v>
      </c>
      <c r="E2591" s="29" t="s">
        <v>55</v>
      </c>
      <c r="F2591" s="34" t="s">
        <v>29</v>
      </c>
      <c r="G2591" s="30" t="s">
        <v>29</v>
      </c>
      <c r="H2591" s="22" t="s">
        <v>2430</v>
      </c>
      <c r="I2591" s="7"/>
      <c r="J2591" s="7" t="str">
        <f>IFERROR(LET(_xlpm.v,
VLOOKUP($I2591,'用語辞書'!$A:$B,COLUMN('用語辞書'!B$1),FALSE),
IF(_xlpm.v=0,"",_xlpm.v)
),"")</f>
        <v/>
      </c>
      <c r="K2591" s="17"/>
      <c r="L2591" s="17" t="b">
        <f>IF(OR(COUNTIF('クラス'!$A$1:$A$1267,$B2591)&gt;0,$B2591="",$M2591=""),"",True)</f>
        <v>1</v>
      </c>
      <c r="M2591" s="1" t="str">
        <f t="shared" si="30"/>
        <v>存在しない</v>
      </c>
      <c r="N2591" s="1" t="s">
        <v>29</v>
      </c>
      <c r="O2591" s="1"/>
      <c r="P2591" s="11"/>
      <c r="Q2591" s="11"/>
      <c r="R2591" s="11"/>
      <c r="S2591" s="11"/>
      <c r="T2591" s="1"/>
      <c r="U2591" s="1"/>
      <c r="V2591" s="1"/>
      <c r="W2591" s="1"/>
      <c r="X2591" s="1"/>
      <c r="Y2591" s="1"/>
      <c r="Z2591" s="1"/>
    </row>
    <row r="2592" ht="18.0" customHeight="1" collapsed="1">
      <c r="A2592" s="1"/>
      <c r="B2592" s="1"/>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customHeight="1">
      <c r="A2593" s="1"/>
      <c r="B2593" s="26" t="s">
        <v>2431</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存在しない</v>
      </c>
      <c r="N2593" s="1" t="s">
        <v>29</v>
      </c>
      <c r="O2593" s="1"/>
      <c r="P2593" s="11"/>
      <c r="Q2593" s="11"/>
      <c r="R2593" s="11"/>
      <c r="S2593" s="11"/>
      <c r="T2593" s="1"/>
      <c r="U2593" s="1"/>
      <c r="V2593" s="1"/>
      <c r="W2593" s="1"/>
      <c r="X2593" s="1"/>
      <c r="Y2593" s="1"/>
      <c r="Z2593" s="1"/>
    </row>
    <row r="2594" ht="18.0" hidden="1" customHeight="1" outlineLevel="1">
      <c r="A2594" s="26">
        <v>1.0</v>
      </c>
      <c r="B2594" s="26" t="s">
        <v>150</v>
      </c>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
      </c>
      <c r="N2594" s="1" t="s">
        <v>29</v>
      </c>
      <c r="O2594" s="1"/>
      <c r="P2594" s="11"/>
      <c r="Q2594" s="11"/>
      <c r="R2594" s="11"/>
      <c r="S2594" s="11"/>
      <c r="T2594" s="1"/>
      <c r="U2594" s="1"/>
      <c r="V2594" s="1"/>
      <c r="W2594" s="1"/>
      <c r="X2594" s="1"/>
      <c r="Y2594" s="1"/>
      <c r="Z2594" s="1"/>
    </row>
    <row r="2595" ht="18.0" hidden="1" customHeight="1" outlineLevel="1">
      <c r="A2595" s="26">
        <v>2.0</v>
      </c>
      <c r="B2595" s="1"/>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存在しない</v>
      </c>
      <c r="N2595" s="1" t="s">
        <v>29</v>
      </c>
      <c r="O2595" s="1"/>
      <c r="P2595" s="11"/>
      <c r="Q2595" s="11"/>
      <c r="R2595" s="11"/>
      <c r="S2595" s="11"/>
      <c r="T2595" s="1"/>
      <c r="U2595" s="1"/>
      <c r="V2595" s="1"/>
      <c r="W2595" s="1"/>
      <c r="X2595" s="1"/>
      <c r="Y2595" s="1"/>
      <c r="Z2595" s="1"/>
    </row>
    <row r="2596" ht="18.0" hidden="1" customHeight="1" outlineLevel="1">
      <c r="A2596" s="26">
        <v>3.0</v>
      </c>
      <c r="B2596" s="26" t="s">
        <v>137</v>
      </c>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
      </c>
      <c r="N2596" s="1" t="s">
        <v>29</v>
      </c>
      <c r="O2596" s="1"/>
      <c r="P2596" s="11"/>
      <c r="Q2596" s="11"/>
      <c r="R2596" s="11"/>
      <c r="S2596" s="11"/>
      <c r="T2596" s="1"/>
      <c r="U2596" s="1"/>
      <c r="V2596" s="1"/>
      <c r="W2596" s="1"/>
      <c r="X2596" s="1"/>
      <c r="Y2596" s="1"/>
      <c r="Z2596" s="1"/>
    </row>
    <row r="2597" ht="18.0" hidden="1" customHeight="1" outlineLevel="1">
      <c r="A2597" s="26">
        <v>4.0</v>
      </c>
      <c r="B2597" s="1"/>
      <c r="C2597" s="1"/>
      <c r="D2597" s="1"/>
      <c r="E2597" s="14"/>
      <c r="F2597" s="15"/>
      <c r="G2597" s="16"/>
      <c r="H2597" s="11"/>
      <c r="I2597" s="7"/>
      <c r="J2597" s="7" t="str">
        <f>IFERROR(LET(_xlpm.v,
VLOOKUP($I2597,'用語辞書'!$A:$B,COLUMN('用語辞書'!B$1),FALSE),
IF(_xlpm.v=0,"",_xlpm.v)
),"")</f>
        <v/>
      </c>
      <c r="K2597" s="17"/>
      <c r="L2597" s="17" t="str">
        <f>IF(OR(COUNTIF('クラス'!$A$1:$A$1267,$B2597)&gt;0,$B2597="",$M2597=""),"",True)</f>
        <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5.0</v>
      </c>
      <c r="B2598" s="26" t="s">
        <v>2432</v>
      </c>
      <c r="C2598" s="26" t="s">
        <v>29</v>
      </c>
      <c r="D2598" s="26" t="s">
        <v>2429</v>
      </c>
      <c r="E2598" s="29" t="s">
        <v>55</v>
      </c>
      <c r="F2598" s="34" t="s">
        <v>29</v>
      </c>
      <c r="G2598" s="30" t="s">
        <v>29</v>
      </c>
      <c r="H2598" s="22" t="s">
        <v>2433</v>
      </c>
      <c r="I2598" s="7"/>
      <c r="J2598" s="7" t="str">
        <f>IFERROR(LET(_xlpm.v,
VLOOKUP($I2598,'用語辞書'!$A:$B,COLUMN('用語辞書'!B$1),FALSE),
IF(_xlpm.v=0,"",_xlpm.v)
),"")</f>
        <v/>
      </c>
      <c r="K2598" s="17"/>
      <c r="L2598" s="17" t="b">
        <f>IF(OR(COUNTIF('クラス'!$A$1:$A$1267,$B2598)&gt;0,$B2598="",$M2598=""),"",True)</f>
        <v>1</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6.0</v>
      </c>
      <c r="B2599" s="1"/>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存在しない</v>
      </c>
      <c r="N2599" s="1" t="s">
        <v>29</v>
      </c>
      <c r="O2599" s="1"/>
      <c r="P2599" s="11"/>
      <c r="Q2599" s="11"/>
      <c r="R2599" s="11"/>
      <c r="S2599" s="11"/>
      <c r="T2599" s="1"/>
      <c r="U2599" s="1"/>
      <c r="V2599" s="1"/>
      <c r="W2599" s="1"/>
      <c r="X2599" s="1"/>
      <c r="Y2599" s="1"/>
      <c r="Z2599" s="1"/>
    </row>
    <row r="2600" ht="18.0" hidden="1" customHeight="1" outlineLevel="1">
      <c r="A2600" s="26">
        <v>7.0</v>
      </c>
      <c r="B2600" s="26" t="s">
        <v>167</v>
      </c>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
      </c>
      <c r="N2600" s="1" t="s">
        <v>29</v>
      </c>
      <c r="O2600" s="1"/>
      <c r="P2600" s="11"/>
      <c r="Q2600" s="11"/>
      <c r="R2600" s="11"/>
      <c r="S2600" s="11"/>
      <c r="T2600" s="1"/>
      <c r="U2600" s="1"/>
      <c r="V2600" s="1"/>
      <c r="W2600" s="1"/>
      <c r="X2600" s="1"/>
      <c r="Y2600" s="1"/>
      <c r="Z2600" s="1"/>
    </row>
    <row r="2601" ht="18.0" hidden="1" customHeight="1" outlineLevel="1">
      <c r="A2601" s="26">
        <v>8.0</v>
      </c>
      <c r="B2601" s="1"/>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存在しない</v>
      </c>
      <c r="N2601" s="1" t="s">
        <v>29</v>
      </c>
      <c r="O2601" s="1"/>
      <c r="P2601" s="11"/>
      <c r="Q2601" s="11"/>
      <c r="R2601" s="11"/>
      <c r="S2601" s="11"/>
      <c r="T2601" s="1"/>
      <c r="U2601" s="1"/>
      <c r="V2601" s="1"/>
      <c r="W2601" s="1"/>
      <c r="X2601" s="1"/>
      <c r="Y2601" s="1"/>
      <c r="Z2601" s="1"/>
    </row>
    <row r="2602" ht="18.0" hidden="1" customHeight="1" outlineLevel="1">
      <c r="A2602" s="26">
        <v>9.0</v>
      </c>
      <c r="B2602" s="26" t="s">
        <v>157</v>
      </c>
      <c r="C2602" s="1"/>
      <c r="D2602" s="1"/>
      <c r="E2602" s="14"/>
      <c r="F2602" s="15"/>
      <c r="G2602" s="16"/>
      <c r="H2602" s="11"/>
      <c r="I2602" s="7"/>
      <c r="J2602" s="7" t="str">
        <f>IFERROR(LET(_xlpm.v,
VLOOKUP($I2602,'用語辞書'!$A:$B,COLUMN('用語辞書'!B$1),FALSE),
IF(_xlpm.v=0,"",_xlpm.v)
),"")</f>
        <v/>
      </c>
      <c r="K2602" s="17"/>
      <c r="L2602" s="17" t="str">
        <f>IF(OR(COUNTIF('クラス'!$A$1:$A$1267,$B2602)&gt;0,$B2602="",$M2602=""),"",True)</f>
        <v/>
      </c>
      <c r="M2602" s="1" t="str">
        <f t="shared" si="30"/>
        <v/>
      </c>
      <c r="N2602" s="1" t="s">
        <v>29</v>
      </c>
      <c r="O2602" s="1"/>
      <c r="P2602" s="11"/>
      <c r="Q2602" s="11"/>
      <c r="R2602" s="11"/>
      <c r="S2602" s="11"/>
      <c r="T2602" s="1"/>
      <c r="U2602" s="1"/>
      <c r="V2602" s="1"/>
      <c r="W2602" s="1"/>
      <c r="X2602" s="1"/>
      <c r="Y2602" s="1"/>
      <c r="Z2602" s="1"/>
    </row>
    <row r="2603" ht="18.0" hidden="1" customHeight="1" outlineLevel="1">
      <c r="A2603" s="26">
        <v>10.0</v>
      </c>
      <c r="B2603" s="26" t="s">
        <v>2434</v>
      </c>
      <c r="C2603" s="26" t="s">
        <v>29</v>
      </c>
      <c r="D2603" s="26" t="s">
        <v>2429</v>
      </c>
      <c r="E2603" s="29" t="s">
        <v>55</v>
      </c>
      <c r="F2603" s="34" t="s">
        <v>29</v>
      </c>
      <c r="G2603" s="30" t="s">
        <v>29</v>
      </c>
      <c r="H2603" s="22" t="s">
        <v>2435</v>
      </c>
      <c r="I2603" s="7"/>
      <c r="J2603" s="7" t="str">
        <f>IFERROR(LET(_xlpm.v,
VLOOKUP($I2603,'用語辞書'!$A:$B,COLUMN('用語辞書'!B$1),FALSE),
IF(_xlpm.v=0,"",_xlpm.v)
),"")</f>
        <v/>
      </c>
      <c r="K2603" s="17"/>
      <c r="L2603" s="17" t="b">
        <f>IF(OR(COUNTIF('クラス'!$A$1:$A$1267,$B2603)&gt;0,$B2603="",$M2603=""),"",True)</f>
        <v>1</v>
      </c>
      <c r="M2603" s="1" t="str">
        <f t="shared" si="30"/>
        <v>存在しない</v>
      </c>
      <c r="N2603" s="1" t="s">
        <v>29</v>
      </c>
      <c r="O2603" s="1"/>
      <c r="P2603" s="11"/>
      <c r="Q2603" s="11"/>
      <c r="R2603" s="11"/>
      <c r="S2603" s="11"/>
      <c r="T2603" s="1"/>
      <c r="U2603" s="1"/>
      <c r="V2603" s="1"/>
      <c r="W2603" s="1"/>
      <c r="X2603" s="1"/>
      <c r="Y2603" s="1"/>
      <c r="Z2603" s="1"/>
    </row>
    <row r="2604" ht="18.0" customHeight="1" collapsed="1">
      <c r="A2604" s="1"/>
      <c r="B2604" s="1"/>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customHeight="1">
      <c r="A2605" s="1"/>
      <c r="B2605" s="26" t="s">
        <v>2436</v>
      </c>
      <c r="C2605" s="1"/>
      <c r="D2605" s="1"/>
      <c r="E2605" s="14"/>
      <c r="F2605" s="15"/>
      <c r="G2605" s="16"/>
      <c r="H2605" s="11"/>
      <c r="I2605" s="7"/>
      <c r="J2605" s="7" t="str">
        <f>IFERROR(LET(_xlpm.v,
VLOOKUP($I2605,'用語辞書'!$A:$B,COLUMN('用語辞書'!B$1),FALSE),
IF(_xlpm.v=0,"",_xlpm.v)
),"")</f>
        <v/>
      </c>
      <c r="K2605" s="17"/>
      <c r="L2605" s="17" t="str">
        <f>IF(OR(COUNTIF('クラス'!$A$1:$A$1267,$B2605)&gt;0,$B2605="",$M2605=""),"",True)</f>
        <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1.0</v>
      </c>
      <c r="B2606" s="26" t="s">
        <v>2437</v>
      </c>
      <c r="C2606" s="26" t="s">
        <v>29</v>
      </c>
      <c r="D2606" s="26" t="s">
        <v>711</v>
      </c>
      <c r="E2606" s="29" t="s">
        <v>33</v>
      </c>
      <c r="F2606" s="34" t="s">
        <v>29</v>
      </c>
      <c r="G2606" s="30">
        <v>60.0</v>
      </c>
      <c r="H2606" s="22" t="s">
        <v>2438</v>
      </c>
      <c r="I2606" s="7"/>
      <c r="J2606" s="7" t="str">
        <f>IFERROR(LET(_xlpm.v,
VLOOKUP($I2606,'用語辞書'!$A:$B,COLUMN('用語辞書'!B$1),FALSE),
IF(_xlpm.v=0,"",_xlpm.v)
),"")</f>
        <v/>
      </c>
      <c r="K2606" s="17"/>
      <c r="L2606" s="17" t="b">
        <f>IF(OR(COUNTIF('クラス'!$A$1:$A$1267,$B2606)&gt;0,$B2606="",$M2606=""),"",True)</f>
        <v>1</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2.0</v>
      </c>
      <c r="B2607" s="1"/>
      <c r="C2607" s="1"/>
      <c r="D2607" s="1"/>
      <c r="E2607" s="14"/>
      <c r="F2607" s="15"/>
      <c r="G2607" s="16"/>
      <c r="H2607" s="11"/>
      <c r="I2607" s="7"/>
      <c r="J2607" s="7" t="str">
        <f>IFERROR(LET(_xlpm.v,
VLOOKUP($I2607,'用語辞書'!$A:$B,COLUMN('用語辞書'!B$1),FALSE),
IF(_xlpm.v=0,"",_xlpm.v)
),"")</f>
        <v/>
      </c>
      <c r="K2607" s="17"/>
      <c r="L2607" s="17" t="str">
        <f>IF(OR(COUNTIF('クラス'!$A$1:$A$1267,$B2607)&gt;0,$B2607="",$M2607=""),"",True)</f>
        <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3.0</v>
      </c>
      <c r="B2608" s="26" t="s">
        <v>2439</v>
      </c>
      <c r="C2608" s="26" t="s">
        <v>29</v>
      </c>
      <c r="D2608" s="26" t="s">
        <v>711</v>
      </c>
      <c r="E2608" s="29" t="s">
        <v>33</v>
      </c>
      <c r="F2608" s="34" t="s">
        <v>29</v>
      </c>
      <c r="G2608" s="30">
        <v>60.0</v>
      </c>
      <c r="H2608" s="22" t="s">
        <v>2440</v>
      </c>
      <c r="I2608" s="7"/>
      <c r="J2608" s="7" t="str">
        <f>IFERROR(LET(_xlpm.v,
VLOOKUP($I2608,'用語辞書'!$A:$B,COLUMN('用語辞書'!B$1),FALSE),
IF(_xlpm.v=0,"",_xlpm.v)
),"")</f>
        <v/>
      </c>
      <c r="K2608" s="17"/>
      <c r="L2608" s="17" t="b">
        <f>IF(OR(COUNTIF('クラス'!$A$1:$A$1267,$B2608)&gt;0,$B2608="",$M2608=""),"",True)</f>
        <v>1</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4.0</v>
      </c>
      <c r="B2609" s="1"/>
      <c r="C2609" s="1"/>
      <c r="D2609" s="1"/>
      <c r="E2609" s="14"/>
      <c r="F2609" s="15"/>
      <c r="G2609" s="16"/>
      <c r="H2609" s="11"/>
      <c r="I2609" s="7"/>
      <c r="J2609" s="7" t="str">
        <f>IFERROR(LET(_xlpm.v,
VLOOKUP($I2609,'用語辞書'!$A:$B,COLUMN('用語辞書'!B$1),FALSE),
IF(_xlpm.v=0,"",_xlpm.v)
),"")</f>
        <v/>
      </c>
      <c r="K2609" s="17"/>
      <c r="L2609" s="17" t="str">
        <f>IF(OR(COUNTIF('クラス'!$A$1:$A$1267,$B2609)&gt;0,$B2609="",$M2609=""),"",True)</f>
        <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5.0</v>
      </c>
      <c r="B2610" s="26" t="s">
        <v>2441</v>
      </c>
      <c r="C2610" s="26" t="s">
        <v>29</v>
      </c>
      <c r="D2610" s="26" t="s">
        <v>711</v>
      </c>
      <c r="E2610" s="29" t="s">
        <v>33</v>
      </c>
      <c r="F2610" s="34" t="s">
        <v>29</v>
      </c>
      <c r="G2610" s="30">
        <v>60.0</v>
      </c>
      <c r="H2610" s="22" t="s">
        <v>2442</v>
      </c>
      <c r="I2610" s="7"/>
      <c r="J2610" s="7" t="str">
        <f>IFERROR(LET(_xlpm.v,
VLOOKUP($I2610,'用語辞書'!$A:$B,COLUMN('用語辞書'!B$1),FALSE),
IF(_xlpm.v=0,"",_xlpm.v)
),"")</f>
        <v/>
      </c>
      <c r="K2610" s="17"/>
      <c r="L2610" s="17" t="b">
        <f>IF(OR(COUNTIF('クラス'!$A$1:$A$1267,$B2610)&gt;0,$B2610="",$M2610=""),"",True)</f>
        <v>1</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6.0</v>
      </c>
      <c r="B2611" s="1"/>
      <c r="C2611" s="1"/>
      <c r="D2611" s="1"/>
      <c r="E2611" s="14"/>
      <c r="F2611" s="15"/>
      <c r="G2611" s="16"/>
      <c r="H2611" s="11"/>
      <c r="I2611" s="7"/>
      <c r="J2611" s="7" t="str">
        <f>IFERROR(LET(_xlpm.v,
VLOOKUP($I2611,'用語辞書'!$A:$B,COLUMN('用語辞書'!B$1),FALSE),
IF(_xlpm.v=0,"",_xlpm.v)
),"")</f>
        <v/>
      </c>
      <c r="K2611" s="17"/>
      <c r="L2611" s="17" t="str">
        <f>IF(OR(COUNTIF('クラス'!$A$1:$A$1267,$B2611)&gt;0,$B2611="",$M2611=""),"",True)</f>
        <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7.0</v>
      </c>
      <c r="B2612" s="26" t="s">
        <v>2443</v>
      </c>
      <c r="C2612" s="26" t="s">
        <v>29</v>
      </c>
      <c r="D2612" s="26" t="s">
        <v>711</v>
      </c>
      <c r="E2612" s="29" t="s">
        <v>33</v>
      </c>
      <c r="F2612" s="34" t="s">
        <v>29</v>
      </c>
      <c r="G2612" s="30">
        <v>60.0</v>
      </c>
      <c r="H2612" s="22" t="s">
        <v>2444</v>
      </c>
      <c r="I2612" s="7"/>
      <c r="J2612" s="7" t="str">
        <f>IFERROR(LET(_xlpm.v,
VLOOKUP($I2612,'用語辞書'!$A:$B,COLUMN('用語辞書'!B$1),FALSE),
IF(_xlpm.v=0,"",_xlpm.v)
),"")</f>
        <v/>
      </c>
      <c r="K2612" s="17"/>
      <c r="L2612" s="17" t="b">
        <f>IF(OR(COUNTIF('クラス'!$A$1:$A$1267,$B2612)&gt;0,$B2612="",$M2612=""),"",True)</f>
        <v>1</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8.0</v>
      </c>
      <c r="B2613" s="1"/>
      <c r="C2613" s="1"/>
      <c r="D2613" s="1"/>
      <c r="E2613" s="14"/>
      <c r="F2613" s="15"/>
      <c r="G2613" s="16"/>
      <c r="H2613" s="11"/>
      <c r="I2613" s="7"/>
      <c r="J2613" s="7" t="str">
        <f>IFERROR(LET(_xlpm.v,
VLOOKUP($I2613,'用語辞書'!$A:$B,COLUMN('用語辞書'!B$1),FALSE),
IF(_xlpm.v=0,"",_xlpm.v)
),"")</f>
        <v/>
      </c>
      <c r="K2613" s="17"/>
      <c r="L2613" s="17" t="str">
        <f>IF(OR(COUNTIF('クラス'!$A$1:$A$1267,$B2613)&gt;0,$B2613="",$M2613=""),"",True)</f>
        <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9.0</v>
      </c>
      <c r="B2614" s="26" t="s">
        <v>2445</v>
      </c>
      <c r="C2614" s="26" t="s">
        <v>29</v>
      </c>
      <c r="D2614" s="26" t="s">
        <v>711</v>
      </c>
      <c r="E2614" s="29" t="s">
        <v>55</v>
      </c>
      <c r="F2614" s="34" t="s">
        <v>29</v>
      </c>
      <c r="G2614" s="30" t="s">
        <v>29</v>
      </c>
      <c r="H2614" s="22" t="s">
        <v>2446</v>
      </c>
      <c r="I2614" s="7"/>
      <c r="J2614" s="7" t="str">
        <f>IFERROR(LET(_xlpm.v,
VLOOKUP($I2614,'用語辞書'!$A:$B,COLUMN('用語辞書'!B$1),FALSE),
IF(_xlpm.v=0,"",_xlpm.v)
),"")</f>
        <v/>
      </c>
      <c r="K2614" s="17"/>
      <c r="L2614" s="17" t="b">
        <f>IF(OR(COUNTIF('クラス'!$A$1:$A$1267,$B2614)&gt;0,$B2614="",$M2614=""),"",True)</f>
        <v>1</v>
      </c>
      <c r="M2614" s="1" t="str">
        <f t="shared" si="30"/>
        <v>存在しない</v>
      </c>
      <c r="N2614" s="1" t="s">
        <v>29</v>
      </c>
      <c r="O2614" s="1"/>
      <c r="P2614" s="11"/>
      <c r="Q2614" s="11"/>
      <c r="R2614" s="11"/>
      <c r="S2614" s="11"/>
      <c r="T2614" s="1"/>
      <c r="U2614" s="1"/>
      <c r="V2614" s="1"/>
      <c r="W2614" s="1"/>
      <c r="X2614" s="1"/>
      <c r="Y2614" s="1"/>
      <c r="Z2614" s="1"/>
    </row>
    <row r="2615" ht="18.0" hidden="1" customHeight="1" outlineLevel="1">
      <c r="A2615" s="26">
        <v>10.0</v>
      </c>
      <c r="B2615" s="26" t="s">
        <v>710</v>
      </c>
      <c r="C2615" s="1"/>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
      </c>
      <c r="N2615" s="1" t="s">
        <v>29</v>
      </c>
      <c r="O2615" s="1"/>
      <c r="P2615" s="11"/>
      <c r="Q2615" s="11"/>
      <c r="R2615" s="11"/>
      <c r="S2615" s="11"/>
      <c r="T2615" s="1"/>
      <c r="U2615" s="1"/>
      <c r="V2615" s="1"/>
      <c r="W2615" s="1"/>
      <c r="X2615" s="1"/>
      <c r="Y2615" s="1"/>
      <c r="Z2615" s="1"/>
    </row>
    <row r="2616" ht="18.0" customHeight="1" collapsed="1">
      <c r="A2616" s="1"/>
      <c r="B2616" s="1"/>
      <c r="C2616" s="26" t="s">
        <v>2447</v>
      </c>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customHeight="1" outlineLevel="1">
      <c r="A2617" s="1"/>
      <c r="B2617" s="26" t="s">
        <v>2448</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存在しない</v>
      </c>
      <c r="N2617" s="1" t="s">
        <v>29</v>
      </c>
      <c r="O2617" s="1"/>
      <c r="P2617" s="11"/>
      <c r="Q2617" s="11"/>
      <c r="R2617" s="11"/>
      <c r="S2617" s="11"/>
      <c r="T2617" s="1"/>
      <c r="U2617" s="1"/>
      <c r="V2617" s="1"/>
      <c r="W2617" s="1"/>
      <c r="X2617" s="1"/>
      <c r="Y2617" s="1"/>
      <c r="Z2617" s="1"/>
    </row>
    <row r="2618" ht="18.0" hidden="1" customHeight="1" outlineLevel="2">
      <c r="A2618" s="26">
        <v>1.0</v>
      </c>
      <c r="B2618" s="26" t="s">
        <v>104</v>
      </c>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
      </c>
      <c r="N2618" s="1" t="s">
        <v>29</v>
      </c>
      <c r="O2618" s="1"/>
      <c r="P2618" s="11"/>
      <c r="Q2618" s="11"/>
      <c r="R2618" s="11"/>
      <c r="S2618" s="11"/>
      <c r="T2618" s="1"/>
      <c r="U2618" s="1"/>
      <c r="V2618" s="1"/>
      <c r="W2618" s="1"/>
      <c r="X2618" s="1"/>
      <c r="Y2618" s="1"/>
      <c r="Z2618" s="1"/>
    </row>
    <row r="2619" ht="18.0" hidden="1" customHeight="1" outlineLevel="2">
      <c r="A2619" s="26">
        <v>2.0</v>
      </c>
      <c r="B2619" s="1"/>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存在しない</v>
      </c>
      <c r="N2619" s="1" t="s">
        <v>29</v>
      </c>
      <c r="O2619" s="1"/>
      <c r="P2619" s="11"/>
      <c r="Q2619" s="11"/>
      <c r="R2619" s="11"/>
      <c r="S2619" s="11"/>
      <c r="T2619" s="1"/>
      <c r="U2619" s="1"/>
      <c r="V2619" s="1"/>
      <c r="W2619" s="1"/>
      <c r="X2619" s="1"/>
      <c r="Y2619" s="1"/>
      <c r="Z2619" s="1"/>
    </row>
    <row r="2620" ht="18.0" hidden="1" customHeight="1" outlineLevel="2">
      <c r="A2620" s="26">
        <v>3.0</v>
      </c>
      <c r="B2620" s="26" t="s">
        <v>98</v>
      </c>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
      </c>
      <c r="N2620" s="1" t="s">
        <v>29</v>
      </c>
      <c r="O2620" s="1"/>
      <c r="P2620" s="11"/>
      <c r="Q2620" s="11"/>
      <c r="R2620" s="11"/>
      <c r="S2620" s="11"/>
      <c r="T2620" s="1"/>
      <c r="U2620" s="1"/>
      <c r="V2620" s="1"/>
      <c r="W2620" s="1"/>
      <c r="X2620" s="1"/>
      <c r="Y2620" s="1"/>
      <c r="Z2620" s="1"/>
    </row>
    <row r="2621" ht="18.0" hidden="1" customHeight="1" outlineLevel="2">
      <c r="A2621" s="26">
        <v>4.0</v>
      </c>
      <c r="B2621" s="1"/>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存在しない</v>
      </c>
      <c r="N2621" s="1" t="s">
        <v>29</v>
      </c>
      <c r="O2621" s="1"/>
      <c r="P2621" s="11"/>
      <c r="Q2621" s="11"/>
      <c r="R2621" s="11"/>
      <c r="S2621" s="11"/>
      <c r="T2621" s="1"/>
      <c r="U2621" s="1"/>
      <c r="V2621" s="1"/>
      <c r="W2621" s="1"/>
      <c r="X2621" s="1"/>
      <c r="Y2621" s="1"/>
      <c r="Z2621" s="1"/>
    </row>
    <row r="2622" ht="18.0" hidden="1" customHeight="1" outlineLevel="2">
      <c r="A2622" s="26">
        <v>5.0</v>
      </c>
      <c r="B2622" s="26" t="s">
        <v>108</v>
      </c>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
      </c>
      <c r="N2622" s="1" t="s">
        <v>29</v>
      </c>
      <c r="O2622" s="1"/>
      <c r="P2622" s="11"/>
      <c r="Q2622" s="11"/>
      <c r="R2622" s="11"/>
      <c r="S2622" s="11"/>
      <c r="T2622" s="1"/>
      <c r="U2622" s="1"/>
      <c r="V2622" s="1"/>
      <c r="W2622" s="1"/>
      <c r="X2622" s="1"/>
      <c r="Y2622" s="1"/>
      <c r="Z2622" s="1"/>
    </row>
    <row r="2623" ht="18.0" hidden="1" customHeight="1" outlineLevel="2">
      <c r="A2623" s="26">
        <v>6.0</v>
      </c>
      <c r="B2623" s="1"/>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存在しない</v>
      </c>
      <c r="N2623" s="1" t="s">
        <v>29</v>
      </c>
      <c r="O2623" s="1"/>
      <c r="P2623" s="11"/>
      <c r="Q2623" s="11"/>
      <c r="R2623" s="11"/>
      <c r="S2623" s="11"/>
      <c r="T2623" s="1"/>
      <c r="U2623" s="1"/>
      <c r="V2623" s="1"/>
      <c r="W2623" s="1"/>
      <c r="X2623" s="1"/>
      <c r="Y2623" s="1"/>
      <c r="Z2623" s="1"/>
    </row>
    <row r="2624" ht="18.0" hidden="1" customHeight="1" outlineLevel="2">
      <c r="A2624" s="26">
        <v>7.0</v>
      </c>
      <c r="B2624" s="26" t="s">
        <v>101</v>
      </c>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
      </c>
      <c r="N2624" s="1" t="s">
        <v>29</v>
      </c>
      <c r="O2624" s="1"/>
      <c r="P2624" s="11"/>
      <c r="Q2624" s="11"/>
      <c r="R2624" s="11"/>
      <c r="S2624" s="11"/>
      <c r="T2624" s="1"/>
      <c r="U2624" s="1"/>
      <c r="V2624" s="1"/>
      <c r="W2624" s="1"/>
      <c r="X2624" s="1"/>
      <c r="Y2624" s="1"/>
      <c r="Z2624" s="1"/>
    </row>
    <row r="2625" ht="18.0" hidden="1" customHeight="1" outlineLevel="2">
      <c r="A2625" s="26">
        <v>8.0</v>
      </c>
      <c r="B2625" s="1"/>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存在しない</v>
      </c>
      <c r="N2625" s="1" t="s">
        <v>29</v>
      </c>
      <c r="O2625" s="1"/>
      <c r="P2625" s="11"/>
      <c r="Q2625" s="11"/>
      <c r="R2625" s="11"/>
      <c r="S2625" s="11"/>
      <c r="T2625" s="1"/>
      <c r="U2625" s="1"/>
      <c r="V2625" s="1"/>
      <c r="W2625" s="1"/>
      <c r="X2625" s="1"/>
      <c r="Y2625" s="1"/>
      <c r="Z2625" s="1"/>
    </row>
    <row r="2626" ht="18.0" hidden="1" customHeight="1" outlineLevel="2">
      <c r="A2626" s="26">
        <v>9.0</v>
      </c>
      <c r="B2626" s="26" t="s">
        <v>111</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hidden="1" customHeight="1" outlineLevel="2">
      <c r="A2627" s="26">
        <v>10.0</v>
      </c>
      <c r="B2627" s="26" t="s">
        <v>118</v>
      </c>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
      </c>
      <c r="N2627" s="1" t="s">
        <v>29</v>
      </c>
      <c r="O2627" s="1"/>
      <c r="P2627" s="11"/>
      <c r="Q2627" s="11"/>
      <c r="R2627" s="11"/>
      <c r="S2627" s="11"/>
      <c r="T2627" s="1"/>
      <c r="U2627" s="1"/>
      <c r="V2627" s="1"/>
      <c r="W2627" s="1"/>
      <c r="X2627" s="1"/>
      <c r="Y2627" s="1"/>
      <c r="Z2627" s="1"/>
    </row>
    <row r="2628" ht="18.0" customHeight="1" outlineLevel="1" collapsed="1">
      <c r="A2628" s="1"/>
      <c r="B2628" s="1"/>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customHeight="1" outlineLevel="1">
      <c r="A2629" s="1"/>
      <c r="B2629" s="26" t="s">
        <v>2449</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存在しない</v>
      </c>
      <c r="N2629" s="1" t="s">
        <v>29</v>
      </c>
      <c r="O2629" s="1"/>
      <c r="P2629" s="11"/>
      <c r="Q2629" s="11"/>
      <c r="R2629" s="11"/>
      <c r="S2629" s="11"/>
      <c r="T2629" s="1"/>
      <c r="U2629" s="1"/>
      <c r="V2629" s="1"/>
      <c r="W2629" s="1"/>
      <c r="X2629" s="1"/>
      <c r="Y2629" s="1"/>
      <c r="Z2629" s="1"/>
    </row>
    <row r="2630" ht="18.0" hidden="1" customHeight="1" outlineLevel="2">
      <c r="A2630" s="26">
        <v>1.0</v>
      </c>
      <c r="B2630" s="26" t="s">
        <v>111</v>
      </c>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
      </c>
      <c r="N2630" s="1" t="s">
        <v>29</v>
      </c>
      <c r="O2630" s="1"/>
      <c r="P2630" s="11"/>
      <c r="Q2630" s="11"/>
      <c r="R2630" s="11"/>
      <c r="S2630" s="11"/>
      <c r="T2630" s="1"/>
      <c r="U2630" s="1"/>
      <c r="V2630" s="1"/>
      <c r="W2630" s="1"/>
      <c r="X2630" s="1"/>
      <c r="Y2630" s="1"/>
      <c r="Z2630" s="1"/>
    </row>
    <row r="2631" ht="18.0" hidden="1" customHeight="1" outlineLevel="2">
      <c r="A2631" s="26">
        <v>2.0</v>
      </c>
      <c r="B2631" s="1"/>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存在しない</v>
      </c>
      <c r="N2631" s="1" t="s">
        <v>29</v>
      </c>
      <c r="O2631" s="1"/>
      <c r="P2631" s="11"/>
      <c r="Q2631" s="11"/>
      <c r="R2631" s="11"/>
      <c r="S2631" s="11"/>
      <c r="T2631" s="1"/>
      <c r="U2631" s="1"/>
      <c r="V2631" s="1"/>
      <c r="W2631" s="1"/>
      <c r="X2631" s="1"/>
      <c r="Y2631" s="1"/>
      <c r="Z2631" s="1"/>
    </row>
    <row r="2632" ht="18.0" hidden="1" customHeight="1" outlineLevel="2">
      <c r="A2632" s="26">
        <v>3.0</v>
      </c>
      <c r="B2632" s="26" t="s">
        <v>115</v>
      </c>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
      </c>
      <c r="N2632" s="1" t="s">
        <v>29</v>
      </c>
      <c r="O2632" s="1"/>
      <c r="P2632" s="11"/>
      <c r="Q2632" s="11"/>
      <c r="R2632" s="11"/>
      <c r="S2632" s="11"/>
      <c r="T2632" s="1"/>
      <c r="U2632" s="1"/>
      <c r="V2632" s="1"/>
      <c r="W2632" s="1"/>
      <c r="X2632" s="1"/>
      <c r="Y2632" s="1"/>
      <c r="Z2632" s="1"/>
    </row>
    <row r="2633" ht="18.0" hidden="1" customHeight="1" outlineLevel="2">
      <c r="A2633" s="26">
        <v>4.0</v>
      </c>
      <c r="B2633" s="1"/>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存在しない</v>
      </c>
      <c r="N2633" s="1" t="s">
        <v>29</v>
      </c>
      <c r="O2633" s="1"/>
      <c r="P2633" s="11"/>
      <c r="Q2633" s="11"/>
      <c r="R2633" s="11"/>
      <c r="S2633" s="11"/>
      <c r="T2633" s="1"/>
      <c r="U2633" s="1"/>
      <c r="V2633" s="1"/>
      <c r="W2633" s="1"/>
      <c r="X2633" s="1"/>
      <c r="Y2633" s="1"/>
      <c r="Z2633" s="1"/>
    </row>
    <row r="2634" ht="18.0" hidden="1" customHeight="1" outlineLevel="2">
      <c r="A2634" s="26">
        <v>5.0</v>
      </c>
      <c r="B2634" s="26" t="s">
        <v>118</v>
      </c>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
      </c>
      <c r="N2634" s="1" t="s">
        <v>29</v>
      </c>
      <c r="O2634" s="1"/>
      <c r="P2634" s="11"/>
      <c r="Q2634" s="11"/>
      <c r="R2634" s="11"/>
      <c r="S2634" s="11"/>
      <c r="T2634" s="1"/>
      <c r="U2634" s="1"/>
      <c r="V2634" s="1"/>
      <c r="W2634" s="1"/>
      <c r="X2634" s="1"/>
      <c r="Y2634" s="1"/>
      <c r="Z2634" s="1"/>
    </row>
    <row r="2635" ht="18.0" hidden="1" customHeight="1" outlineLevel="2">
      <c r="A2635" s="26">
        <v>6.0</v>
      </c>
      <c r="B2635" s="1"/>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存在しない</v>
      </c>
      <c r="N2635" s="1" t="s">
        <v>29</v>
      </c>
      <c r="O2635" s="1"/>
      <c r="P2635" s="11"/>
      <c r="Q2635" s="11"/>
      <c r="R2635" s="11"/>
      <c r="S2635" s="11"/>
      <c r="T2635" s="1"/>
      <c r="U2635" s="1"/>
      <c r="V2635" s="1"/>
      <c r="W2635" s="1"/>
      <c r="X2635" s="1"/>
      <c r="Y2635" s="1"/>
      <c r="Z2635" s="1"/>
    </row>
    <row r="2636" ht="18.0" hidden="1" customHeight="1" outlineLevel="2">
      <c r="A2636" s="26">
        <v>7.0</v>
      </c>
      <c r="B2636" s="26" t="s">
        <v>108</v>
      </c>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
      </c>
      <c r="N2636" s="1" t="s">
        <v>29</v>
      </c>
      <c r="O2636" s="1"/>
      <c r="P2636" s="11"/>
      <c r="Q2636" s="11"/>
      <c r="R2636" s="11"/>
      <c r="S2636" s="11"/>
      <c r="T2636" s="1"/>
      <c r="U2636" s="1"/>
      <c r="V2636" s="1"/>
      <c r="W2636" s="1"/>
      <c r="X2636" s="1"/>
      <c r="Y2636" s="1"/>
      <c r="Z2636" s="1"/>
    </row>
    <row r="2637" ht="18.0" hidden="1" customHeight="1" outlineLevel="2">
      <c r="A2637" s="26">
        <v>8.0</v>
      </c>
      <c r="B2637" s="1"/>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存在しない</v>
      </c>
      <c r="N2637" s="1" t="s">
        <v>29</v>
      </c>
      <c r="O2637" s="1"/>
      <c r="P2637" s="11"/>
      <c r="Q2637" s="11"/>
      <c r="R2637" s="11"/>
      <c r="S2637" s="11"/>
      <c r="T2637" s="1"/>
      <c r="U2637" s="1"/>
      <c r="V2637" s="1"/>
      <c r="W2637" s="1"/>
      <c r="X2637" s="1"/>
      <c r="Y2637" s="1"/>
      <c r="Z2637" s="1"/>
    </row>
    <row r="2638" ht="18.0" hidden="1" customHeight="1" outlineLevel="2">
      <c r="A2638" s="26">
        <v>9.0</v>
      </c>
      <c r="B2638" s="26" t="s">
        <v>98</v>
      </c>
      <c r="C2638" s="1"/>
      <c r="D2638" s="1"/>
      <c r="E2638" s="14"/>
      <c r="F2638" s="15"/>
      <c r="G2638" s="16"/>
      <c r="H2638" s="11"/>
      <c r="I2638" s="7"/>
      <c r="J2638" s="7" t="str">
        <f>IFERROR(LET(_xlpm.v,
VLOOKUP($I2638,'用語辞書'!$A:$B,COLUMN('用語辞書'!B$1),FALSE),
IF(_xlpm.v=0,"",_xlpm.v)
),"")</f>
        <v/>
      </c>
      <c r="K2638" s="17"/>
      <c r="L2638" s="17" t="str">
        <f>IF(OR(COUNTIF('クラス'!$A$1:$A$1267,$B2638)&gt;0,$B2638="",$M2638=""),"",True)</f>
        <v/>
      </c>
      <c r="M2638" s="1" t="str">
        <f t="shared" si="30"/>
        <v/>
      </c>
      <c r="N2638" s="1" t="s">
        <v>29</v>
      </c>
      <c r="O2638" s="1"/>
      <c r="P2638" s="11"/>
      <c r="Q2638" s="11"/>
      <c r="R2638" s="11"/>
      <c r="S2638" s="11"/>
      <c r="T2638" s="1"/>
      <c r="U2638" s="1"/>
      <c r="V2638" s="1"/>
      <c r="W2638" s="1"/>
      <c r="X2638" s="1"/>
      <c r="Y2638" s="1"/>
      <c r="Z2638" s="1"/>
    </row>
    <row r="2639" ht="18.0" hidden="1" customHeight="1" outlineLevel="2">
      <c r="A2639" s="26">
        <v>10.0</v>
      </c>
      <c r="B2639" s="26" t="s">
        <v>2450</v>
      </c>
      <c r="C2639" s="26" t="s">
        <v>29</v>
      </c>
      <c r="D2639" s="26" t="s">
        <v>76</v>
      </c>
      <c r="E2639" s="29" t="s">
        <v>55</v>
      </c>
      <c r="F2639" s="34" t="s">
        <v>29</v>
      </c>
      <c r="G2639" s="30" t="s">
        <v>29</v>
      </c>
      <c r="H2639" s="22" t="s">
        <v>2451</v>
      </c>
      <c r="I2639" s="7"/>
      <c r="J2639" s="7" t="str">
        <f>IFERROR(LET(_xlpm.v,
VLOOKUP($I2639,'用語辞書'!$A:$B,COLUMN('用語辞書'!B$1),FALSE),
IF(_xlpm.v=0,"",_xlpm.v)
),"")</f>
        <v/>
      </c>
      <c r="K2639" s="17"/>
      <c r="L2639" s="17" t="b">
        <f>IF(OR(COUNTIF('クラス'!$A$1:$A$1267,$B2639)&gt;0,$B2639="",$M2639=""),"",True)</f>
        <v>1</v>
      </c>
      <c r="M2639" s="1" t="str">
        <f t="shared" si="30"/>
        <v>存在しない</v>
      </c>
      <c r="N2639" s="1" t="s">
        <v>29</v>
      </c>
      <c r="O2639" s="1"/>
      <c r="P2639" s="11"/>
      <c r="Q2639" s="11"/>
      <c r="R2639" s="11"/>
      <c r="S2639" s="11"/>
      <c r="T2639" s="1"/>
      <c r="U2639" s="1"/>
      <c r="V2639" s="1"/>
      <c r="W2639" s="1"/>
      <c r="X2639" s="1"/>
      <c r="Y2639" s="1"/>
      <c r="Z2639" s="1"/>
    </row>
    <row r="2640" ht="18.0" customHeight="1" collapsed="1">
      <c r="A2640" s="1"/>
      <c r="B2640" s="1"/>
      <c r="C2640" s="26" t="s">
        <v>2452</v>
      </c>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customHeight="1">
      <c r="A2641" s="1"/>
      <c r="B2641" s="26" t="s">
        <v>2453</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存在しない</v>
      </c>
      <c r="N2641" s="1" t="s">
        <v>29</v>
      </c>
      <c r="O2641" s="1"/>
      <c r="P2641" s="11"/>
      <c r="Q2641" s="11"/>
      <c r="R2641" s="11"/>
      <c r="S2641" s="11"/>
      <c r="T2641" s="1"/>
      <c r="U2641" s="1"/>
      <c r="V2641" s="1"/>
      <c r="W2641" s="1"/>
      <c r="X2641" s="1"/>
      <c r="Y2641" s="1"/>
      <c r="Z2641" s="1"/>
    </row>
    <row r="2642" ht="18.0" hidden="1" customHeight="1" outlineLevel="1">
      <c r="A2642" s="1">
        <v>1.0</v>
      </c>
      <c r="B2642" s="26" t="s">
        <v>788</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2.0</v>
      </c>
      <c r="B2643" s="26" t="s">
        <v>854</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3.0</v>
      </c>
      <c r="B2644" s="26" t="s">
        <v>857</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4.0</v>
      </c>
      <c r="B2645" s="26" t="s">
        <v>860</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5.0</v>
      </c>
      <c r="B2646" s="26" t="s">
        <v>863</v>
      </c>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
      </c>
      <c r="N2646" s="1" t="s">
        <v>29</v>
      </c>
      <c r="O2646" s="1"/>
      <c r="P2646" s="11"/>
      <c r="Q2646" s="11"/>
      <c r="R2646" s="11"/>
      <c r="S2646" s="11"/>
      <c r="T2646" s="1"/>
      <c r="U2646" s="1"/>
      <c r="V2646" s="1"/>
      <c r="W2646" s="1"/>
      <c r="X2646" s="1"/>
      <c r="Y2646" s="1"/>
      <c r="Z2646" s="1"/>
    </row>
    <row r="2647" ht="18.0" hidden="1" customHeight="1" outlineLevel="1">
      <c r="A2647" s="1">
        <v>6.0</v>
      </c>
      <c r="B2647" s="1"/>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存在しない</v>
      </c>
      <c r="N2647" s="1" t="s">
        <v>29</v>
      </c>
      <c r="O2647" s="1"/>
      <c r="P2647" s="11"/>
      <c r="Q2647" s="11"/>
      <c r="R2647" s="11"/>
      <c r="S2647" s="11"/>
      <c r="T2647" s="1"/>
      <c r="U2647" s="1"/>
      <c r="V2647" s="1"/>
      <c r="W2647" s="1"/>
      <c r="X2647" s="1"/>
      <c r="Y2647" s="1"/>
      <c r="Z2647" s="1"/>
    </row>
    <row r="2648" ht="18.0" hidden="1" customHeight="1" outlineLevel="1">
      <c r="A2648" s="1">
        <v>7.0</v>
      </c>
      <c r="B2648" s="26" t="s">
        <v>866</v>
      </c>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
      </c>
      <c r="N2648" s="1" t="s">
        <v>29</v>
      </c>
      <c r="O2648" s="1"/>
      <c r="P2648" s="11"/>
      <c r="Q2648" s="11"/>
      <c r="R2648" s="11"/>
      <c r="S2648" s="11"/>
      <c r="T2648" s="1"/>
      <c r="U2648" s="1"/>
      <c r="V2648" s="1"/>
      <c r="W2648" s="1"/>
      <c r="X2648" s="1"/>
      <c r="Y2648" s="1"/>
      <c r="Z2648" s="1"/>
    </row>
    <row r="2649" ht="18.0" hidden="1" customHeight="1" outlineLevel="1">
      <c r="A2649" s="1">
        <v>8.0</v>
      </c>
      <c r="B2649" s="1"/>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存在しない</v>
      </c>
      <c r="N2649" s="1" t="s">
        <v>29</v>
      </c>
      <c r="O2649" s="1"/>
      <c r="P2649" s="11"/>
      <c r="Q2649" s="11"/>
      <c r="R2649" s="11"/>
      <c r="S2649" s="11"/>
      <c r="T2649" s="1"/>
      <c r="U2649" s="1"/>
      <c r="V2649" s="1"/>
      <c r="W2649" s="1"/>
      <c r="X2649" s="1"/>
      <c r="Y2649" s="1"/>
      <c r="Z2649" s="1"/>
    </row>
    <row r="2650" ht="18.0" hidden="1" customHeight="1" outlineLevel="1">
      <c r="A2650" s="1">
        <v>9.0</v>
      </c>
      <c r="B2650" s="26" t="s">
        <v>797</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hidden="1" customHeight="1" outlineLevel="1">
      <c r="A2651" s="26">
        <v>10.0</v>
      </c>
      <c r="B2651" s="26" t="s">
        <v>202</v>
      </c>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
      </c>
      <c r="N2651" s="1" t="s">
        <v>29</v>
      </c>
      <c r="O2651" s="1"/>
      <c r="P2651" s="11"/>
      <c r="Q2651" s="11"/>
      <c r="R2651" s="11"/>
      <c r="S2651" s="11"/>
      <c r="T2651" s="1"/>
      <c r="U2651" s="1"/>
      <c r="V2651" s="1"/>
      <c r="W2651" s="1"/>
      <c r="X2651" s="1"/>
      <c r="Y2651" s="1"/>
      <c r="Z2651" s="1"/>
    </row>
    <row r="2652" ht="18.0" customHeight="1" collapsed="1">
      <c r="A2652" s="1"/>
      <c r="B2652" s="1"/>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customHeight="1">
      <c r="A2653" s="1"/>
      <c r="B2653" s="26" t="s">
        <v>2454</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存在しない</v>
      </c>
      <c r="N2653" s="1" t="s">
        <v>29</v>
      </c>
      <c r="O2653" s="1"/>
      <c r="P2653" s="11"/>
      <c r="Q2653" s="11"/>
      <c r="R2653" s="11"/>
      <c r="S2653" s="11"/>
      <c r="T2653" s="1"/>
      <c r="U2653" s="1"/>
      <c r="V2653" s="1"/>
      <c r="W2653" s="1"/>
      <c r="X2653" s="1"/>
      <c r="Y2653" s="1"/>
      <c r="Z2653" s="1"/>
    </row>
    <row r="2654" ht="18.0" hidden="1" customHeight="1" outlineLevel="1">
      <c r="A2654" s="26">
        <v>1.0</v>
      </c>
      <c r="B2654" s="26" t="s">
        <v>182</v>
      </c>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
      </c>
      <c r="N2654" s="1" t="s">
        <v>29</v>
      </c>
      <c r="O2654" s="1"/>
      <c r="P2654" s="11"/>
      <c r="Q2654" s="11"/>
      <c r="R2654" s="11"/>
      <c r="S2654" s="11"/>
      <c r="T2654" s="1"/>
      <c r="U2654" s="1"/>
      <c r="V2654" s="1"/>
      <c r="W2654" s="1"/>
      <c r="X2654" s="1"/>
      <c r="Y2654" s="1"/>
      <c r="Z2654" s="1"/>
    </row>
    <row r="2655" ht="18.0" hidden="1" customHeight="1" outlineLevel="1">
      <c r="A2655" s="26">
        <v>2.0</v>
      </c>
      <c r="B2655" s="1"/>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存在しない</v>
      </c>
      <c r="N2655" s="1" t="s">
        <v>29</v>
      </c>
      <c r="O2655" s="1"/>
      <c r="P2655" s="11"/>
      <c r="Q2655" s="11"/>
      <c r="R2655" s="11"/>
      <c r="S2655" s="11"/>
      <c r="T2655" s="1"/>
      <c r="U2655" s="1"/>
      <c r="V2655" s="1"/>
      <c r="W2655" s="1"/>
      <c r="X2655" s="1"/>
      <c r="Y2655" s="1"/>
      <c r="Z2655" s="1"/>
    </row>
    <row r="2656" ht="18.0" hidden="1" customHeight="1" outlineLevel="1">
      <c r="A2656" s="26">
        <v>3.0</v>
      </c>
      <c r="B2656" s="26" t="s">
        <v>2182</v>
      </c>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
      </c>
      <c r="N2656" s="1" t="s">
        <v>29</v>
      </c>
      <c r="O2656" s="1"/>
      <c r="P2656" s="11"/>
      <c r="Q2656" s="11"/>
      <c r="R2656" s="11"/>
      <c r="S2656" s="11"/>
      <c r="T2656" s="1"/>
      <c r="U2656" s="1"/>
      <c r="V2656" s="1"/>
      <c r="W2656" s="1"/>
      <c r="X2656" s="1"/>
      <c r="Y2656" s="1"/>
      <c r="Z2656" s="1"/>
    </row>
    <row r="2657" ht="18.0" hidden="1" customHeight="1" outlineLevel="1">
      <c r="A2657" s="26">
        <v>4.0</v>
      </c>
      <c r="B2657" s="1"/>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存在しない</v>
      </c>
      <c r="N2657" s="1" t="s">
        <v>29</v>
      </c>
      <c r="O2657" s="1"/>
      <c r="P2657" s="11"/>
      <c r="Q2657" s="11"/>
      <c r="R2657" s="11"/>
      <c r="S2657" s="11"/>
      <c r="T2657" s="1"/>
      <c r="U2657" s="1"/>
      <c r="V2657" s="1"/>
      <c r="W2657" s="1"/>
      <c r="X2657" s="1"/>
      <c r="Y2657" s="1"/>
      <c r="Z2657" s="1"/>
    </row>
    <row r="2658" ht="18.0" hidden="1" customHeight="1" outlineLevel="1">
      <c r="A2658" s="26">
        <v>5.0</v>
      </c>
      <c r="B2658" s="26" t="s">
        <v>202</v>
      </c>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
      </c>
      <c r="N2658" s="1" t="s">
        <v>29</v>
      </c>
      <c r="O2658" s="1"/>
      <c r="P2658" s="11"/>
      <c r="Q2658" s="11"/>
      <c r="R2658" s="11"/>
      <c r="S2658" s="11"/>
      <c r="T2658" s="1"/>
      <c r="U2658" s="1"/>
      <c r="V2658" s="1"/>
      <c r="W2658" s="1"/>
      <c r="X2658" s="1"/>
      <c r="Y2658" s="1"/>
      <c r="Z2658" s="1"/>
    </row>
    <row r="2659" ht="18.0" hidden="1" customHeight="1" outlineLevel="1">
      <c r="A2659" s="26">
        <v>6.0</v>
      </c>
      <c r="B2659" s="1"/>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存在しない</v>
      </c>
      <c r="N2659" s="1" t="s">
        <v>29</v>
      </c>
      <c r="O2659" s="1"/>
      <c r="P2659" s="11"/>
      <c r="Q2659" s="11"/>
      <c r="R2659" s="11"/>
      <c r="S2659" s="11"/>
      <c r="T2659" s="1"/>
      <c r="U2659" s="1"/>
      <c r="V2659" s="1"/>
      <c r="W2659" s="1"/>
      <c r="X2659" s="1"/>
      <c r="Y2659" s="1"/>
      <c r="Z2659" s="1"/>
    </row>
    <row r="2660" ht="18.0" hidden="1" customHeight="1" outlineLevel="1">
      <c r="A2660" s="26">
        <v>7.0</v>
      </c>
      <c r="B2660" s="26" t="s">
        <v>2192</v>
      </c>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
      </c>
      <c r="N2660" s="1" t="s">
        <v>29</v>
      </c>
      <c r="O2660" s="1"/>
      <c r="P2660" s="11"/>
      <c r="Q2660" s="11"/>
      <c r="R2660" s="11"/>
      <c r="S2660" s="11"/>
      <c r="T2660" s="1"/>
      <c r="U2660" s="1"/>
      <c r="V2660" s="1"/>
      <c r="W2660" s="1"/>
      <c r="X2660" s="1"/>
      <c r="Y2660" s="1"/>
      <c r="Z2660" s="1"/>
    </row>
    <row r="2661" ht="18.0" hidden="1" customHeight="1" outlineLevel="1">
      <c r="A2661" s="26">
        <v>8.0</v>
      </c>
      <c r="B2661" s="1"/>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存在しない</v>
      </c>
      <c r="N2661" s="1" t="s">
        <v>29</v>
      </c>
      <c r="O2661" s="1"/>
      <c r="P2661" s="11"/>
      <c r="Q2661" s="11"/>
      <c r="R2661" s="11"/>
      <c r="S2661" s="11"/>
      <c r="T2661" s="1"/>
      <c r="U2661" s="1"/>
      <c r="V2661" s="1"/>
      <c r="W2661" s="1"/>
      <c r="X2661" s="1"/>
      <c r="Y2661" s="1"/>
      <c r="Z2661" s="1"/>
    </row>
    <row r="2662" ht="18.0" hidden="1" customHeight="1" outlineLevel="1">
      <c r="A2662" s="26">
        <v>9.0</v>
      </c>
      <c r="B2662" s="26" t="s">
        <v>217</v>
      </c>
      <c r="C2662" s="1"/>
      <c r="D2662" s="1"/>
      <c r="E2662" s="14"/>
      <c r="F2662" s="15"/>
      <c r="G2662" s="16"/>
      <c r="H2662" s="11"/>
      <c r="I2662" s="7"/>
      <c r="J2662" s="7" t="str">
        <f>IFERROR(LET(_xlpm.v,
VLOOKUP($I2662,'用語辞書'!$A:$B,COLUMN('用語辞書'!B$1),FALSE),
IF(_xlpm.v=0,"",_xlpm.v)
),"")</f>
        <v/>
      </c>
      <c r="K2662" s="17"/>
      <c r="L2662" s="17" t="str">
        <f>IF(OR(COUNTIF('クラス'!$A$1:$A$1267,$B2662)&gt;0,$B2662="",$M2662=""),"",True)</f>
        <v/>
      </c>
      <c r="M2662" s="1" t="str">
        <f t="shared" si="30"/>
        <v/>
      </c>
      <c r="N2662" s="1" t="s">
        <v>29</v>
      </c>
      <c r="O2662" s="1"/>
      <c r="P2662" s="11"/>
      <c r="Q2662" s="11"/>
      <c r="R2662" s="11"/>
      <c r="S2662" s="11"/>
      <c r="T2662" s="1"/>
      <c r="U2662" s="1"/>
      <c r="V2662" s="1"/>
      <c r="W2662" s="1"/>
      <c r="X2662" s="1"/>
      <c r="Y2662" s="1"/>
      <c r="Z2662" s="1"/>
    </row>
    <row r="2663" ht="18.0" hidden="1" customHeight="1" outlineLevel="1">
      <c r="A2663" s="26">
        <v>10.0</v>
      </c>
      <c r="B2663" s="26" t="s">
        <v>2455</v>
      </c>
      <c r="C2663" s="26" t="s">
        <v>29</v>
      </c>
      <c r="D2663" s="26" t="s">
        <v>1179</v>
      </c>
      <c r="E2663" s="29" t="s">
        <v>55</v>
      </c>
      <c r="F2663" s="34" t="s">
        <v>29</v>
      </c>
      <c r="G2663" s="30" t="s">
        <v>29</v>
      </c>
      <c r="H2663" s="22" t="s">
        <v>2456</v>
      </c>
      <c r="I2663" s="7"/>
      <c r="J2663" s="7" t="str">
        <f>IFERROR(LET(_xlpm.v,
VLOOKUP($I2663,'用語辞書'!$A:$B,COLUMN('用語辞書'!B$1),FALSE),
IF(_xlpm.v=0,"",_xlpm.v)
),"")</f>
        <v/>
      </c>
      <c r="K2663" s="17"/>
      <c r="L2663" s="17" t="b">
        <f>IF(OR(COUNTIF('クラス'!$A$1:$A$1267,$B2663)&gt;0,$B2663="",$M2663=""),"",True)</f>
        <v>1</v>
      </c>
      <c r="M2663" s="1" t="str">
        <f t="shared" si="30"/>
        <v>存在しない</v>
      </c>
      <c r="N2663" s="1" t="s">
        <v>29</v>
      </c>
      <c r="O2663" s="1"/>
      <c r="P2663" s="11"/>
      <c r="Q2663" s="11"/>
      <c r="R2663" s="11"/>
      <c r="S2663" s="11"/>
      <c r="T2663" s="1"/>
      <c r="U2663" s="1"/>
      <c r="V2663" s="1"/>
      <c r="W2663" s="1"/>
      <c r="X2663" s="1"/>
      <c r="Y2663" s="1"/>
      <c r="Z2663" s="1"/>
    </row>
    <row r="2664" ht="18.0" customHeight="1" collapsed="1">
      <c r="A2664" s="1"/>
      <c r="B2664" s="1"/>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customHeight="1">
      <c r="A2665" s="1"/>
      <c r="B2665" s="26" t="s">
        <v>2457</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存在しない</v>
      </c>
      <c r="N2665" s="1" t="s">
        <v>29</v>
      </c>
      <c r="O2665" s="1"/>
      <c r="P2665" s="11"/>
      <c r="Q2665" s="11"/>
      <c r="R2665" s="11"/>
      <c r="S2665" s="11"/>
      <c r="T2665" s="1"/>
      <c r="U2665" s="1"/>
      <c r="V2665" s="1"/>
      <c r="W2665" s="1"/>
      <c r="X2665" s="1"/>
      <c r="Y2665" s="1"/>
      <c r="Z2665" s="1"/>
    </row>
    <row r="2666" ht="18.0" hidden="1" customHeight="1" outlineLevel="1">
      <c r="A2666" s="26">
        <v>1.0</v>
      </c>
      <c r="B2666" s="26" t="s">
        <v>188</v>
      </c>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
      </c>
      <c r="N2666" s="1" t="s">
        <v>29</v>
      </c>
      <c r="O2666" s="1"/>
      <c r="P2666" s="11"/>
      <c r="Q2666" s="11"/>
      <c r="R2666" s="11"/>
      <c r="S2666" s="11"/>
      <c r="T2666" s="1"/>
      <c r="U2666" s="1"/>
      <c r="V2666" s="1"/>
      <c r="W2666" s="1"/>
      <c r="X2666" s="1"/>
      <c r="Y2666" s="1"/>
      <c r="Z2666" s="1"/>
    </row>
    <row r="2667" ht="18.0" hidden="1" customHeight="1" outlineLevel="1">
      <c r="A2667" s="26">
        <v>2.0</v>
      </c>
      <c r="B2667" s="1"/>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存在しない</v>
      </c>
      <c r="N2667" s="1" t="s">
        <v>29</v>
      </c>
      <c r="O2667" s="1"/>
      <c r="P2667" s="11"/>
      <c r="Q2667" s="11"/>
      <c r="R2667" s="11"/>
      <c r="S2667" s="11"/>
      <c r="T2667" s="1"/>
      <c r="U2667" s="1"/>
      <c r="V2667" s="1"/>
      <c r="W2667" s="1"/>
      <c r="X2667" s="1"/>
      <c r="Y2667" s="1"/>
      <c r="Z2667" s="1"/>
    </row>
    <row r="2668" ht="18.0" hidden="1" customHeight="1" outlineLevel="1">
      <c r="A2668" s="26">
        <v>3.0</v>
      </c>
      <c r="B2668" s="26" t="s">
        <v>194</v>
      </c>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
      </c>
      <c r="N2668" s="1" t="s">
        <v>29</v>
      </c>
      <c r="O2668" s="1"/>
      <c r="P2668" s="11"/>
      <c r="Q2668" s="11"/>
      <c r="R2668" s="11"/>
      <c r="S2668" s="11"/>
      <c r="T2668" s="1"/>
      <c r="U2668" s="1"/>
      <c r="V2668" s="1"/>
      <c r="W2668" s="1"/>
      <c r="X2668" s="1"/>
      <c r="Y2668" s="1"/>
      <c r="Z2668" s="1"/>
    </row>
    <row r="2669" ht="18.0" hidden="1" customHeight="1" outlineLevel="1">
      <c r="A2669" s="26">
        <v>4.0</v>
      </c>
      <c r="B2669" s="1"/>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存在しない</v>
      </c>
      <c r="N2669" s="1" t="s">
        <v>29</v>
      </c>
      <c r="O2669" s="1"/>
      <c r="P2669" s="11"/>
      <c r="Q2669" s="11"/>
      <c r="R2669" s="11"/>
      <c r="S2669" s="11"/>
      <c r="T2669" s="1"/>
      <c r="U2669" s="1"/>
      <c r="V2669" s="1"/>
      <c r="W2669" s="1"/>
      <c r="X2669" s="1"/>
      <c r="Y2669" s="1"/>
      <c r="Z2669" s="1"/>
    </row>
    <row r="2670" ht="18.0" hidden="1" customHeight="1" outlineLevel="1">
      <c r="A2670" s="26">
        <v>5.0</v>
      </c>
      <c r="B2670" s="26" t="s">
        <v>788</v>
      </c>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
      </c>
      <c r="N2670" s="1" t="s">
        <v>29</v>
      </c>
      <c r="O2670" s="1"/>
      <c r="P2670" s="11"/>
      <c r="Q2670" s="11"/>
      <c r="R2670" s="11"/>
      <c r="S2670" s="11"/>
      <c r="T2670" s="1"/>
      <c r="U2670" s="1"/>
      <c r="V2670" s="1"/>
      <c r="W2670" s="1"/>
      <c r="X2670" s="1"/>
      <c r="Y2670" s="1"/>
      <c r="Z2670" s="1"/>
    </row>
    <row r="2671" ht="18.0" hidden="1" customHeight="1" outlineLevel="1">
      <c r="A2671" s="26">
        <v>6.0</v>
      </c>
      <c r="B2671" s="1"/>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存在しない</v>
      </c>
      <c r="N2671" s="1" t="s">
        <v>29</v>
      </c>
      <c r="O2671" s="1"/>
      <c r="P2671" s="11"/>
      <c r="Q2671" s="11"/>
      <c r="R2671" s="11"/>
      <c r="S2671" s="11"/>
      <c r="T2671" s="1"/>
      <c r="U2671" s="1"/>
      <c r="V2671" s="1"/>
      <c r="W2671" s="1"/>
      <c r="X2671" s="1"/>
      <c r="Y2671" s="1"/>
      <c r="Z2671" s="1"/>
    </row>
    <row r="2672" ht="18.0" hidden="1" customHeight="1" outlineLevel="1">
      <c r="A2672" s="26">
        <v>7.0</v>
      </c>
      <c r="B2672" s="26" t="s">
        <v>199</v>
      </c>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
      </c>
      <c r="N2672" s="1" t="s">
        <v>29</v>
      </c>
      <c r="O2672" s="1"/>
      <c r="P2672" s="11"/>
      <c r="Q2672" s="11"/>
      <c r="R2672" s="11"/>
      <c r="S2672" s="11"/>
      <c r="T2672" s="1"/>
      <c r="U2672" s="1"/>
      <c r="V2672" s="1"/>
      <c r="W2672" s="1"/>
      <c r="X2672" s="1"/>
      <c r="Y2672" s="1"/>
      <c r="Z2672" s="1"/>
    </row>
    <row r="2673" ht="18.0" hidden="1" customHeight="1" outlineLevel="1">
      <c r="A2673" s="26">
        <v>8.0</v>
      </c>
      <c r="B2673" s="1"/>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存在しない</v>
      </c>
      <c r="N2673" s="1" t="s">
        <v>29</v>
      </c>
      <c r="O2673" s="1"/>
      <c r="P2673" s="11"/>
      <c r="Q2673" s="11"/>
      <c r="R2673" s="11"/>
      <c r="S2673" s="11"/>
      <c r="T2673" s="1"/>
      <c r="U2673" s="1"/>
      <c r="V2673" s="1"/>
      <c r="W2673" s="1"/>
      <c r="X2673" s="1"/>
      <c r="Y2673" s="1"/>
      <c r="Z2673" s="1"/>
    </row>
    <row r="2674" ht="18.0" hidden="1" customHeight="1" outlineLevel="1">
      <c r="A2674" s="26">
        <v>9.0</v>
      </c>
      <c r="B2674" s="26" t="s">
        <v>143</v>
      </c>
      <c r="C2674" s="1"/>
      <c r="D2674" s="1"/>
      <c r="E2674" s="14"/>
      <c r="F2674" s="15"/>
      <c r="G2674" s="16"/>
      <c r="H2674" s="11"/>
      <c r="I2674" s="7"/>
      <c r="J2674" s="7" t="str">
        <f>IFERROR(LET(_xlpm.v,
VLOOKUP($I2674,'用語辞書'!$A:$B,COLUMN('用語辞書'!B$1),FALSE),
IF(_xlpm.v=0,"",_xlpm.v)
),"")</f>
        <v/>
      </c>
      <c r="K2674" s="17"/>
      <c r="L2674" s="17" t="str">
        <f>IF(OR(COUNTIF('クラス'!$A$1:$A$1267,$B2674)&gt;0,$B2674="",$M2674=""),"",True)</f>
        <v/>
      </c>
      <c r="M2674" s="1" t="str">
        <f t="shared" si="30"/>
        <v/>
      </c>
      <c r="N2674" s="1" t="s">
        <v>29</v>
      </c>
      <c r="O2674" s="1"/>
      <c r="P2674" s="11"/>
      <c r="Q2674" s="11"/>
      <c r="R2674" s="11"/>
      <c r="S2674" s="11"/>
      <c r="T2674" s="1"/>
      <c r="U2674" s="1"/>
      <c r="V2674" s="1"/>
      <c r="W2674" s="1"/>
      <c r="X2674" s="1"/>
      <c r="Y2674" s="1"/>
      <c r="Z2674" s="1"/>
    </row>
    <row r="2675" ht="18.0" hidden="1" customHeight="1" outlineLevel="1">
      <c r="A2675" s="26">
        <v>10.0</v>
      </c>
      <c r="B2675" s="26" t="s">
        <v>2458</v>
      </c>
      <c r="C2675" s="26" t="s">
        <v>29</v>
      </c>
      <c r="D2675" s="26" t="s">
        <v>1179</v>
      </c>
      <c r="E2675" s="29" t="s">
        <v>33</v>
      </c>
      <c r="F2675" s="34" t="s">
        <v>29</v>
      </c>
      <c r="G2675" s="30">
        <v>60.0</v>
      </c>
      <c r="H2675" s="22" t="s">
        <v>2459</v>
      </c>
      <c r="I2675" s="7"/>
      <c r="J2675" s="7" t="str">
        <f>IFERROR(LET(_xlpm.v,
VLOOKUP($I2675,'用語辞書'!$A:$B,COLUMN('用語辞書'!B$1),FALSE),
IF(_xlpm.v=0,"",_xlpm.v)
),"")</f>
        <v/>
      </c>
      <c r="K2675" s="17"/>
      <c r="L2675" s="17" t="b">
        <f>IF(OR(COUNTIF('クラス'!$A$1:$A$1267,$B2675)&gt;0,$B2675="",$M2675=""),"",True)</f>
        <v>1</v>
      </c>
      <c r="M2675" s="1" t="str">
        <f t="shared" si="30"/>
        <v>存在しない</v>
      </c>
      <c r="N2675" s="1" t="s">
        <v>29</v>
      </c>
      <c r="O2675" s="1"/>
      <c r="P2675" s="11"/>
      <c r="Q2675" s="11"/>
      <c r="R2675" s="11"/>
      <c r="S2675" s="11"/>
      <c r="T2675" s="1"/>
      <c r="U2675" s="1"/>
      <c r="V2675" s="1"/>
      <c r="W2675" s="1"/>
      <c r="X2675" s="1"/>
      <c r="Y2675" s="1"/>
      <c r="Z2675" s="1"/>
    </row>
    <row r="2676" ht="18.0" customHeight="1" collapsed="1">
      <c r="A2676" s="1"/>
      <c r="B2676" s="1"/>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customHeight="1">
      <c r="A2677" s="1"/>
      <c r="B2677" s="26" t="s">
        <v>2460</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存在しない</v>
      </c>
      <c r="N2677" s="1" t="s">
        <v>29</v>
      </c>
      <c r="O2677" s="1"/>
      <c r="P2677" s="11"/>
      <c r="Q2677" s="11"/>
      <c r="R2677" s="11"/>
      <c r="S2677" s="11"/>
      <c r="T2677" s="1"/>
      <c r="U2677" s="1"/>
      <c r="V2677" s="1"/>
      <c r="W2677" s="1"/>
      <c r="X2677" s="1"/>
      <c r="Y2677" s="1"/>
      <c r="Z2677" s="1"/>
    </row>
    <row r="2678" ht="18.0" hidden="1" customHeight="1" outlineLevel="1">
      <c r="A2678" s="26">
        <v>1.0</v>
      </c>
      <c r="B2678" s="26" t="s">
        <v>857</v>
      </c>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
      </c>
      <c r="N2678" s="1" t="s">
        <v>29</v>
      </c>
      <c r="O2678" s="1"/>
      <c r="P2678" s="11"/>
      <c r="Q2678" s="11"/>
      <c r="R2678" s="11"/>
      <c r="S2678" s="11"/>
      <c r="T2678" s="1"/>
      <c r="U2678" s="1"/>
      <c r="V2678" s="1"/>
      <c r="W2678" s="1"/>
      <c r="X2678" s="1"/>
      <c r="Y2678" s="1"/>
      <c r="Z2678" s="1"/>
    </row>
    <row r="2679" ht="18.0" hidden="1" customHeight="1" outlineLevel="1">
      <c r="A2679" s="26">
        <v>2.0</v>
      </c>
      <c r="B2679" s="1"/>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存在しない</v>
      </c>
      <c r="N2679" s="1" t="s">
        <v>29</v>
      </c>
      <c r="O2679" s="1"/>
      <c r="P2679" s="11"/>
      <c r="Q2679" s="11"/>
      <c r="R2679" s="11"/>
      <c r="S2679" s="11"/>
      <c r="T2679" s="1"/>
      <c r="U2679" s="1"/>
      <c r="V2679" s="1"/>
      <c r="W2679" s="1"/>
      <c r="X2679" s="1"/>
      <c r="Y2679" s="1"/>
      <c r="Z2679" s="1"/>
    </row>
    <row r="2680" ht="18.0" hidden="1" customHeight="1" outlineLevel="1">
      <c r="A2680" s="26">
        <v>3.0</v>
      </c>
      <c r="B2680" s="26" t="s">
        <v>860</v>
      </c>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
      </c>
      <c r="N2680" s="1" t="s">
        <v>29</v>
      </c>
      <c r="O2680" s="1"/>
      <c r="P2680" s="11"/>
      <c r="Q2680" s="11"/>
      <c r="R2680" s="11"/>
      <c r="S2680" s="11"/>
      <c r="T2680" s="1"/>
      <c r="U2680" s="1"/>
      <c r="V2680" s="1"/>
      <c r="W2680" s="1"/>
      <c r="X2680" s="1"/>
      <c r="Y2680" s="1"/>
      <c r="Z2680" s="1"/>
    </row>
    <row r="2681" ht="18.0" hidden="1" customHeight="1" outlineLevel="1">
      <c r="A2681" s="26">
        <v>4.0</v>
      </c>
      <c r="B2681" s="1"/>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存在しない</v>
      </c>
      <c r="N2681" s="1" t="s">
        <v>29</v>
      </c>
      <c r="O2681" s="1"/>
      <c r="P2681" s="11"/>
      <c r="Q2681" s="11"/>
      <c r="R2681" s="11"/>
      <c r="S2681" s="11"/>
      <c r="T2681" s="1"/>
      <c r="U2681" s="1"/>
      <c r="V2681" s="1"/>
      <c r="W2681" s="1"/>
      <c r="X2681" s="1"/>
      <c r="Y2681" s="1"/>
      <c r="Z2681" s="1"/>
    </row>
    <row r="2682" ht="18.0" hidden="1" customHeight="1" outlineLevel="1">
      <c r="A2682" s="26">
        <v>5.0</v>
      </c>
      <c r="B2682" s="26" t="s">
        <v>851</v>
      </c>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
      </c>
      <c r="N2682" s="1" t="s">
        <v>29</v>
      </c>
      <c r="O2682" s="1"/>
      <c r="P2682" s="11"/>
      <c r="Q2682" s="11"/>
      <c r="R2682" s="11"/>
      <c r="S2682" s="11"/>
      <c r="T2682" s="1"/>
      <c r="U2682" s="1"/>
      <c r="V2682" s="1"/>
      <c r="W2682" s="1"/>
      <c r="X2682" s="1"/>
      <c r="Y2682" s="1"/>
      <c r="Z2682" s="1"/>
    </row>
    <row r="2683" ht="18.0" hidden="1" customHeight="1" outlineLevel="1">
      <c r="A2683" s="26">
        <v>6.0</v>
      </c>
      <c r="B2683" s="1"/>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存在しない</v>
      </c>
      <c r="N2683" s="1" t="s">
        <v>29</v>
      </c>
      <c r="O2683" s="1"/>
      <c r="P2683" s="11"/>
      <c r="Q2683" s="11"/>
      <c r="R2683" s="11"/>
      <c r="S2683" s="11"/>
      <c r="T2683" s="1"/>
      <c r="U2683" s="1"/>
      <c r="V2683" s="1"/>
      <c r="W2683" s="1"/>
      <c r="X2683" s="1"/>
      <c r="Y2683" s="1"/>
      <c r="Z2683" s="1"/>
    </row>
    <row r="2684" ht="18.0" hidden="1" customHeight="1" outlineLevel="1">
      <c r="A2684" s="26">
        <v>7.0</v>
      </c>
      <c r="B2684" s="26" t="s">
        <v>876</v>
      </c>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
      </c>
      <c r="N2684" s="1" t="s">
        <v>29</v>
      </c>
      <c r="O2684" s="1"/>
      <c r="P2684" s="11"/>
      <c r="Q2684" s="11"/>
      <c r="R2684" s="11"/>
      <c r="S2684" s="11"/>
      <c r="T2684" s="1"/>
      <c r="U2684" s="1"/>
      <c r="V2684" s="1"/>
      <c r="W2684" s="1"/>
      <c r="X2684" s="1"/>
      <c r="Y2684" s="1"/>
      <c r="Z2684" s="1"/>
    </row>
    <row r="2685" ht="18.0" hidden="1" customHeight="1" outlineLevel="1">
      <c r="A2685" s="26">
        <v>8.0</v>
      </c>
      <c r="B2685" s="1"/>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存在しない</v>
      </c>
      <c r="N2685" s="1" t="s">
        <v>29</v>
      </c>
      <c r="O2685" s="1"/>
      <c r="P2685" s="11"/>
      <c r="Q2685" s="11"/>
      <c r="R2685" s="11"/>
      <c r="S2685" s="11"/>
      <c r="T2685" s="1"/>
      <c r="U2685" s="1"/>
      <c r="V2685" s="1"/>
      <c r="W2685" s="1"/>
      <c r="X2685" s="1"/>
      <c r="Y2685" s="1"/>
      <c r="Z2685" s="1"/>
    </row>
    <row r="2686" ht="18.0" hidden="1" customHeight="1" outlineLevel="1">
      <c r="A2686" s="26">
        <v>9.0</v>
      </c>
      <c r="B2686" s="26" t="s">
        <v>873</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hidden="1" customHeight="1" outlineLevel="1">
      <c r="A2687" s="26">
        <v>10.0</v>
      </c>
      <c r="B2687" s="26" t="s">
        <v>892</v>
      </c>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
      </c>
      <c r="N2687" s="1" t="s">
        <v>29</v>
      </c>
      <c r="O2687" s="1"/>
      <c r="P2687" s="11"/>
      <c r="Q2687" s="11"/>
      <c r="R2687" s="11"/>
      <c r="S2687" s="11"/>
      <c r="T2687" s="1"/>
      <c r="U2687" s="1"/>
      <c r="V2687" s="1"/>
      <c r="W2687" s="1"/>
      <c r="X2687" s="1"/>
      <c r="Y2687" s="1"/>
      <c r="Z2687" s="1"/>
    </row>
    <row r="2688" ht="18.0" customHeight="1" collapsed="1">
      <c r="A2688" s="1"/>
      <c r="B2688" s="1"/>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customHeight="1">
      <c r="A2689" s="1"/>
      <c r="B2689" s="26" t="s">
        <v>2461</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存在しない</v>
      </c>
      <c r="N2689" s="1" t="s">
        <v>29</v>
      </c>
      <c r="O2689" s="1"/>
      <c r="P2689" s="11"/>
      <c r="Q2689" s="11"/>
      <c r="R2689" s="11"/>
      <c r="S2689" s="11"/>
      <c r="T2689" s="1"/>
      <c r="U2689" s="1"/>
      <c r="V2689" s="1"/>
      <c r="W2689" s="1"/>
      <c r="X2689" s="1"/>
      <c r="Y2689" s="1"/>
      <c r="Z2689" s="1"/>
    </row>
    <row r="2690" ht="18.0" hidden="1" customHeight="1" outlineLevel="1">
      <c r="A2690" s="26">
        <v>1.0</v>
      </c>
      <c r="B2690" s="26" t="s">
        <v>188</v>
      </c>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
      </c>
      <c r="N2690" s="1" t="s">
        <v>29</v>
      </c>
      <c r="O2690" s="1"/>
      <c r="P2690" s="11"/>
      <c r="Q2690" s="11"/>
      <c r="R2690" s="11"/>
      <c r="S2690" s="11"/>
      <c r="T2690" s="1"/>
      <c r="U2690" s="1"/>
      <c r="V2690" s="1"/>
      <c r="W2690" s="1"/>
      <c r="X2690" s="1"/>
      <c r="Y2690" s="1"/>
      <c r="Z2690" s="1"/>
    </row>
    <row r="2691" ht="18.0" hidden="1" customHeight="1" outlineLevel="1">
      <c r="A2691" s="26">
        <v>2.0</v>
      </c>
      <c r="B2691" s="1"/>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存在しない</v>
      </c>
      <c r="N2691" s="1" t="s">
        <v>29</v>
      </c>
      <c r="O2691" s="1"/>
      <c r="P2691" s="11"/>
      <c r="Q2691" s="11"/>
      <c r="R2691" s="11"/>
      <c r="S2691" s="11"/>
      <c r="T2691" s="1"/>
      <c r="U2691" s="1"/>
      <c r="V2691" s="1"/>
      <c r="W2691" s="1"/>
      <c r="X2691" s="1"/>
      <c r="Y2691" s="1"/>
      <c r="Z2691" s="1"/>
    </row>
    <row r="2692" ht="18.0" hidden="1" customHeight="1" outlineLevel="1">
      <c r="A2692" s="26">
        <v>3.0</v>
      </c>
      <c r="B2692" s="26" t="s">
        <v>206</v>
      </c>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
      </c>
      <c r="N2692" s="1" t="s">
        <v>29</v>
      </c>
      <c r="O2692" s="1"/>
      <c r="P2692" s="11"/>
      <c r="Q2692" s="11"/>
      <c r="R2692" s="11"/>
      <c r="S2692" s="11"/>
      <c r="T2692" s="1"/>
      <c r="U2692" s="1"/>
      <c r="V2692" s="1"/>
      <c r="W2692" s="1"/>
      <c r="X2692" s="1"/>
      <c r="Y2692" s="1"/>
      <c r="Z2692" s="1"/>
    </row>
    <row r="2693" ht="18.0" hidden="1" customHeight="1" outlineLevel="1">
      <c r="A2693" s="26">
        <v>4.0</v>
      </c>
      <c r="B2693" s="1"/>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存在しない</v>
      </c>
      <c r="N2693" s="1" t="s">
        <v>29</v>
      </c>
      <c r="O2693" s="1"/>
      <c r="P2693" s="11"/>
      <c r="Q2693" s="11"/>
      <c r="R2693" s="11"/>
      <c r="S2693" s="11"/>
      <c r="T2693" s="1"/>
      <c r="U2693" s="1"/>
      <c r="V2693" s="1"/>
      <c r="W2693" s="1"/>
      <c r="X2693" s="1"/>
      <c r="Y2693" s="1"/>
      <c r="Z2693" s="1"/>
    </row>
    <row r="2694" ht="18.0" hidden="1" customHeight="1" outlineLevel="1">
      <c r="A2694" s="26">
        <v>5.0</v>
      </c>
      <c r="B2694" s="26" t="s">
        <v>208</v>
      </c>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
      </c>
      <c r="N2694" s="1" t="s">
        <v>29</v>
      </c>
      <c r="O2694" s="1"/>
      <c r="P2694" s="11"/>
      <c r="Q2694" s="11"/>
      <c r="R2694" s="11"/>
      <c r="S2694" s="11"/>
      <c r="T2694" s="1"/>
      <c r="U2694" s="1"/>
      <c r="V2694" s="1"/>
      <c r="W2694" s="1"/>
      <c r="X2694" s="1"/>
      <c r="Y2694" s="1"/>
      <c r="Z2694" s="1"/>
    </row>
    <row r="2695" ht="18.0" hidden="1" customHeight="1" outlineLevel="1">
      <c r="A2695" s="26">
        <v>6.0</v>
      </c>
      <c r="B2695" s="1"/>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存在しない</v>
      </c>
      <c r="N2695" s="1" t="s">
        <v>29</v>
      </c>
      <c r="O2695" s="1"/>
      <c r="P2695" s="11"/>
      <c r="Q2695" s="11"/>
      <c r="R2695" s="11"/>
      <c r="S2695" s="11"/>
      <c r="T2695" s="1"/>
      <c r="U2695" s="1"/>
      <c r="V2695" s="1"/>
      <c r="W2695" s="1"/>
      <c r="X2695" s="1"/>
      <c r="Y2695" s="1"/>
      <c r="Z2695" s="1"/>
    </row>
    <row r="2696" ht="18.0" hidden="1" customHeight="1" outlineLevel="1">
      <c r="A2696" s="26">
        <v>7.0</v>
      </c>
      <c r="B2696" s="26" t="s">
        <v>194</v>
      </c>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
      </c>
      <c r="N2696" s="1" t="s">
        <v>29</v>
      </c>
      <c r="O2696" s="1"/>
      <c r="P2696" s="11"/>
      <c r="Q2696" s="11"/>
      <c r="R2696" s="11"/>
      <c r="S2696" s="11"/>
      <c r="T2696" s="1"/>
      <c r="U2696" s="1"/>
      <c r="V2696" s="1"/>
      <c r="W2696" s="1"/>
      <c r="X2696" s="1"/>
      <c r="Y2696" s="1"/>
      <c r="Z2696" s="1"/>
    </row>
    <row r="2697" ht="18.0" hidden="1" customHeight="1" outlineLevel="1">
      <c r="A2697" s="26">
        <v>8.0</v>
      </c>
      <c r="B2697" s="1"/>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存在しない</v>
      </c>
      <c r="N2697" s="1" t="s">
        <v>29</v>
      </c>
      <c r="O2697" s="1"/>
      <c r="P2697" s="11"/>
      <c r="Q2697" s="11"/>
      <c r="R2697" s="11"/>
      <c r="S2697" s="11"/>
      <c r="T2697" s="1"/>
      <c r="U2697" s="1"/>
      <c r="V2697" s="1"/>
      <c r="W2697" s="1"/>
      <c r="X2697" s="1"/>
      <c r="Y2697" s="1"/>
      <c r="Z2697" s="1"/>
    </row>
    <row r="2698" ht="18.0" hidden="1" customHeight="1" outlineLevel="1">
      <c r="A2698" s="26">
        <v>9.0</v>
      </c>
      <c r="B2698" s="26" t="s">
        <v>143</v>
      </c>
      <c r="C2698" s="1"/>
      <c r="D2698" s="1"/>
      <c r="E2698" s="14"/>
      <c r="F2698" s="15"/>
      <c r="G2698" s="16"/>
      <c r="H2698" s="11"/>
      <c r="I2698" s="7"/>
      <c r="J2698" s="7" t="str">
        <f>IFERROR(LET(_xlpm.v,
VLOOKUP($I2698,'用語辞書'!$A:$B,COLUMN('用語辞書'!B$1),FALSE),
IF(_xlpm.v=0,"",_xlpm.v)
),"")</f>
        <v/>
      </c>
      <c r="K2698" s="17"/>
      <c r="L2698" s="17" t="str">
        <f>IF(OR(COUNTIF('クラス'!$A$1:$A$1267,$B2698)&gt;0,$B2698="",$M2698=""),"",True)</f>
        <v/>
      </c>
      <c r="M2698" s="1" t="str">
        <f t="shared" si="30"/>
        <v/>
      </c>
      <c r="N2698" s="1" t="s">
        <v>29</v>
      </c>
      <c r="O2698" s="1"/>
      <c r="P2698" s="11"/>
      <c r="Q2698" s="11"/>
      <c r="R2698" s="11"/>
      <c r="S2698" s="11"/>
      <c r="T2698" s="1"/>
      <c r="U2698" s="1"/>
      <c r="V2698" s="1"/>
      <c r="W2698" s="1"/>
      <c r="X2698" s="1"/>
      <c r="Y2698" s="1"/>
      <c r="Z2698" s="1"/>
    </row>
    <row r="2699" ht="18.0" hidden="1" customHeight="1" outlineLevel="1">
      <c r="A2699" s="26">
        <v>10.0</v>
      </c>
      <c r="B2699" s="26" t="s">
        <v>2462</v>
      </c>
      <c r="C2699" s="26" t="s">
        <v>29</v>
      </c>
      <c r="D2699" s="26" t="s">
        <v>1179</v>
      </c>
      <c r="E2699" s="29" t="s">
        <v>33</v>
      </c>
      <c r="F2699" s="34" t="s">
        <v>29</v>
      </c>
      <c r="G2699" s="30">
        <v>60.0</v>
      </c>
      <c r="H2699" s="22" t="s">
        <v>2463</v>
      </c>
      <c r="I2699" s="7"/>
      <c r="J2699" s="7" t="str">
        <f>IFERROR(LET(_xlpm.v,
VLOOKUP($I2699,'用語辞書'!$A:$B,COLUMN('用語辞書'!B$1),FALSE),
IF(_xlpm.v=0,"",_xlpm.v)
),"")</f>
        <v/>
      </c>
      <c r="K2699" s="17"/>
      <c r="L2699" s="17" t="b">
        <f>IF(OR(COUNTIF('クラス'!$A$1:$A$1267,$B2699)&gt;0,$B2699="",$M2699=""),"",True)</f>
        <v>1</v>
      </c>
      <c r="M2699" s="1" t="str">
        <f t="shared" si="30"/>
        <v>存在しない</v>
      </c>
      <c r="N2699" s="1" t="s">
        <v>29</v>
      </c>
      <c r="O2699" s="1"/>
      <c r="P2699" s="11"/>
      <c r="Q2699" s="11"/>
      <c r="R2699" s="11"/>
      <c r="S2699" s="11"/>
      <c r="T2699" s="1"/>
      <c r="U2699" s="1"/>
      <c r="V2699" s="1"/>
      <c r="W2699" s="1"/>
      <c r="X2699" s="1"/>
      <c r="Y2699" s="1"/>
      <c r="Z2699" s="1"/>
    </row>
    <row r="2700" ht="18.0" customHeight="1" collapsed="1">
      <c r="A2700" s="1"/>
      <c r="B2700" s="1"/>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customHeight="1">
      <c r="A2701" s="1"/>
      <c r="B2701" s="26" t="s">
        <v>2464</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存在しない</v>
      </c>
      <c r="N2701" s="1" t="s">
        <v>29</v>
      </c>
      <c r="O2701" s="1"/>
      <c r="P2701" s="11"/>
      <c r="Q2701" s="11"/>
      <c r="R2701" s="11"/>
      <c r="S2701" s="11"/>
      <c r="T2701" s="1"/>
      <c r="U2701" s="1"/>
      <c r="V2701" s="1"/>
      <c r="W2701" s="1"/>
      <c r="X2701" s="1"/>
      <c r="Y2701" s="1"/>
      <c r="Z2701" s="1"/>
    </row>
    <row r="2702" ht="18.0" hidden="1" customHeight="1" outlineLevel="1">
      <c r="A2702" s="26">
        <v>1.0</v>
      </c>
      <c r="B2702" s="26" t="s">
        <v>797</v>
      </c>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
      </c>
      <c r="N2702" s="1" t="s">
        <v>29</v>
      </c>
      <c r="O2702" s="1"/>
      <c r="P2702" s="11"/>
      <c r="Q2702" s="11"/>
      <c r="R2702" s="11"/>
      <c r="S2702" s="11"/>
      <c r="T2702" s="1"/>
      <c r="U2702" s="1"/>
      <c r="V2702" s="1"/>
      <c r="W2702" s="1"/>
      <c r="X2702" s="1"/>
      <c r="Y2702" s="1"/>
      <c r="Z2702" s="1"/>
    </row>
    <row r="2703" ht="18.0" hidden="1" customHeight="1" outlineLevel="1">
      <c r="A2703" s="26">
        <v>2.0</v>
      </c>
      <c r="B2703" s="1"/>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存在しない</v>
      </c>
      <c r="N2703" s="1" t="s">
        <v>29</v>
      </c>
      <c r="O2703" s="1"/>
      <c r="P2703" s="11"/>
      <c r="Q2703" s="11"/>
      <c r="R2703" s="11"/>
      <c r="S2703" s="11"/>
      <c r="T2703" s="1"/>
      <c r="U2703" s="1"/>
      <c r="V2703" s="1"/>
      <c r="W2703" s="1"/>
      <c r="X2703" s="1"/>
      <c r="Y2703" s="1"/>
      <c r="Z2703" s="1"/>
    </row>
    <row r="2704" ht="18.0" hidden="1" customHeight="1" outlineLevel="1">
      <c r="A2704" s="26">
        <v>3.0</v>
      </c>
      <c r="B2704" s="26" t="s">
        <v>817</v>
      </c>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
      </c>
      <c r="N2704" s="1" t="s">
        <v>29</v>
      </c>
      <c r="O2704" s="1"/>
      <c r="P2704" s="11"/>
      <c r="Q2704" s="11"/>
      <c r="R2704" s="11"/>
      <c r="S2704" s="11"/>
      <c r="T2704" s="1"/>
      <c r="U2704" s="1"/>
      <c r="V2704" s="1"/>
      <c r="W2704" s="1"/>
      <c r="X2704" s="1"/>
      <c r="Y2704" s="1"/>
      <c r="Z2704" s="1"/>
    </row>
    <row r="2705" ht="18.0" hidden="1" customHeight="1" outlineLevel="1">
      <c r="A2705" s="26">
        <v>4.0</v>
      </c>
      <c r="B2705" s="1"/>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存在しない</v>
      </c>
      <c r="N2705" s="1" t="s">
        <v>29</v>
      </c>
      <c r="O2705" s="1"/>
      <c r="P2705" s="11"/>
      <c r="Q2705" s="11"/>
      <c r="R2705" s="11"/>
      <c r="S2705" s="11"/>
      <c r="T2705" s="1"/>
      <c r="U2705" s="1"/>
      <c r="V2705" s="1"/>
      <c r="W2705" s="1"/>
      <c r="X2705" s="1"/>
      <c r="Y2705" s="1"/>
      <c r="Z2705" s="1"/>
    </row>
    <row r="2706" ht="18.0" hidden="1" customHeight="1" outlineLevel="1">
      <c r="A2706" s="26">
        <v>5.0</v>
      </c>
      <c r="B2706" s="26" t="s">
        <v>212</v>
      </c>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
      </c>
      <c r="N2706" s="1" t="s">
        <v>29</v>
      </c>
      <c r="O2706" s="1"/>
      <c r="P2706" s="11"/>
      <c r="Q2706" s="11"/>
      <c r="R2706" s="11"/>
      <c r="S2706" s="11"/>
      <c r="T2706" s="1"/>
      <c r="U2706" s="1"/>
      <c r="V2706" s="1"/>
      <c r="W2706" s="1"/>
      <c r="X2706" s="1"/>
      <c r="Y2706" s="1"/>
      <c r="Z2706" s="1"/>
    </row>
    <row r="2707" ht="18.0" hidden="1" customHeight="1" outlineLevel="1">
      <c r="A2707" s="26">
        <v>6.0</v>
      </c>
      <c r="B2707" s="1"/>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存在しない</v>
      </c>
      <c r="N2707" s="1" t="s">
        <v>29</v>
      </c>
      <c r="O2707" s="1"/>
      <c r="P2707" s="11"/>
      <c r="Q2707" s="11"/>
      <c r="R2707" s="11"/>
      <c r="S2707" s="11"/>
      <c r="T2707" s="1"/>
      <c r="U2707" s="1"/>
      <c r="V2707" s="1"/>
      <c r="W2707" s="1"/>
      <c r="X2707" s="1"/>
      <c r="Y2707" s="1"/>
      <c r="Z2707" s="1"/>
    </row>
    <row r="2708" ht="18.0" hidden="1" customHeight="1" outlineLevel="1">
      <c r="A2708" s="26">
        <v>7.0</v>
      </c>
      <c r="B2708" s="26" t="s">
        <v>827</v>
      </c>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
      </c>
      <c r="N2708" s="1" t="s">
        <v>29</v>
      </c>
      <c r="O2708" s="1"/>
      <c r="P2708" s="11"/>
      <c r="Q2708" s="11"/>
      <c r="R2708" s="11"/>
      <c r="S2708" s="11"/>
      <c r="T2708" s="1"/>
      <c r="U2708" s="1"/>
      <c r="V2708" s="1"/>
      <c r="W2708" s="1"/>
      <c r="X2708" s="1"/>
      <c r="Y2708" s="1"/>
      <c r="Z2708" s="1"/>
    </row>
    <row r="2709" ht="18.0" hidden="1" customHeight="1" outlineLevel="1">
      <c r="A2709" s="26">
        <v>8.0</v>
      </c>
      <c r="B2709" s="1"/>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存在しない</v>
      </c>
      <c r="N2709" s="1" t="s">
        <v>29</v>
      </c>
      <c r="O2709" s="1"/>
      <c r="P2709" s="11"/>
      <c r="Q2709" s="11"/>
      <c r="R2709" s="11"/>
      <c r="S2709" s="11"/>
      <c r="T2709" s="1"/>
      <c r="U2709" s="1"/>
      <c r="V2709" s="1"/>
      <c r="W2709" s="1"/>
      <c r="X2709" s="1"/>
      <c r="Y2709" s="1"/>
      <c r="Z2709" s="1"/>
    </row>
    <row r="2710" ht="18.0" hidden="1" customHeight="1" outlineLevel="1">
      <c r="A2710" s="26">
        <v>9.0</v>
      </c>
      <c r="B2710" s="26" t="s">
        <v>194</v>
      </c>
      <c r="C2710" s="1"/>
      <c r="D2710" s="1"/>
      <c r="E2710" s="14"/>
      <c r="F2710" s="15"/>
      <c r="G2710" s="16"/>
      <c r="H2710" s="11"/>
      <c r="I2710" s="7"/>
      <c r="J2710" s="7" t="str">
        <f>IFERROR(LET(_xlpm.v,
VLOOKUP($I2710,'用語辞書'!$A:$B,COLUMN('用語辞書'!B$1),FALSE),
IF(_xlpm.v=0,"",_xlpm.v)
),"")</f>
        <v/>
      </c>
      <c r="K2710" s="17"/>
      <c r="L2710" s="17" t="str">
        <f>IF(OR(COUNTIF('クラス'!$A$1:$A$1267,$B2710)&gt;0,$B2710="",$M2710=""),"",True)</f>
        <v/>
      </c>
      <c r="M2710" s="1" t="str">
        <f t="shared" si="30"/>
        <v/>
      </c>
      <c r="N2710" s="1" t="s">
        <v>29</v>
      </c>
      <c r="O2710" s="1"/>
      <c r="P2710" s="11"/>
      <c r="Q2710" s="11"/>
      <c r="R2710" s="11"/>
      <c r="S2710" s="11"/>
      <c r="T2710" s="1"/>
      <c r="U2710" s="1"/>
      <c r="V2710" s="1"/>
      <c r="W2710" s="1"/>
      <c r="X2710" s="1"/>
      <c r="Y2710" s="1"/>
      <c r="Z2710" s="1"/>
    </row>
    <row r="2711" ht="18.0" hidden="1" customHeight="1" outlineLevel="1">
      <c r="A2711" s="26">
        <v>10.0</v>
      </c>
      <c r="B2711" s="26" t="s">
        <v>2465</v>
      </c>
      <c r="C2711" s="26" t="s">
        <v>29</v>
      </c>
      <c r="D2711" s="26" t="s">
        <v>1179</v>
      </c>
      <c r="E2711" s="29" t="s">
        <v>33</v>
      </c>
      <c r="F2711" s="34" t="s">
        <v>29</v>
      </c>
      <c r="G2711" s="30">
        <v>60.0</v>
      </c>
      <c r="H2711" s="22" t="s">
        <v>2466</v>
      </c>
      <c r="I2711" s="7"/>
      <c r="J2711" s="7" t="str">
        <f>IFERROR(LET(_xlpm.v,
VLOOKUP($I2711,'用語辞書'!$A:$B,COLUMN('用語辞書'!B$1),FALSE),
IF(_xlpm.v=0,"",_xlpm.v)
),"")</f>
        <v/>
      </c>
      <c r="K2711" s="17"/>
      <c r="L2711" s="17" t="b">
        <f>IF(OR(COUNTIF('クラス'!$A$1:$A$1267,$B2711)&gt;0,$B2711="",$M2711=""),"",True)</f>
        <v>1</v>
      </c>
      <c r="M2711" s="1" t="str">
        <f t="shared" si="30"/>
        <v>存在しない</v>
      </c>
      <c r="N2711" s="1" t="s">
        <v>29</v>
      </c>
      <c r="O2711" s="1"/>
      <c r="P2711" s="11"/>
      <c r="Q2711" s="11"/>
      <c r="R2711" s="11"/>
      <c r="S2711" s="11"/>
      <c r="T2711" s="1"/>
      <c r="U2711" s="1"/>
      <c r="V2711" s="1"/>
      <c r="W2711" s="1"/>
      <c r="X2711" s="1"/>
      <c r="Y2711" s="1"/>
      <c r="Z2711" s="1"/>
    </row>
    <row r="2712" ht="18.0" customHeight="1" collapsed="1">
      <c r="A2712" s="1"/>
      <c r="B2712" s="1"/>
      <c r="C2712" s="26" t="s">
        <v>2467</v>
      </c>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customHeight="1" outlineLevel="1">
      <c r="A2713" s="1"/>
      <c r="B2713" s="26" t="s">
        <v>2468</v>
      </c>
      <c r="C2713" s="1"/>
      <c r="D2713" s="1"/>
      <c r="E2713" s="14"/>
      <c r="F2713" s="15"/>
      <c r="G2713" s="16"/>
      <c r="H2713" s="11"/>
      <c r="I2713" s="7"/>
      <c r="J2713" s="7" t="str">
        <f>IFERROR(LET(_xlpm.v,
VLOOKUP($I2713,'用語辞書'!$A:$B,COLUMN('用語辞書'!B$1),FALSE),
IF(_xlpm.v=0,"",_xlpm.v)
),"")</f>
        <v/>
      </c>
      <c r="K2713" s="17"/>
      <c r="L2713" s="17" t="str">
        <f>IF(OR(COUNTIF('クラス'!$A$1:$A$1267,$B2713)&gt;0,$B2713="",$M2713=""),"",True)</f>
        <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1.0</v>
      </c>
      <c r="B2714" s="26" t="s">
        <v>2469</v>
      </c>
      <c r="C2714" s="1"/>
      <c r="D2714" s="26" t="s">
        <v>783</v>
      </c>
      <c r="E2714" s="29" t="s">
        <v>125</v>
      </c>
      <c r="F2714" s="15"/>
      <c r="G2714" s="30">
        <v>60.0</v>
      </c>
      <c r="H2714" s="22" t="s">
        <v>2470</v>
      </c>
      <c r="I2714" s="7"/>
      <c r="J2714" s="7" t="str">
        <f>IFERROR(LET(_xlpm.v,
VLOOKUP($I2714,'用語辞書'!$A:$B,COLUMN('用語辞書'!B$1),FALSE),
IF(_xlpm.v=0,"",_xlpm.v)
),"")</f>
        <v/>
      </c>
      <c r="K2714" s="17"/>
      <c r="L2714" s="17" t="b">
        <f>IF(OR(COUNTIF('クラス'!$A$1:$A$1267,$B2714)&gt;0,$B2714="",$M2714=""),"",True)</f>
        <v>1</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2.0</v>
      </c>
      <c r="B2715" s="1"/>
      <c r="C2715" s="1"/>
      <c r="D2715" s="1"/>
      <c r="E2715" s="14"/>
      <c r="F2715" s="15"/>
      <c r="G2715" s="16"/>
      <c r="H2715" s="11"/>
      <c r="I2715" s="7"/>
      <c r="J2715" s="7" t="str">
        <f>IFERROR(LET(_xlpm.v,
VLOOKUP($I2715,'用語辞書'!$A:$B,COLUMN('用語辞書'!B$1),FALSE),
IF(_xlpm.v=0,"",_xlpm.v)
),"")</f>
        <v/>
      </c>
      <c r="K2715" s="17"/>
      <c r="L2715" s="17" t="str">
        <f>IF(OR(COUNTIF('クラス'!$A$1:$A$1267,$B2715)&gt;0,$B2715="",$M2715=""),"",True)</f>
        <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3.0</v>
      </c>
      <c r="B2716" s="26" t="s">
        <v>2471</v>
      </c>
      <c r="C2716" s="1"/>
      <c r="D2716" s="26" t="s">
        <v>783</v>
      </c>
      <c r="E2716" s="29" t="s">
        <v>33</v>
      </c>
      <c r="F2716" s="15"/>
      <c r="G2716" s="30">
        <v>60.0</v>
      </c>
      <c r="H2716" s="22" t="s">
        <v>2472</v>
      </c>
      <c r="I2716" s="7"/>
      <c r="J2716" s="7" t="str">
        <f>IFERROR(LET(_xlpm.v,
VLOOKUP($I2716,'用語辞書'!$A:$B,COLUMN('用語辞書'!B$1),FALSE),
IF(_xlpm.v=0,"",_xlpm.v)
),"")</f>
        <v/>
      </c>
      <c r="K2716" s="17"/>
      <c r="L2716" s="17" t="b">
        <f>IF(OR(COUNTIF('クラス'!$A$1:$A$1267,$B2716)&gt;0,$B2716="",$M2716=""),"",True)</f>
        <v>1</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4.0</v>
      </c>
      <c r="B2717" s="1"/>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存在しない</v>
      </c>
      <c r="N2717" s="1" t="s">
        <v>29</v>
      </c>
      <c r="O2717" s="1"/>
      <c r="P2717" s="11"/>
      <c r="Q2717" s="11"/>
      <c r="R2717" s="11"/>
      <c r="S2717" s="11"/>
      <c r="T2717" s="1"/>
      <c r="U2717" s="1"/>
      <c r="V2717" s="1"/>
      <c r="W2717" s="1"/>
      <c r="X2717" s="1"/>
      <c r="Y2717" s="1"/>
      <c r="Z2717" s="1"/>
    </row>
    <row r="2718" ht="18.0" hidden="1" customHeight="1" outlineLevel="2">
      <c r="A2718" s="1">
        <v>5.0</v>
      </c>
      <c r="B2718" s="26" t="s">
        <v>1114</v>
      </c>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
      </c>
      <c r="N2718" s="1" t="s">
        <v>29</v>
      </c>
      <c r="O2718" s="1"/>
      <c r="P2718" s="11"/>
      <c r="Q2718" s="11"/>
      <c r="R2718" s="11"/>
      <c r="S2718" s="11"/>
      <c r="T2718" s="1"/>
      <c r="U2718" s="1"/>
      <c r="V2718" s="1"/>
      <c r="W2718" s="1"/>
      <c r="X2718" s="1"/>
      <c r="Y2718" s="1"/>
      <c r="Z2718" s="1"/>
    </row>
    <row r="2719" ht="18.0" hidden="1" customHeight="1" outlineLevel="2">
      <c r="A2719" s="1">
        <v>6.0</v>
      </c>
      <c r="B2719" s="1"/>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存在しない</v>
      </c>
      <c r="N2719" s="1" t="s">
        <v>29</v>
      </c>
      <c r="O2719" s="1"/>
      <c r="P2719" s="11"/>
      <c r="Q2719" s="11"/>
      <c r="R2719" s="11"/>
      <c r="S2719" s="11"/>
      <c r="T2719" s="1"/>
      <c r="U2719" s="1"/>
      <c r="V2719" s="1"/>
      <c r="W2719" s="1"/>
      <c r="X2719" s="1"/>
      <c r="Y2719" s="1"/>
      <c r="Z2719" s="1"/>
    </row>
    <row r="2720" ht="18.0" hidden="1" customHeight="1" outlineLevel="2">
      <c r="A2720" s="1">
        <v>7.0</v>
      </c>
      <c r="B2720" s="26" t="s">
        <v>1120</v>
      </c>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
      </c>
      <c r="N2720" s="1" t="s">
        <v>29</v>
      </c>
      <c r="O2720" s="1"/>
      <c r="P2720" s="11"/>
      <c r="Q2720" s="11"/>
      <c r="R2720" s="11"/>
      <c r="S2720" s="11"/>
      <c r="T2720" s="1"/>
      <c r="U2720" s="1"/>
      <c r="V2720" s="1"/>
      <c r="W2720" s="1"/>
      <c r="X2720" s="1"/>
      <c r="Y2720" s="1"/>
      <c r="Z2720" s="1"/>
    </row>
    <row r="2721" ht="18.0" hidden="1" customHeight="1" outlineLevel="2">
      <c r="A2721" s="1">
        <v>8.0</v>
      </c>
      <c r="B2721" s="1"/>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存在しない</v>
      </c>
      <c r="N2721" s="1" t="s">
        <v>29</v>
      </c>
      <c r="O2721" s="1"/>
      <c r="P2721" s="11"/>
      <c r="Q2721" s="11"/>
      <c r="R2721" s="11"/>
      <c r="S2721" s="11"/>
      <c r="T2721" s="1"/>
      <c r="U2721" s="1"/>
      <c r="V2721" s="1"/>
      <c r="W2721" s="1"/>
      <c r="X2721" s="1"/>
      <c r="Y2721" s="1"/>
      <c r="Z2721" s="1"/>
    </row>
    <row r="2722" ht="18.0" hidden="1" customHeight="1" outlineLevel="2">
      <c r="A2722" s="1">
        <v>9.0</v>
      </c>
      <c r="B2722" s="26" t="s">
        <v>1116</v>
      </c>
      <c r="C2722" s="1"/>
      <c r="D2722" s="1"/>
      <c r="E2722" s="14"/>
      <c r="F2722" s="15"/>
      <c r="G2722" s="16"/>
      <c r="H2722" s="11"/>
      <c r="I2722" s="7"/>
      <c r="J2722" s="7" t="str">
        <f>IFERROR(LET(_xlpm.v,
VLOOKUP($I2722,'用語辞書'!$A:$B,COLUMN('用語辞書'!B$1),FALSE),
IF(_xlpm.v=0,"",_xlpm.v)
),"")</f>
        <v/>
      </c>
      <c r="K2722" s="17"/>
      <c r="L2722" s="17" t="str">
        <f>IF(OR(COUNTIF('クラス'!$A$1:$A$1267,$B2722)&gt;0,$B2722="",$M2722=""),"",True)</f>
        <v/>
      </c>
      <c r="M2722" s="1" t="str">
        <f t="shared" si="30"/>
        <v/>
      </c>
      <c r="N2722" s="1" t="s">
        <v>29</v>
      </c>
      <c r="O2722" s="1"/>
      <c r="P2722" s="11"/>
      <c r="Q2722" s="11"/>
      <c r="R2722" s="11"/>
      <c r="S2722" s="11"/>
      <c r="T2722" s="1"/>
      <c r="U2722" s="1"/>
      <c r="V2722" s="1"/>
      <c r="W2722" s="1"/>
      <c r="X2722" s="1"/>
      <c r="Y2722" s="1"/>
      <c r="Z2722" s="1"/>
    </row>
    <row r="2723" ht="18.0" hidden="1" customHeight="1" outlineLevel="2">
      <c r="A2723" s="1">
        <v>10.0</v>
      </c>
      <c r="B2723" s="26" t="s">
        <v>2473</v>
      </c>
      <c r="C2723" s="1"/>
      <c r="D2723" s="26" t="s">
        <v>783</v>
      </c>
      <c r="E2723" s="29" t="s">
        <v>33</v>
      </c>
      <c r="F2723" s="15"/>
      <c r="G2723" s="30">
        <v>60.0</v>
      </c>
      <c r="H2723" s="22" t="s">
        <v>2474</v>
      </c>
      <c r="I2723" s="7"/>
      <c r="J2723" s="7" t="str">
        <f>IFERROR(LET(_xlpm.v,
VLOOKUP($I2723,'用語辞書'!$A:$B,COLUMN('用語辞書'!B$1),FALSE),
IF(_xlpm.v=0,"",_xlpm.v)
),"")</f>
        <v/>
      </c>
      <c r="K2723" s="17"/>
      <c r="L2723" s="17" t="b">
        <f>IF(OR(COUNTIF('クラス'!$A$1:$A$1267,$B2723)&gt;0,$B2723="",$M2723=""),"",True)</f>
        <v>1</v>
      </c>
      <c r="M2723" s="1" t="str">
        <f t="shared" si="30"/>
        <v>存在しない</v>
      </c>
      <c r="N2723" s="1" t="s">
        <v>29</v>
      </c>
      <c r="O2723" s="1"/>
      <c r="P2723" s="11"/>
      <c r="Q2723" s="11"/>
      <c r="R2723" s="11"/>
      <c r="S2723" s="11"/>
      <c r="T2723" s="1"/>
      <c r="U2723" s="1"/>
      <c r="V2723" s="1"/>
      <c r="W2723" s="1"/>
      <c r="X2723" s="1"/>
      <c r="Y2723" s="1"/>
      <c r="Z2723" s="1"/>
    </row>
    <row r="2724" ht="18.0" customHeight="1" outlineLevel="1" collapsed="1">
      <c r="A2724" s="1"/>
      <c r="B2724" s="1"/>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customHeight="1" outlineLevel="1">
      <c r="A2725" s="1"/>
      <c r="B2725" s="26" t="s">
        <v>2475</v>
      </c>
      <c r="C2725" s="1"/>
      <c r="D2725" s="1"/>
      <c r="E2725" s="14"/>
      <c r="F2725" s="15"/>
      <c r="G2725" s="16"/>
      <c r="H2725" s="11"/>
      <c r="I2725" s="7"/>
      <c r="J2725" s="7" t="str">
        <f>IFERROR(LET(_xlpm.v,
VLOOKUP($I2725,'用語辞書'!$A:$B,COLUMN('用語辞書'!B$1),FALSE),
IF(_xlpm.v=0,"",_xlpm.v)
),"")</f>
        <v/>
      </c>
      <c r="K2725" s="17"/>
      <c r="L2725" s="17" t="str">
        <f>IF(OR(COUNTIF('クラス'!$A$1:$A$1267,$B2725)&gt;0,$B2725="",$M2725=""),"",True)</f>
        <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1.0</v>
      </c>
      <c r="B2726" s="26" t="s">
        <v>2476</v>
      </c>
      <c r="C2726" s="1"/>
      <c r="D2726" s="26" t="s">
        <v>783</v>
      </c>
      <c r="E2726" s="29" t="s">
        <v>33</v>
      </c>
      <c r="F2726" s="15"/>
      <c r="G2726" s="30">
        <v>60.0</v>
      </c>
      <c r="H2726" s="22" t="s">
        <v>2477</v>
      </c>
      <c r="I2726" s="7"/>
      <c r="J2726" s="7" t="str">
        <f>IFERROR(LET(_xlpm.v,
VLOOKUP($I2726,'用語辞書'!$A:$B,COLUMN('用語辞書'!B$1),FALSE),
IF(_xlpm.v=0,"",_xlpm.v)
),"")</f>
        <v/>
      </c>
      <c r="K2726" s="17"/>
      <c r="L2726" s="17" t="b">
        <f>IF(OR(COUNTIF('クラス'!$A$1:$A$1267,$B2726)&gt;0,$B2726="",$M2726=""),"",True)</f>
        <v>1</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2.0</v>
      </c>
      <c r="B2727" s="1"/>
      <c r="C2727" s="1"/>
      <c r="D2727" s="1"/>
      <c r="E2727" s="14"/>
      <c r="F2727" s="15"/>
      <c r="G2727" s="16"/>
      <c r="H2727" s="11"/>
      <c r="I2727" s="7"/>
      <c r="J2727" s="7" t="str">
        <f>IFERROR(LET(_xlpm.v,
VLOOKUP($I2727,'用語辞書'!$A:$B,COLUMN('用語辞書'!B$1),FALSE),
IF(_xlpm.v=0,"",_xlpm.v)
),"")</f>
        <v/>
      </c>
      <c r="K2727" s="17"/>
      <c r="L2727" s="17" t="str">
        <f>IF(OR(COUNTIF('クラス'!$A$1:$A$1267,$B2727)&gt;0,$B2727="",$M2727=""),"",True)</f>
        <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3.0</v>
      </c>
      <c r="B2728" s="26" t="s">
        <v>2478</v>
      </c>
      <c r="C2728" s="1"/>
      <c r="D2728" s="26" t="s">
        <v>1179</v>
      </c>
      <c r="E2728" s="29" t="s">
        <v>55</v>
      </c>
      <c r="F2728" s="15"/>
      <c r="G2728" s="16"/>
      <c r="H2728" s="22" t="s">
        <v>2479</v>
      </c>
      <c r="I2728" s="7"/>
      <c r="J2728" s="7" t="str">
        <f>IFERROR(LET(_xlpm.v,
VLOOKUP($I2728,'用語辞書'!$A:$B,COLUMN('用語辞書'!B$1),FALSE),
IF(_xlpm.v=0,"",_xlpm.v)
),"")</f>
        <v/>
      </c>
      <c r="K2728" s="17"/>
      <c r="L2728" s="17" t="b">
        <f>IF(OR(COUNTIF('クラス'!$A$1:$A$1267,$B2728)&gt;0,$B2728="",$M2728=""),"",True)</f>
        <v>1</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4.0</v>
      </c>
      <c r="B2729" s="1"/>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存在しない</v>
      </c>
      <c r="N2729" s="1" t="s">
        <v>29</v>
      </c>
      <c r="O2729" s="1"/>
      <c r="P2729" s="11"/>
      <c r="Q2729" s="11"/>
      <c r="R2729" s="11"/>
      <c r="S2729" s="11"/>
      <c r="T2729" s="1"/>
      <c r="U2729" s="1"/>
      <c r="V2729" s="1"/>
      <c r="W2729" s="1"/>
      <c r="X2729" s="1"/>
      <c r="Y2729" s="1"/>
      <c r="Z2729" s="1"/>
    </row>
    <row r="2730" ht="18.0" hidden="1" customHeight="1" outlineLevel="2">
      <c r="A2730" s="1">
        <v>5.0</v>
      </c>
      <c r="B2730" s="26" t="s">
        <v>1120</v>
      </c>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
      </c>
      <c r="N2730" s="1" t="s">
        <v>29</v>
      </c>
      <c r="O2730" s="1"/>
      <c r="P2730" s="11"/>
      <c r="Q2730" s="11"/>
      <c r="R2730" s="11"/>
      <c r="S2730" s="11"/>
      <c r="T2730" s="1"/>
      <c r="U2730" s="1"/>
      <c r="V2730" s="1"/>
      <c r="W2730" s="1"/>
      <c r="X2730" s="1"/>
      <c r="Y2730" s="1"/>
      <c r="Z2730" s="1"/>
    </row>
    <row r="2731" ht="18.0" hidden="1" customHeight="1" outlineLevel="2">
      <c r="A2731" s="1">
        <v>6.0</v>
      </c>
      <c r="B2731" s="1"/>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存在しない</v>
      </c>
      <c r="N2731" s="1" t="s">
        <v>29</v>
      </c>
      <c r="O2731" s="1"/>
      <c r="P2731" s="11"/>
      <c r="Q2731" s="11"/>
      <c r="R2731" s="11"/>
      <c r="S2731" s="11"/>
      <c r="T2731" s="1"/>
      <c r="U2731" s="1"/>
      <c r="V2731" s="1"/>
      <c r="W2731" s="1"/>
      <c r="X2731" s="1"/>
      <c r="Y2731" s="1"/>
      <c r="Z2731" s="1"/>
    </row>
    <row r="2732" ht="18.0" hidden="1" customHeight="1" outlineLevel="2">
      <c r="A2732" s="1">
        <v>7.0</v>
      </c>
      <c r="B2732" s="26" t="s">
        <v>196</v>
      </c>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
      </c>
      <c r="N2732" s="1" t="s">
        <v>29</v>
      </c>
      <c r="O2732" s="1"/>
      <c r="P2732" s="11"/>
      <c r="Q2732" s="11"/>
      <c r="R2732" s="11"/>
      <c r="S2732" s="11"/>
      <c r="T2732" s="1"/>
      <c r="U2732" s="1"/>
      <c r="V2732" s="1"/>
      <c r="W2732" s="1"/>
      <c r="X2732" s="1"/>
      <c r="Y2732" s="1"/>
      <c r="Z2732" s="1"/>
    </row>
    <row r="2733" ht="18.0" hidden="1" customHeight="1" outlineLevel="2">
      <c r="A2733" s="1">
        <v>8.0</v>
      </c>
      <c r="B2733" s="1"/>
      <c r="C2733" s="1"/>
      <c r="D2733" s="1"/>
      <c r="E2733" s="14"/>
      <c r="F2733" s="15"/>
      <c r="G2733" s="16"/>
      <c r="H2733" s="11"/>
      <c r="I2733" s="7"/>
      <c r="J2733" s="7" t="str">
        <f>IFERROR(LET(_xlpm.v,
VLOOKUP($I2733,'用語辞書'!$A:$B,COLUMN('用語辞書'!B$1),FALSE),
IF(_xlpm.v=0,"",_xlpm.v)
),"")</f>
        <v/>
      </c>
      <c r="K2733" s="17"/>
      <c r="L2733" s="17" t="str">
        <f>IF(OR(COUNTIF('クラス'!$A$1:$A$1267,$B2733)&gt;0,$B2733="",$M2733=""),"",True)</f>
        <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9.0</v>
      </c>
      <c r="B2734" s="26" t="s">
        <v>2480</v>
      </c>
      <c r="C2734" s="1"/>
      <c r="D2734" s="26" t="s">
        <v>783</v>
      </c>
      <c r="E2734" s="29" t="s">
        <v>33</v>
      </c>
      <c r="F2734" s="15"/>
      <c r="G2734" s="30">
        <v>60.0</v>
      </c>
      <c r="H2734" s="22" t="s">
        <v>2481</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hidden="1" customHeight="1" outlineLevel="2">
      <c r="A2735" s="1">
        <v>10.0</v>
      </c>
      <c r="B2735" s="26" t="s">
        <v>2482</v>
      </c>
      <c r="C2735" s="1"/>
      <c r="D2735" s="26" t="s">
        <v>783</v>
      </c>
      <c r="E2735" s="29" t="s">
        <v>33</v>
      </c>
      <c r="F2735" s="15"/>
      <c r="G2735" s="30">
        <v>60.0</v>
      </c>
      <c r="H2735" s="22" t="s">
        <v>2483</v>
      </c>
      <c r="I2735" s="7"/>
      <c r="J2735" s="7" t="str">
        <f>IFERROR(LET(_xlpm.v,
VLOOKUP($I2735,'用語辞書'!$A:$B,COLUMN('用語辞書'!B$1),FALSE),
IF(_xlpm.v=0,"",_xlpm.v)
),"")</f>
        <v/>
      </c>
      <c r="K2735" s="17"/>
      <c r="L2735" s="17" t="b">
        <f>IF(OR(COUNTIF('クラス'!$A$1:$A$1267,$B2735)&gt;0,$B2735="",$M2735=""),"",True)</f>
        <v>1</v>
      </c>
      <c r="M2735" s="1" t="str">
        <f t="shared" si="30"/>
        <v>存在しない</v>
      </c>
      <c r="N2735" s="1" t="s">
        <v>29</v>
      </c>
      <c r="O2735" s="1"/>
      <c r="P2735" s="11"/>
      <c r="Q2735" s="11"/>
      <c r="R2735" s="11"/>
      <c r="S2735" s="11"/>
      <c r="T2735" s="1"/>
      <c r="U2735" s="1"/>
      <c r="V2735" s="1"/>
      <c r="W2735" s="1"/>
      <c r="X2735" s="1"/>
      <c r="Y2735" s="1"/>
      <c r="Z2735" s="1"/>
    </row>
    <row r="2736" ht="18.0" customHeight="1" outlineLevel="1" collapsed="1">
      <c r="A2736" s="1"/>
      <c r="B2736" s="1"/>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customHeight="1" outlineLevel="1">
      <c r="A2737" s="1"/>
      <c r="B2737" s="26" t="s">
        <v>2484</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存在しない</v>
      </c>
      <c r="N2737" s="1" t="s">
        <v>29</v>
      </c>
      <c r="O2737" s="1"/>
      <c r="P2737" s="11"/>
      <c r="Q2737" s="11"/>
      <c r="R2737" s="11"/>
      <c r="S2737" s="11"/>
      <c r="T2737" s="1"/>
      <c r="U2737" s="1"/>
      <c r="V2737" s="1"/>
      <c r="W2737" s="1"/>
      <c r="X2737" s="1"/>
      <c r="Y2737" s="1"/>
      <c r="Z2737" s="1"/>
    </row>
    <row r="2738" ht="18.0" hidden="1" customHeight="1" outlineLevel="2">
      <c r="A2738" s="1">
        <v>1.0</v>
      </c>
      <c r="B2738" s="26" t="s">
        <v>2038</v>
      </c>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
      </c>
      <c r="N2738" s="1" t="s">
        <v>29</v>
      </c>
      <c r="O2738" s="1"/>
      <c r="P2738" s="11"/>
      <c r="Q2738" s="11"/>
      <c r="R2738" s="11"/>
      <c r="S2738" s="11"/>
      <c r="T2738" s="1"/>
      <c r="U2738" s="1"/>
      <c r="V2738" s="1"/>
      <c r="W2738" s="1"/>
      <c r="X2738" s="1"/>
      <c r="Y2738" s="1"/>
      <c r="Z2738" s="1"/>
    </row>
    <row r="2739" ht="18.0" hidden="1" customHeight="1" outlineLevel="2">
      <c r="A2739" s="1">
        <v>2.0</v>
      </c>
      <c r="B2739" s="1"/>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存在しない</v>
      </c>
      <c r="N2739" s="1" t="s">
        <v>29</v>
      </c>
      <c r="O2739" s="1"/>
      <c r="P2739" s="11"/>
      <c r="Q2739" s="11"/>
      <c r="R2739" s="11"/>
      <c r="S2739" s="11"/>
      <c r="T2739" s="1"/>
      <c r="U2739" s="1"/>
      <c r="V2739" s="1"/>
      <c r="W2739" s="1"/>
      <c r="X2739" s="1"/>
      <c r="Y2739" s="1"/>
      <c r="Z2739" s="1"/>
    </row>
    <row r="2740" ht="18.0" hidden="1" customHeight="1" outlineLevel="2">
      <c r="A2740" s="1">
        <v>3.0</v>
      </c>
      <c r="B2740" s="26" t="s">
        <v>1120</v>
      </c>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
      </c>
      <c r="N2740" s="1" t="s">
        <v>29</v>
      </c>
      <c r="O2740" s="1"/>
      <c r="P2740" s="11"/>
      <c r="Q2740" s="11"/>
      <c r="R2740" s="11"/>
      <c r="S2740" s="11"/>
      <c r="T2740" s="1"/>
      <c r="U2740" s="1"/>
      <c r="V2740" s="1"/>
      <c r="W2740" s="1"/>
      <c r="X2740" s="1"/>
      <c r="Y2740" s="1"/>
      <c r="Z2740" s="1"/>
    </row>
    <row r="2741" ht="18.0" hidden="1" customHeight="1" outlineLevel="2">
      <c r="A2741" s="1">
        <v>4.0</v>
      </c>
      <c r="B2741" s="1"/>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存在しない</v>
      </c>
      <c r="N2741" s="1" t="s">
        <v>29</v>
      </c>
      <c r="O2741" s="1"/>
      <c r="P2741" s="11"/>
      <c r="Q2741" s="11"/>
      <c r="R2741" s="11"/>
      <c r="S2741" s="11"/>
      <c r="T2741" s="1"/>
      <c r="U2741" s="1"/>
      <c r="V2741" s="1"/>
      <c r="W2741" s="1"/>
      <c r="X2741" s="1"/>
      <c r="Y2741" s="1"/>
      <c r="Z2741" s="1"/>
    </row>
    <row r="2742" ht="18.0" hidden="1" customHeight="1" outlineLevel="2">
      <c r="A2742" s="1">
        <v>5.0</v>
      </c>
      <c r="B2742" s="26" t="s">
        <v>182</v>
      </c>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
      </c>
      <c r="N2742" s="1" t="s">
        <v>29</v>
      </c>
      <c r="O2742" s="1"/>
      <c r="P2742" s="11"/>
      <c r="Q2742" s="11"/>
      <c r="R2742" s="11"/>
      <c r="S2742" s="11"/>
      <c r="T2742" s="1"/>
      <c r="U2742" s="1"/>
      <c r="V2742" s="1"/>
      <c r="W2742" s="1"/>
      <c r="X2742" s="1"/>
      <c r="Y2742" s="1"/>
      <c r="Z2742" s="1"/>
    </row>
    <row r="2743" ht="18.0" hidden="1" customHeight="1" outlineLevel="2">
      <c r="A2743" s="1">
        <v>6.0</v>
      </c>
      <c r="B2743" s="1"/>
      <c r="C2743" s="1"/>
      <c r="D2743" s="1"/>
      <c r="E2743" s="14"/>
      <c r="F2743" s="15"/>
      <c r="G2743" s="16"/>
      <c r="H2743" s="11"/>
      <c r="I2743" s="7"/>
      <c r="J2743" s="7" t="str">
        <f>IFERROR(LET(_xlpm.v,
VLOOKUP($I2743,'用語辞書'!$A:$B,COLUMN('用語辞書'!B$1),FALSE),
IF(_xlpm.v=0,"",_xlpm.v)
),"")</f>
        <v/>
      </c>
      <c r="K2743" s="17"/>
      <c r="L2743" s="17" t="str">
        <f>IF(OR(COUNTIF('クラス'!$A$1:$A$1267,$B2743)&gt;0,$B2743="",$M2743=""),"",True)</f>
        <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7.0</v>
      </c>
      <c r="B2744" s="26" t="s">
        <v>2485</v>
      </c>
      <c r="C2744" s="1"/>
      <c r="D2744" s="26" t="s">
        <v>1179</v>
      </c>
      <c r="E2744" s="29" t="s">
        <v>55</v>
      </c>
      <c r="F2744" s="15"/>
      <c r="G2744" s="16"/>
      <c r="H2744" s="22" t="s">
        <v>2486</v>
      </c>
      <c r="I2744" s="7"/>
      <c r="J2744" s="7" t="str">
        <f>IFERROR(LET(_xlpm.v,
VLOOKUP($I2744,'用語辞書'!$A:$B,COLUMN('用語辞書'!B$1),FALSE),
IF(_xlpm.v=0,"",_xlpm.v)
),"")</f>
        <v/>
      </c>
      <c r="K2744" s="17"/>
      <c r="L2744" s="17" t="b">
        <f>IF(OR(COUNTIF('クラス'!$A$1:$A$1267,$B2744)&gt;0,$B2744="",$M2744=""),"",True)</f>
        <v>1</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8.0</v>
      </c>
      <c r="B2745" s="1"/>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存在しない</v>
      </c>
      <c r="N2745" s="1" t="s">
        <v>29</v>
      </c>
      <c r="O2745" s="1"/>
      <c r="P2745" s="11"/>
      <c r="Q2745" s="11"/>
      <c r="R2745" s="11"/>
      <c r="S2745" s="11"/>
      <c r="T2745" s="1"/>
      <c r="U2745" s="1"/>
      <c r="V2745" s="1"/>
      <c r="W2745" s="1"/>
      <c r="X2745" s="1"/>
      <c r="Y2745" s="1"/>
      <c r="Z2745" s="1"/>
    </row>
    <row r="2746" ht="18.0" hidden="1" customHeight="1" outlineLevel="2">
      <c r="A2746" s="1">
        <v>9.0</v>
      </c>
      <c r="B2746" s="26" t="s">
        <v>196</v>
      </c>
      <c r="C2746" s="1"/>
      <c r="D2746" s="1"/>
      <c r="E2746" s="14"/>
      <c r="F2746" s="15"/>
      <c r="G2746" s="16"/>
      <c r="H2746" s="11"/>
      <c r="I2746" s="7"/>
      <c r="J2746" s="7" t="str">
        <f>IFERROR(LET(_xlpm.v,
VLOOKUP($I2746,'用語辞書'!$A:$B,COLUMN('用語辞書'!B$1),FALSE),
IF(_xlpm.v=0,"",_xlpm.v)
),"")</f>
        <v/>
      </c>
      <c r="K2746" s="17"/>
      <c r="L2746" s="17" t="str">
        <f>IF(OR(COUNTIF('クラス'!$A$1:$A$1267,$B2746)&gt;0,$B2746="",$M2746=""),"",True)</f>
        <v/>
      </c>
      <c r="M2746" s="1" t="str">
        <f t="shared" si="30"/>
        <v/>
      </c>
      <c r="N2746" s="1" t="s">
        <v>29</v>
      </c>
      <c r="O2746" s="1"/>
      <c r="P2746" s="11"/>
      <c r="Q2746" s="11"/>
      <c r="R2746" s="11"/>
      <c r="S2746" s="11"/>
      <c r="T2746" s="1"/>
      <c r="U2746" s="1"/>
      <c r="V2746" s="1"/>
      <c r="W2746" s="1"/>
      <c r="X2746" s="1"/>
      <c r="Y2746" s="1"/>
      <c r="Z2746" s="1"/>
    </row>
    <row r="2747" ht="18.0" hidden="1" customHeight="1" outlineLevel="2">
      <c r="A2747" s="1">
        <v>10.0</v>
      </c>
      <c r="B2747" s="26" t="s">
        <v>2487</v>
      </c>
      <c r="C2747" s="1"/>
      <c r="D2747" s="26" t="s">
        <v>1179</v>
      </c>
      <c r="E2747" s="29" t="s">
        <v>33</v>
      </c>
      <c r="F2747" s="15"/>
      <c r="G2747" s="30">
        <v>60.0</v>
      </c>
      <c r="H2747" s="22" t="s">
        <v>2488</v>
      </c>
      <c r="I2747" s="7"/>
      <c r="J2747" s="7" t="str">
        <f>IFERROR(LET(_xlpm.v,
VLOOKUP($I2747,'用語辞書'!$A:$B,COLUMN('用語辞書'!B$1),FALSE),
IF(_xlpm.v=0,"",_xlpm.v)
),"")</f>
        <v/>
      </c>
      <c r="K2747" s="17"/>
      <c r="L2747" s="17" t="b">
        <f>IF(OR(COUNTIF('クラス'!$A$1:$A$1267,$B2747)&gt;0,$B2747="",$M2747=""),"",True)</f>
        <v>1</v>
      </c>
      <c r="M2747" s="1" t="str">
        <f t="shared" si="30"/>
        <v>存在しない</v>
      </c>
      <c r="N2747" s="1" t="s">
        <v>29</v>
      </c>
      <c r="O2747" s="1"/>
      <c r="P2747" s="11"/>
      <c r="Q2747" s="11"/>
      <c r="R2747" s="11"/>
      <c r="S2747" s="11"/>
      <c r="T2747" s="1"/>
      <c r="U2747" s="1"/>
      <c r="V2747" s="1"/>
      <c r="W2747" s="1"/>
      <c r="X2747" s="1"/>
      <c r="Y2747" s="1"/>
      <c r="Z2747" s="1"/>
    </row>
    <row r="2748" ht="18.0" customHeight="1" outlineLevel="1" collapsed="1">
      <c r="A2748" s="1"/>
      <c r="B2748" s="1"/>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customHeight="1" outlineLevel="1">
      <c r="A2749" s="1"/>
      <c r="B2749" s="26" t="s">
        <v>2489</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存在しない</v>
      </c>
      <c r="N2749" s="1" t="s">
        <v>29</v>
      </c>
      <c r="O2749" s="1"/>
      <c r="P2749" s="11"/>
      <c r="Q2749" s="11"/>
      <c r="R2749" s="11"/>
      <c r="S2749" s="11"/>
      <c r="T2749" s="1"/>
      <c r="U2749" s="1"/>
      <c r="V2749" s="1"/>
      <c r="W2749" s="1"/>
      <c r="X2749" s="1"/>
      <c r="Y2749" s="1"/>
      <c r="Z2749" s="1"/>
    </row>
    <row r="2750" ht="18.0" hidden="1" customHeight="1" outlineLevel="2">
      <c r="A2750" s="1">
        <v>1.0</v>
      </c>
      <c r="B2750" s="26" t="s">
        <v>2046</v>
      </c>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
      </c>
      <c r="N2750" s="1" t="s">
        <v>29</v>
      </c>
      <c r="O2750" s="1"/>
      <c r="P2750" s="11"/>
      <c r="Q2750" s="11"/>
      <c r="R2750" s="11"/>
      <c r="S2750" s="11"/>
      <c r="T2750" s="1"/>
      <c r="U2750" s="1"/>
      <c r="V2750" s="1"/>
      <c r="W2750" s="1"/>
      <c r="X2750" s="1"/>
      <c r="Y2750" s="1"/>
      <c r="Z2750" s="1"/>
    </row>
    <row r="2751" ht="18.0" hidden="1" customHeight="1" outlineLevel="2">
      <c r="A2751" s="1">
        <v>2.0</v>
      </c>
      <c r="B2751" s="1"/>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存在しない</v>
      </c>
      <c r="N2751" s="1" t="s">
        <v>29</v>
      </c>
      <c r="O2751" s="1"/>
      <c r="P2751" s="11"/>
      <c r="Q2751" s="11"/>
      <c r="R2751" s="11"/>
      <c r="S2751" s="11"/>
      <c r="T2751" s="1"/>
      <c r="U2751" s="1"/>
      <c r="V2751" s="1"/>
      <c r="W2751" s="1"/>
      <c r="X2751" s="1"/>
      <c r="Y2751" s="1"/>
      <c r="Z2751" s="1"/>
    </row>
    <row r="2752" ht="18.0" hidden="1" customHeight="1" outlineLevel="2">
      <c r="A2752" s="1">
        <v>3.0</v>
      </c>
      <c r="B2752" s="26" t="s">
        <v>2184</v>
      </c>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
      </c>
      <c r="N2752" s="1" t="s">
        <v>29</v>
      </c>
      <c r="O2752" s="1"/>
      <c r="P2752" s="11"/>
      <c r="Q2752" s="11"/>
      <c r="R2752" s="11"/>
      <c r="S2752" s="11"/>
      <c r="T2752" s="1"/>
      <c r="U2752" s="1"/>
      <c r="V2752" s="1"/>
      <c r="W2752" s="1"/>
      <c r="X2752" s="1"/>
      <c r="Y2752" s="1"/>
      <c r="Z2752" s="1"/>
    </row>
    <row r="2753" ht="18.0" hidden="1" customHeight="1" outlineLevel="2">
      <c r="A2753" s="1">
        <v>4.0</v>
      </c>
      <c r="B2753" s="1"/>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存在しない</v>
      </c>
      <c r="N2753" s="1" t="s">
        <v>29</v>
      </c>
      <c r="O2753" s="1"/>
      <c r="P2753" s="11"/>
      <c r="Q2753" s="11"/>
      <c r="R2753" s="11"/>
      <c r="S2753" s="11"/>
      <c r="T2753" s="1"/>
      <c r="U2753" s="1"/>
      <c r="V2753" s="1"/>
      <c r="W2753" s="1"/>
      <c r="X2753" s="1"/>
      <c r="Y2753" s="1"/>
      <c r="Z2753" s="1"/>
    </row>
    <row r="2754" ht="18.0" hidden="1" customHeight="1" outlineLevel="2">
      <c r="A2754" s="1">
        <v>5.0</v>
      </c>
      <c r="B2754" s="26" t="s">
        <v>2192</v>
      </c>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
      </c>
      <c r="N2754" s="1" t="s">
        <v>29</v>
      </c>
      <c r="O2754" s="1"/>
      <c r="P2754" s="11"/>
      <c r="Q2754" s="11"/>
      <c r="R2754" s="11"/>
      <c r="S2754" s="11"/>
      <c r="T2754" s="1"/>
      <c r="U2754" s="1"/>
      <c r="V2754" s="1"/>
      <c r="W2754" s="1"/>
      <c r="X2754" s="1"/>
      <c r="Y2754" s="1"/>
      <c r="Z2754" s="1"/>
    </row>
    <row r="2755" ht="18.0" hidden="1" customHeight="1" outlineLevel="2">
      <c r="A2755" s="1">
        <v>6.0</v>
      </c>
      <c r="B2755" s="1"/>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存在しない</v>
      </c>
      <c r="N2755" s="1" t="s">
        <v>29</v>
      </c>
      <c r="O2755" s="1"/>
      <c r="P2755" s="11"/>
      <c r="Q2755" s="11"/>
      <c r="R2755" s="11"/>
      <c r="S2755" s="11"/>
      <c r="T2755" s="1"/>
      <c r="U2755" s="1"/>
      <c r="V2755" s="1"/>
      <c r="W2755" s="1"/>
      <c r="X2755" s="1"/>
      <c r="Y2755" s="1"/>
      <c r="Z2755" s="1"/>
    </row>
    <row r="2756" ht="18.0" hidden="1" customHeight="1" outlineLevel="2">
      <c r="A2756" s="1">
        <v>7.0</v>
      </c>
      <c r="B2756" s="26" t="s">
        <v>217</v>
      </c>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
      </c>
      <c r="N2756" s="1" t="s">
        <v>29</v>
      </c>
      <c r="O2756" s="1"/>
      <c r="P2756" s="11"/>
      <c r="Q2756" s="11"/>
      <c r="R2756" s="11"/>
      <c r="S2756" s="11"/>
      <c r="T2756" s="1"/>
      <c r="U2756" s="1"/>
      <c r="V2756" s="1"/>
      <c r="W2756" s="1"/>
      <c r="X2756" s="1"/>
      <c r="Y2756" s="1"/>
      <c r="Z2756" s="1"/>
    </row>
    <row r="2757" ht="18.0" hidden="1" customHeight="1" outlineLevel="2">
      <c r="A2757" s="1">
        <v>8.0</v>
      </c>
      <c r="B2757" s="1"/>
      <c r="C2757" s="1"/>
      <c r="D2757" s="1"/>
      <c r="E2757" s="14"/>
      <c r="F2757" s="15"/>
      <c r="G2757" s="16"/>
      <c r="H2757" s="11"/>
      <c r="I2757" s="7"/>
      <c r="J2757" s="7" t="str">
        <f>IFERROR(LET(_xlpm.v,
VLOOKUP($I2757,'用語辞書'!$A:$B,COLUMN('用語辞書'!B$1),FALSE),
IF(_xlpm.v=0,"",_xlpm.v)
),"")</f>
        <v/>
      </c>
      <c r="K2757" s="17"/>
      <c r="L2757" s="17" t="str">
        <f>IF(OR(COUNTIF('クラス'!$A$1:$A$1267,$B2757)&gt;0,$B2757="",$M2757=""),"",True)</f>
        <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9.0</v>
      </c>
      <c r="B2758" s="26" t="s">
        <v>2490</v>
      </c>
      <c r="C2758" s="1"/>
      <c r="D2758" s="26" t="s">
        <v>1179</v>
      </c>
      <c r="E2758" s="29" t="s">
        <v>55</v>
      </c>
      <c r="F2758" s="15"/>
      <c r="G2758" s="16"/>
      <c r="H2758" s="22" t="s">
        <v>2491</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hidden="1" customHeight="1" outlineLevel="2">
      <c r="A2759" s="1">
        <v>10.0</v>
      </c>
      <c r="B2759" s="26" t="s">
        <v>2492</v>
      </c>
      <c r="C2759" s="1"/>
      <c r="D2759" s="26" t="s">
        <v>1179</v>
      </c>
      <c r="E2759" s="29" t="s">
        <v>33</v>
      </c>
      <c r="F2759" s="15"/>
      <c r="G2759" s="30">
        <v>60.0</v>
      </c>
      <c r="H2759" s="22" t="s">
        <v>2493</v>
      </c>
      <c r="I2759" s="7"/>
      <c r="J2759" s="7" t="str">
        <f>IFERROR(LET(_xlpm.v,
VLOOKUP($I2759,'用語辞書'!$A:$B,COLUMN('用語辞書'!B$1),FALSE),
IF(_xlpm.v=0,"",_xlpm.v)
),"")</f>
        <v/>
      </c>
      <c r="K2759" s="17"/>
      <c r="L2759" s="17" t="b">
        <f>IF(OR(COUNTIF('クラス'!$A$1:$A$1267,$B2759)&gt;0,$B2759="",$M2759=""),"",True)</f>
        <v>1</v>
      </c>
      <c r="M2759" s="1" t="str">
        <f t="shared" si="30"/>
        <v>存在しない</v>
      </c>
      <c r="N2759" s="1" t="s">
        <v>29</v>
      </c>
      <c r="O2759" s="1"/>
      <c r="P2759" s="11"/>
      <c r="Q2759" s="11"/>
      <c r="R2759" s="11"/>
      <c r="S2759" s="11"/>
      <c r="T2759" s="1"/>
      <c r="U2759" s="1"/>
      <c r="V2759" s="1"/>
      <c r="W2759" s="1"/>
      <c r="X2759" s="1"/>
      <c r="Y2759" s="1"/>
      <c r="Z2759" s="1"/>
    </row>
    <row r="2760" ht="18.0" customHeight="1" outlineLevel="1" collapsed="1">
      <c r="A2760" s="1"/>
      <c r="B2760" s="1"/>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customHeight="1" outlineLevel="1">
      <c r="A2761" s="1"/>
      <c r="B2761" s="26" t="s">
        <v>2494</v>
      </c>
      <c r="C2761" s="1"/>
      <c r="D2761" s="1"/>
      <c r="E2761" s="14"/>
      <c r="F2761" s="15"/>
      <c r="G2761" s="16"/>
      <c r="H2761" s="11"/>
      <c r="I2761" s="7"/>
      <c r="J2761" s="7" t="str">
        <f>IFERROR(LET(_xlpm.v,
VLOOKUP($I2761,'用語辞書'!$A:$B,COLUMN('用語辞書'!B$1),FALSE),
IF(_xlpm.v=0,"",_xlpm.v)
),"")</f>
        <v/>
      </c>
      <c r="K2761" s="17"/>
      <c r="L2761" s="17" t="str">
        <f>IF(OR(COUNTIF('クラス'!$A$1:$A$1267,$B2761)&gt;0,$B2761="",$M2761=""),"",True)</f>
        <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1.0</v>
      </c>
      <c r="B2762" s="26" t="s">
        <v>2495</v>
      </c>
      <c r="C2762" s="1"/>
      <c r="D2762" s="26" t="s">
        <v>716</v>
      </c>
      <c r="E2762" s="29" t="s">
        <v>125</v>
      </c>
      <c r="F2762" s="15"/>
      <c r="G2762" s="30">
        <v>60.0</v>
      </c>
      <c r="H2762" s="22" t="s">
        <v>2496</v>
      </c>
      <c r="I2762" s="7"/>
      <c r="J2762" s="7" t="str">
        <f>IFERROR(LET(_xlpm.v,
VLOOKUP($I2762,'用語辞書'!$A:$B,COLUMN('用語辞書'!B$1),FALSE),
IF(_xlpm.v=0,"",_xlpm.v)
),"")</f>
        <v/>
      </c>
      <c r="K2762" s="17"/>
      <c r="L2762" s="17" t="b">
        <f>IF(OR(COUNTIF('クラス'!$A$1:$A$1267,$B2762)&gt;0,$B2762="",$M2762=""),"",True)</f>
        <v>1</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2.0</v>
      </c>
      <c r="B2763" s="1"/>
      <c r="C2763" s="1"/>
      <c r="D2763" s="1"/>
      <c r="E2763" s="14"/>
      <c r="F2763" s="15"/>
      <c r="G2763" s="16"/>
      <c r="H2763" s="11"/>
      <c r="I2763" s="7"/>
      <c r="J2763" s="7" t="str">
        <f>IFERROR(LET(_xlpm.v,
VLOOKUP($I2763,'用語辞書'!$A:$B,COLUMN('用語辞書'!B$1),FALSE),
IF(_xlpm.v=0,"",_xlpm.v)
),"")</f>
        <v/>
      </c>
      <c r="K2763" s="17"/>
      <c r="L2763" s="17" t="str">
        <f>IF(OR(COUNTIF('クラス'!$A$1:$A$1267,$B2763)&gt;0,$B2763="",$M2763=""),"",True)</f>
        <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3.0</v>
      </c>
      <c r="B2764" s="26" t="s">
        <v>2497</v>
      </c>
      <c r="C2764" s="1"/>
      <c r="D2764" s="26" t="s">
        <v>716</v>
      </c>
      <c r="E2764" s="29" t="s">
        <v>33</v>
      </c>
      <c r="F2764" s="15"/>
      <c r="G2764" s="30">
        <v>60.0</v>
      </c>
      <c r="H2764" s="22" t="s">
        <v>2498</v>
      </c>
      <c r="I2764" s="7"/>
      <c r="J2764" s="7" t="str">
        <f>IFERROR(LET(_xlpm.v,
VLOOKUP($I2764,'用語辞書'!$A:$B,COLUMN('用語辞書'!B$1),FALSE),
IF(_xlpm.v=0,"",_xlpm.v)
),"")</f>
        <v/>
      </c>
      <c r="K2764" s="17"/>
      <c r="L2764" s="17" t="b">
        <f>IF(OR(COUNTIF('クラス'!$A$1:$A$1267,$B2764)&gt;0,$B2764="",$M2764=""),"",True)</f>
        <v>1</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4.0</v>
      </c>
      <c r="B2765" s="1"/>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存在しない</v>
      </c>
      <c r="N2765" s="1" t="s">
        <v>29</v>
      </c>
      <c r="O2765" s="1"/>
      <c r="P2765" s="11"/>
      <c r="Q2765" s="11"/>
      <c r="R2765" s="11"/>
      <c r="S2765" s="11"/>
      <c r="T2765" s="1"/>
      <c r="U2765" s="1"/>
      <c r="V2765" s="1"/>
      <c r="W2765" s="1"/>
      <c r="X2765" s="1"/>
      <c r="Y2765" s="1"/>
      <c r="Z2765" s="1"/>
    </row>
    <row r="2766" ht="18.0" hidden="1" customHeight="1" outlineLevel="2">
      <c r="A2766" s="1">
        <v>5.0</v>
      </c>
      <c r="B2766" s="26" t="s">
        <v>1114</v>
      </c>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
      </c>
      <c r="N2766" s="1" t="s">
        <v>29</v>
      </c>
      <c r="O2766" s="1"/>
      <c r="P2766" s="11"/>
      <c r="Q2766" s="11"/>
      <c r="R2766" s="11"/>
      <c r="S2766" s="11"/>
      <c r="T2766" s="1"/>
      <c r="U2766" s="1"/>
      <c r="V2766" s="1"/>
      <c r="W2766" s="1"/>
      <c r="X2766" s="1"/>
      <c r="Y2766" s="1"/>
      <c r="Z2766" s="1"/>
    </row>
    <row r="2767" ht="18.0" hidden="1" customHeight="1" outlineLevel="2">
      <c r="A2767" s="1">
        <v>6.0</v>
      </c>
      <c r="B2767" s="1"/>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存在しない</v>
      </c>
      <c r="N2767" s="1" t="s">
        <v>29</v>
      </c>
      <c r="O2767" s="1"/>
      <c r="P2767" s="11"/>
      <c r="Q2767" s="11"/>
      <c r="R2767" s="11"/>
      <c r="S2767" s="11"/>
      <c r="T2767" s="1"/>
      <c r="U2767" s="1"/>
      <c r="V2767" s="1"/>
      <c r="W2767" s="1"/>
      <c r="X2767" s="1"/>
      <c r="Y2767" s="1"/>
      <c r="Z2767" s="1"/>
    </row>
    <row r="2768" ht="18.0" hidden="1" customHeight="1" outlineLevel="2">
      <c r="A2768" s="1">
        <v>7.0</v>
      </c>
      <c r="B2768" s="26" t="s">
        <v>1120</v>
      </c>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
      </c>
      <c r="N2768" s="1" t="s">
        <v>29</v>
      </c>
      <c r="O2768" s="1"/>
      <c r="P2768" s="11"/>
      <c r="Q2768" s="11"/>
      <c r="R2768" s="11"/>
      <c r="S2768" s="11"/>
      <c r="T2768" s="1"/>
      <c r="U2768" s="1"/>
      <c r="V2768" s="1"/>
      <c r="W2768" s="1"/>
      <c r="X2768" s="1"/>
      <c r="Y2768" s="1"/>
      <c r="Z2768" s="1"/>
    </row>
    <row r="2769" ht="18.0" hidden="1" customHeight="1" outlineLevel="2">
      <c r="A2769" s="1">
        <v>8.0</v>
      </c>
      <c r="B2769" s="1"/>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存在しない</v>
      </c>
      <c r="N2769" s="1" t="s">
        <v>29</v>
      </c>
      <c r="O2769" s="1"/>
      <c r="P2769" s="11"/>
      <c r="Q2769" s="11"/>
      <c r="R2769" s="11"/>
      <c r="S2769" s="11"/>
      <c r="T2769" s="1"/>
      <c r="U2769" s="1"/>
      <c r="V2769" s="1"/>
      <c r="W2769" s="1"/>
      <c r="X2769" s="1"/>
      <c r="Y2769" s="1"/>
      <c r="Z2769" s="1"/>
    </row>
    <row r="2770" ht="18.0" hidden="1" customHeight="1" outlineLevel="2">
      <c r="A2770" s="1">
        <v>9.0</v>
      </c>
      <c r="B2770" s="26" t="s">
        <v>1116</v>
      </c>
      <c r="C2770" s="1"/>
      <c r="D2770" s="1"/>
      <c r="E2770" s="14"/>
      <c r="F2770" s="15"/>
      <c r="G2770" s="16"/>
      <c r="H2770" s="11"/>
      <c r="I2770" s="7"/>
      <c r="J2770" s="7" t="str">
        <f>IFERROR(LET(_xlpm.v,
VLOOKUP($I2770,'用語辞書'!$A:$B,COLUMN('用語辞書'!B$1),FALSE),
IF(_xlpm.v=0,"",_xlpm.v)
),"")</f>
        <v/>
      </c>
      <c r="K2770" s="17"/>
      <c r="L2770" s="17" t="str">
        <f>IF(OR(COUNTIF('クラス'!$A$1:$A$1267,$B2770)&gt;0,$B2770="",$M2770=""),"",True)</f>
        <v/>
      </c>
      <c r="M2770" s="1" t="str">
        <f t="shared" si="30"/>
        <v/>
      </c>
      <c r="N2770" s="1" t="s">
        <v>29</v>
      </c>
      <c r="O2770" s="1"/>
      <c r="P2770" s="11"/>
      <c r="Q2770" s="11"/>
      <c r="R2770" s="11"/>
      <c r="S2770" s="11"/>
      <c r="T2770" s="1"/>
      <c r="U2770" s="1"/>
      <c r="V2770" s="1"/>
      <c r="W2770" s="1"/>
      <c r="X2770" s="1"/>
      <c r="Y2770" s="1"/>
      <c r="Z2770" s="1"/>
    </row>
    <row r="2771" ht="18.0" hidden="1" customHeight="1" outlineLevel="2">
      <c r="A2771" s="1">
        <v>10.0</v>
      </c>
      <c r="B2771" s="26" t="s">
        <v>2499</v>
      </c>
      <c r="C2771" s="1"/>
      <c r="D2771" s="26" t="s">
        <v>716</v>
      </c>
      <c r="E2771" s="29" t="s">
        <v>33</v>
      </c>
      <c r="F2771" s="15"/>
      <c r="G2771" s="30">
        <v>60.0</v>
      </c>
      <c r="H2771" s="22" t="s">
        <v>2500</v>
      </c>
      <c r="I2771" s="7"/>
      <c r="J2771" s="7" t="str">
        <f>IFERROR(LET(_xlpm.v,
VLOOKUP($I2771,'用語辞書'!$A:$B,COLUMN('用語辞書'!B$1),FALSE),
IF(_xlpm.v=0,"",_xlpm.v)
),"")</f>
        <v/>
      </c>
      <c r="K2771" s="17"/>
      <c r="L2771" s="17" t="b">
        <f>IF(OR(COUNTIF('クラス'!$A$1:$A$1267,$B2771)&gt;0,$B2771="",$M2771=""),"",True)</f>
        <v>1</v>
      </c>
      <c r="M2771" s="1" t="str">
        <f t="shared" si="30"/>
        <v>存在しない</v>
      </c>
      <c r="N2771" s="1" t="s">
        <v>29</v>
      </c>
      <c r="O2771" s="1"/>
      <c r="P2771" s="11"/>
      <c r="Q2771" s="11"/>
      <c r="R2771" s="11"/>
      <c r="S2771" s="11"/>
      <c r="T2771" s="1"/>
      <c r="U2771" s="1"/>
      <c r="V2771" s="1"/>
      <c r="W2771" s="1"/>
      <c r="X2771" s="1"/>
      <c r="Y2771" s="1"/>
      <c r="Z2771" s="1"/>
    </row>
    <row r="2772" ht="18.0" customHeight="1" collapsed="1">
      <c r="A2772" s="1"/>
      <c r="B2772" s="1"/>
      <c r="C2772" s="26" t="s">
        <v>2501</v>
      </c>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customHeight="1" outlineLevel="1">
      <c r="A2773" s="1"/>
      <c r="B2773" s="26" t="s">
        <v>2502</v>
      </c>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1.0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2.0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3.0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4.0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5.0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6.0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7.0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8.0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9.0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hidden="1" customHeight="1" outlineLevel="2">
      <c r="A2783" s="1">
        <v>10.0</v>
      </c>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ollapsed="1">
      <c r="A2784" s="1"/>
      <c r="B2784" s="1"/>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customHeight="1" outlineLevel="1">
      <c r="A2785" s="1"/>
      <c r="B2785" s="26" t="s">
        <v>2503</v>
      </c>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1.0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2.0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3.0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4.0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5.0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6.0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7.0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8.0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9.0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hidden="1" customHeight="1" outlineLevel="2">
      <c r="A2795" s="1">
        <v>10.0</v>
      </c>
      <c r="B2795" s="1"/>
      <c r="C2795" s="1"/>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ollapsed="1">
      <c r="A2796" s="1"/>
      <c r="B2796" s="1"/>
      <c r="C2796" s="26" t="s">
        <v>2504</v>
      </c>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customHeight="1">
      <c r="A2797" s="1"/>
      <c r="B2797" s="26" t="s">
        <v>2505</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存在しない</v>
      </c>
      <c r="N2797" s="1" t="s">
        <v>29</v>
      </c>
      <c r="O2797" s="1"/>
      <c r="P2797" s="11"/>
      <c r="Q2797" s="11"/>
      <c r="R2797" s="11"/>
      <c r="S2797" s="11"/>
      <c r="T2797" s="1"/>
      <c r="U2797" s="1"/>
      <c r="V2797" s="1"/>
      <c r="W2797" s="1"/>
      <c r="X2797" s="1"/>
      <c r="Y2797" s="1"/>
      <c r="Z2797" s="1"/>
    </row>
    <row r="2798" ht="18.0" hidden="1" customHeight="1" outlineLevel="1">
      <c r="A2798" s="1">
        <v>1.0</v>
      </c>
      <c r="B2798" s="26" t="s">
        <v>902</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2.0</v>
      </c>
      <c r="B2799" s="26" t="s">
        <v>465</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3.0</v>
      </c>
      <c r="B2800" s="26" t="s">
        <v>1186</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4.0</v>
      </c>
      <c r="B2801" s="26" t="s">
        <v>978</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5.0</v>
      </c>
      <c r="B2802" s="26" t="s">
        <v>904</v>
      </c>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
      </c>
      <c r="N2802" s="1" t="s">
        <v>29</v>
      </c>
      <c r="O2802" s="1"/>
      <c r="P2802" s="11"/>
      <c r="Q2802" s="11"/>
      <c r="R2802" s="11"/>
      <c r="S2802" s="11"/>
      <c r="T2802" s="1"/>
      <c r="U2802" s="1"/>
      <c r="V2802" s="1"/>
      <c r="W2802" s="1"/>
      <c r="X2802" s="1"/>
      <c r="Y2802" s="1"/>
      <c r="Z2802" s="1"/>
    </row>
    <row r="2803" ht="18.0" hidden="1" customHeight="1" outlineLevel="1">
      <c r="A2803" s="1">
        <v>6.0</v>
      </c>
      <c r="B2803" s="1"/>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存在しない</v>
      </c>
      <c r="N2803" s="1" t="s">
        <v>29</v>
      </c>
      <c r="O2803" s="1"/>
      <c r="P2803" s="11"/>
      <c r="Q2803" s="11"/>
      <c r="R2803" s="11"/>
      <c r="S2803" s="11"/>
      <c r="T2803" s="1"/>
      <c r="U2803" s="1"/>
      <c r="V2803" s="1"/>
      <c r="W2803" s="1"/>
      <c r="X2803" s="1"/>
      <c r="Y2803" s="1"/>
      <c r="Z2803" s="1"/>
    </row>
    <row r="2804" ht="18.0" hidden="1" customHeight="1" outlineLevel="1">
      <c r="A2804" s="1">
        <v>7.0</v>
      </c>
      <c r="B2804" s="26" t="s">
        <v>451</v>
      </c>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
      </c>
      <c r="N2804" s="1" t="s">
        <v>29</v>
      </c>
      <c r="O2804" s="1"/>
      <c r="P2804" s="11"/>
      <c r="Q2804" s="11"/>
      <c r="R2804" s="11"/>
      <c r="S2804" s="11"/>
      <c r="T2804" s="1"/>
      <c r="U2804" s="1"/>
      <c r="V2804" s="1"/>
      <c r="W2804" s="1"/>
      <c r="X2804" s="1"/>
      <c r="Y2804" s="1"/>
      <c r="Z2804" s="1"/>
    </row>
    <row r="2805" ht="18.0" hidden="1" customHeight="1" outlineLevel="1">
      <c r="A2805" s="1">
        <v>8.0</v>
      </c>
      <c r="B2805" s="1"/>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存在しない</v>
      </c>
      <c r="N2805" s="1" t="s">
        <v>29</v>
      </c>
      <c r="O2805" s="1"/>
      <c r="P2805" s="11"/>
      <c r="Q2805" s="11"/>
      <c r="R2805" s="11"/>
      <c r="S2805" s="11"/>
      <c r="T2805" s="1"/>
      <c r="U2805" s="1"/>
      <c r="V2805" s="1"/>
      <c r="W2805" s="1"/>
      <c r="X2805" s="1"/>
      <c r="Y2805" s="1"/>
      <c r="Z2805" s="1"/>
    </row>
    <row r="2806" ht="18.0" hidden="1" customHeight="1" outlineLevel="1">
      <c r="A2806" s="1">
        <v>9.0</v>
      </c>
      <c r="B2806" s="26" t="s">
        <v>384</v>
      </c>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
      </c>
      <c r="N2806" s="1" t="s">
        <v>29</v>
      </c>
      <c r="O2806" s="1"/>
      <c r="P2806" s="11"/>
      <c r="Q2806" s="11"/>
      <c r="R2806" s="11"/>
      <c r="S2806" s="11"/>
      <c r="T2806" s="1"/>
      <c r="U2806" s="1"/>
      <c r="V2806" s="1"/>
      <c r="W2806" s="1"/>
      <c r="X2806" s="1"/>
      <c r="Y2806" s="1"/>
      <c r="Z2806" s="1"/>
    </row>
    <row r="2807" ht="18.0" hidden="1" customHeight="1" outlineLevel="1">
      <c r="A2807" s="1">
        <v>10.0</v>
      </c>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ollapsed="1">
      <c r="A2808" s="1"/>
      <c r="B2808" s="1"/>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customHeight="1">
      <c r="A2809" s="1"/>
      <c r="B2809" s="26" t="s">
        <v>2506</v>
      </c>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1.0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2.0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3.0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4.0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5.0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6.0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7.0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8.0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9.0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hidden="1" customHeight="1" outlineLevel="1">
      <c r="A2819" s="1">
        <v>10.0</v>
      </c>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ollapsed="1">
      <c r="A2820" s="1"/>
      <c r="B2820" s="1"/>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customHeight="1">
      <c r="A2821" s="1"/>
      <c r="B2821" s="26" t="s">
        <v>2507</v>
      </c>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1.0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2.0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3.0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4.0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5.0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6.0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7.0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8.0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9.0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hidden="1" customHeight="1" outlineLevel="1">
      <c r="A2831" s="1">
        <v>10.0</v>
      </c>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ollapsed="1">
      <c r="A2832" s="1"/>
      <c r="B2832" s="1"/>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customHeight="1">
      <c r="A2833" s="1"/>
      <c r="B2833" s="26" t="s">
        <v>2508</v>
      </c>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1.0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2.0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3.0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4.0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5.0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6.0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7.0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8.0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9.0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hidden="1" customHeight="1" outlineLevel="1">
      <c r="A2843" s="1">
        <v>10.0</v>
      </c>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ollapsed="1">
      <c r="A2844" s="1"/>
      <c r="B2844" s="1"/>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customHeight="1">
      <c r="A2845" s="1"/>
      <c r="B2845" s="26" t="s">
        <v>2509</v>
      </c>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1.0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2.0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3.0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4.0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5.0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6.0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7.0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8.0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9.0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hidden="1" customHeight="1" outlineLevel="1">
      <c r="A2855" s="1">
        <v>10.0</v>
      </c>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ollapsed="1">
      <c r="A2856" s="1"/>
      <c r="B2856" s="1"/>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customHeight="1">
      <c r="A2857" s="1"/>
      <c r="B2857" s="26" t="s">
        <v>2510</v>
      </c>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1.0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2.0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3.0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4.0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5.0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6.0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7.0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8.0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9.0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hidden="1" customHeight="1" outlineLevel="1">
      <c r="A2867" s="1">
        <v>10.0</v>
      </c>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ollapsed="1">
      <c r="A2868" s="1"/>
      <c r="B2868" s="1"/>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customHeight="1">
      <c r="A2869" s="1"/>
      <c r="B2869" s="26" t="s">
        <v>2511</v>
      </c>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1.0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2.0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3.0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4.0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5.0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6.0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7.0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8.0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9.0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hidden="1" customHeight="1" outlineLevel="1">
      <c r="A2879" s="1">
        <v>10.0</v>
      </c>
      <c r="B2879" s="1"/>
      <c r="C2879" s="1"/>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customHeight="1" collapsed="1">
      <c r="A2880" s="1"/>
      <c r="B2880" s="1"/>
      <c r="C2880" s="26" t="s">
        <v>2512</v>
      </c>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1">
      <c r="A2881" s="1"/>
      <c r="B2881" s="26" t="s">
        <v>2513</v>
      </c>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1.0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2.0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3.0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4.0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5.0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6.0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7.0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8.0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9.0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2">
      <c r="A2891" s="1">
        <v>10.0</v>
      </c>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1"/>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1">
      <c r="A2893" s="1"/>
      <c r="B2893" s="26" t="s">
        <v>2514</v>
      </c>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1.0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2.0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3.0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4.0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5.0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6.0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7.0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8.0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9.0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2">
      <c r="A2903" s="1">
        <v>10.0</v>
      </c>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1"/>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1">
      <c r="A2905" s="1"/>
      <c r="B2905" s="26" t="s">
        <v>2515</v>
      </c>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1.0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2.0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3.0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4.0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5.0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6.0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7.0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8.0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9.0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2">
      <c r="A2915" s="1">
        <v>10.0</v>
      </c>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1"/>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1">
      <c r="A2917" s="1"/>
      <c r="B2917" s="26" t="s">
        <v>2516</v>
      </c>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1.0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2.0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3.0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4.0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5.0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6.0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7.0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8.0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9.0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2">
      <c r="A2927" s="1">
        <v>10.0</v>
      </c>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1"/>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1">
      <c r="A2929" s="1"/>
      <c r="B2929" s="26" t="s">
        <v>2517</v>
      </c>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1.0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2.0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3.0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4.0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5.0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6.0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7.0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8.0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9.0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2">
      <c r="A2939" s="1">
        <v>10.0</v>
      </c>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1"/>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1">
      <c r="A2941" s="1"/>
      <c r="B2941" s="26" t="s">
        <v>2518</v>
      </c>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1.0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2.0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3.0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4.0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5.0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6.0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7.0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8.0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9.0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hidden="1" customHeight="1" outlineLevel="2">
      <c r="A2951" s="1">
        <v>10.0</v>
      </c>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ollapsed="1">
      <c r="A2952" s="1"/>
      <c r="B2952" s="1"/>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c r="B2953" s="26" t="s">
        <v>2519</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存在しない</v>
      </c>
      <c r="N2953" s="1" t="s">
        <v>29</v>
      </c>
      <c r="O2953" s="1"/>
      <c r="P2953" s="11"/>
      <c r="Q2953" s="11"/>
      <c r="R2953" s="11"/>
      <c r="S2953" s="11"/>
      <c r="T2953" s="1"/>
      <c r="U2953" s="1"/>
      <c r="V2953" s="1"/>
      <c r="W2953" s="1"/>
      <c r="X2953" s="1"/>
      <c r="Y2953" s="1"/>
      <c r="Z2953" s="1"/>
    </row>
    <row r="2954" ht="18.0" customHeight="1">
      <c r="A2954" s="1">
        <v>1.0</v>
      </c>
      <c r="B2954" s="26" t="s">
        <v>261</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2.0</v>
      </c>
      <c r="B2955" s="26" t="s">
        <v>1064</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3.0</v>
      </c>
      <c r="B2956" s="26" t="s">
        <v>512</v>
      </c>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
      </c>
      <c r="N2956" s="1" t="s">
        <v>29</v>
      </c>
      <c r="O2956" s="1"/>
      <c r="P2956" s="11"/>
      <c r="Q2956" s="11"/>
      <c r="R2956" s="11"/>
      <c r="S2956" s="11"/>
      <c r="T2956" s="1"/>
      <c r="U2956" s="1"/>
      <c r="V2956" s="1"/>
      <c r="W2956" s="1"/>
      <c r="X2956" s="1"/>
      <c r="Y2956" s="1"/>
      <c r="Z2956" s="1"/>
    </row>
    <row r="2957" ht="18.0" customHeight="1">
      <c r="A2957" s="1">
        <v>4.0</v>
      </c>
      <c r="B2957" s="1"/>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存在しない</v>
      </c>
      <c r="N2957" s="1" t="s">
        <v>29</v>
      </c>
      <c r="O2957" s="1"/>
      <c r="P2957" s="11"/>
      <c r="Q2957" s="11"/>
      <c r="R2957" s="11"/>
      <c r="S2957" s="11"/>
      <c r="T2957" s="1"/>
      <c r="U2957" s="1"/>
      <c r="V2957" s="1"/>
      <c r="W2957" s="1"/>
      <c r="X2957" s="1"/>
      <c r="Y2957" s="1"/>
      <c r="Z2957" s="1"/>
    </row>
    <row r="2958" ht="18.0" customHeight="1">
      <c r="A2958" s="1">
        <v>5.0</v>
      </c>
      <c r="B2958" s="26" t="s">
        <v>1073</v>
      </c>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
      </c>
      <c r="N2958" s="1" t="s">
        <v>29</v>
      </c>
      <c r="O2958" s="1"/>
      <c r="P2958" s="11"/>
      <c r="Q2958" s="11"/>
      <c r="R2958" s="11"/>
      <c r="S2958" s="11"/>
      <c r="T2958" s="1"/>
      <c r="U2958" s="1"/>
      <c r="V2958" s="1"/>
      <c r="W2958" s="1"/>
      <c r="X2958" s="1"/>
      <c r="Y2958" s="1"/>
      <c r="Z2958" s="1"/>
    </row>
    <row r="2959" ht="18.0" customHeight="1">
      <c r="A2959" s="1">
        <v>6.0</v>
      </c>
      <c r="B2959" s="1"/>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存在しない</v>
      </c>
      <c r="N2959" s="1" t="s">
        <v>29</v>
      </c>
      <c r="O2959" s="1"/>
      <c r="P2959" s="11"/>
      <c r="Q2959" s="11"/>
      <c r="R2959" s="11"/>
      <c r="S2959" s="11"/>
      <c r="T2959" s="1"/>
      <c r="U2959" s="1"/>
      <c r="V2959" s="1"/>
      <c r="W2959" s="1"/>
      <c r="X2959" s="1"/>
      <c r="Y2959" s="1"/>
      <c r="Z2959" s="1"/>
    </row>
    <row r="2960" ht="18.0" customHeight="1">
      <c r="A2960" s="1">
        <v>7.0</v>
      </c>
      <c r="B2960" s="26" t="s">
        <v>446</v>
      </c>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
      </c>
      <c r="N2960" s="1" t="s">
        <v>29</v>
      </c>
      <c r="O2960" s="1"/>
      <c r="P2960" s="11"/>
      <c r="Q2960" s="11"/>
      <c r="R2960" s="11"/>
      <c r="S2960" s="11"/>
      <c r="T2960" s="1"/>
      <c r="U2960" s="1"/>
      <c r="V2960" s="1"/>
      <c r="W2960" s="1"/>
      <c r="X2960" s="1"/>
      <c r="Y2960" s="1"/>
      <c r="Z2960" s="1"/>
    </row>
    <row r="2961" ht="18.0" customHeight="1">
      <c r="A2961" s="1">
        <v>8.0</v>
      </c>
      <c r="B2961" s="1"/>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存在しない</v>
      </c>
      <c r="N2961" s="1" t="s">
        <v>29</v>
      </c>
      <c r="O2961" s="1"/>
      <c r="P2961" s="11"/>
      <c r="Q2961" s="11"/>
      <c r="R2961" s="11"/>
      <c r="S2961" s="11"/>
      <c r="T2961" s="1"/>
      <c r="U2961" s="1"/>
      <c r="V2961" s="1"/>
      <c r="W2961" s="1"/>
      <c r="X2961" s="1"/>
      <c r="Y2961" s="1"/>
      <c r="Z2961" s="1"/>
    </row>
    <row r="2962" ht="18.0" customHeight="1">
      <c r="A2962" s="1">
        <v>9.0</v>
      </c>
      <c r="B2962" s="26" t="s">
        <v>364</v>
      </c>
      <c r="C2962" s="1"/>
      <c r="D2962" s="1"/>
      <c r="E2962" s="14"/>
      <c r="F2962" s="15"/>
      <c r="G2962" s="16"/>
      <c r="H2962" s="11"/>
      <c r="I2962" s="7"/>
      <c r="J2962" s="7" t="str">
        <f>IFERROR(LET(_xlpm.v,
VLOOKUP($I2962,'用語辞書'!$A:$B,COLUMN('用語辞書'!B$1),FALSE),
IF(_xlpm.v=0,"",_xlpm.v)
),"")</f>
        <v/>
      </c>
      <c r="K2962" s="17"/>
      <c r="L2962" s="17" t="str">
        <f>IF(OR(COUNTIF('クラス'!$A$1:$A$1267,$B2962)&gt;0,$B2962="",$M2962=""),"",True)</f>
        <v/>
      </c>
      <c r="M2962" s="1" t="str">
        <f t="shared" si="30"/>
        <v/>
      </c>
      <c r="N2962" s="1" t="s">
        <v>29</v>
      </c>
      <c r="O2962" s="1"/>
      <c r="P2962" s="11"/>
      <c r="Q2962" s="11"/>
      <c r="R2962" s="11"/>
      <c r="S2962" s="11"/>
      <c r="T2962" s="1"/>
      <c r="U2962" s="1"/>
      <c r="V2962" s="1"/>
      <c r="W2962" s="1"/>
      <c r="X2962" s="1"/>
      <c r="Y2962" s="1"/>
      <c r="Z2962" s="1"/>
    </row>
    <row r="2963" ht="18.0" customHeight="1">
      <c r="A2963" s="1">
        <v>10.0</v>
      </c>
      <c r="B2963" s="26" t="s">
        <v>2520</v>
      </c>
      <c r="C2963" s="1"/>
      <c r="D2963" s="1"/>
      <c r="E2963" s="29" t="s">
        <v>55</v>
      </c>
      <c r="F2963" s="15"/>
      <c r="G2963" s="16"/>
      <c r="H2963" s="22" t="s">
        <v>2521</v>
      </c>
      <c r="I2963" s="7"/>
      <c r="J2963" s="7" t="str">
        <f>IFERROR(LET(_xlpm.v,
VLOOKUP($I2963,'用語辞書'!$A:$B,COLUMN('用語辞書'!B$1),FALSE),
IF(_xlpm.v=0,"",_xlpm.v)
),"")</f>
        <v/>
      </c>
      <c r="K2963" s="17"/>
      <c r="L2963" s="17" t="b">
        <f>IF(OR(COUNTIF('クラス'!$A$1:$A$1267,$B2963)&gt;0,$B2963="",$M2963=""),"",True)</f>
        <v>1</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1"/>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 t="shared" si="30"/>
        <v>存在しない</v>
      </c>
      <c r="N2964" s="1" t="s">
        <v>29</v>
      </c>
      <c r="O2964" s="1"/>
      <c r="P2964" s="11"/>
      <c r="Q2964" s="11"/>
      <c r="R2964" s="11"/>
      <c r="S2964" s="11"/>
      <c r="T2964" s="1"/>
      <c r="U2964" s="1"/>
      <c r="V2964" s="1"/>
      <c r="W2964" s="1"/>
      <c r="X2964" s="1"/>
      <c r="Y2964" s="1"/>
      <c r="Z2964" s="1"/>
    </row>
    <row r="2965" ht="18.0" customHeight="1">
      <c r="A2965" s="1"/>
      <c r="B2965" s="26" t="s">
        <v>2522</v>
      </c>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IF(COUNTIF($B$1:$C2952,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1.0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ref="M2966:M3085" si="31">IF(COUNTIF($B$1:$C2965, $B2966), "", "存在しない")</f>
        <v>存在しない</v>
      </c>
      <c r="N2966" s="1" t="s">
        <v>29</v>
      </c>
      <c r="O2966" s="1"/>
      <c r="P2966" s="11"/>
      <c r="Q2966" s="11"/>
      <c r="R2966" s="11"/>
      <c r="S2966" s="11"/>
      <c r="T2966" s="1"/>
      <c r="U2966" s="1"/>
      <c r="V2966" s="1"/>
      <c r="W2966" s="1"/>
      <c r="X2966" s="1"/>
      <c r="Y2966" s="1"/>
      <c r="Z2966" s="1"/>
    </row>
    <row r="2967" ht="18.0" hidden="1" customHeight="1" outlineLevel="1">
      <c r="A2967" s="1">
        <v>2.0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3.0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4.0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5.0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6.0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7.0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8.0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9.0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hidden="1" customHeight="1" outlineLevel="1">
      <c r="A2975" s="1">
        <v>10.0</v>
      </c>
      <c r="B2975" s="1"/>
      <c r="C2975" s="1"/>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ollapsed="1">
      <c r="A2976" s="1"/>
      <c r="B2976" s="1"/>
      <c r="C2976" s="26" t="s">
        <v>2523</v>
      </c>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customHeight="1">
      <c r="A2977" s="1"/>
      <c r="B2977" s="26" t="s">
        <v>2524</v>
      </c>
      <c r="C2977" s="1"/>
      <c r="D2977" s="1"/>
      <c r="E2977" s="14"/>
      <c r="F2977" s="15"/>
      <c r="G2977" s="16"/>
      <c r="H2977" s="11"/>
      <c r="I2977" s="7"/>
      <c r="J2977" s="7" t="str">
        <f>IFERROR(LET(_xlpm.v,
VLOOKUP($I2977,'用語辞書'!$A:$B,COLUMN('用語辞書'!B$1),FALSE),
IF(_xlpm.v=0,"",_xlpm.v)
),"")</f>
        <v/>
      </c>
      <c r="K2977" s="17"/>
      <c r="L2977" s="17" t="str">
        <f>IF(OR(COUNTIF('クラス'!$A$1:$A$1267,$B2977)&gt;0,$B2977="",$M2977=""),"",True)</f>
        <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1.0</v>
      </c>
      <c r="B2978" s="26" t="s">
        <v>2525</v>
      </c>
      <c r="C2978" s="26" t="s">
        <v>33</v>
      </c>
      <c r="D2978" s="26">
        <v>50.0</v>
      </c>
      <c r="E2978" s="29" t="s">
        <v>2526</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2.0</v>
      </c>
      <c r="B2979" s="26" t="s">
        <v>2527</v>
      </c>
      <c r="C2979" s="26" t="s">
        <v>33</v>
      </c>
      <c r="D2979" s="26">
        <v>50.0</v>
      </c>
      <c r="E2979" s="29" t="s">
        <v>2528</v>
      </c>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3.0</v>
      </c>
      <c r="B2980" s="26" t="s">
        <v>2529</v>
      </c>
      <c r="C2980" s="26" t="s">
        <v>55</v>
      </c>
      <c r="D2980" s="26" t="s">
        <v>2530</v>
      </c>
      <c r="E2980" s="14"/>
      <c r="F2980" s="15"/>
      <c r="G2980" s="16"/>
      <c r="H2980" s="11"/>
      <c r="I2980" s="7"/>
      <c r="J2980" s="7" t="str">
        <f>IFERROR(LET(_xlpm.v,
VLOOKUP($I2980,'用語辞書'!$A:$B,COLUMN('用語辞書'!B$1),FALSE),
IF(_xlpm.v=0,"",_xlpm.v)
),"")</f>
        <v/>
      </c>
      <c r="K2980" s="17"/>
      <c r="L2980" s="17" t="b">
        <f>IF(OR(COUNTIF('クラス'!$A$1:$A$1267,$B2980)&gt;0,$B2980="",$M2980=""),"",True)</f>
        <v>1</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4.0</v>
      </c>
      <c r="B2981" s="1"/>
      <c r="C2981" s="1"/>
      <c r="D2981" s="1"/>
      <c r="E2981" s="14"/>
      <c r="F2981" s="15"/>
      <c r="G2981" s="16"/>
      <c r="H2981" s="11"/>
      <c r="I2981" s="7"/>
      <c r="J2981" s="7" t="str">
        <f>IFERROR(LET(_xlpm.v,
VLOOKUP($I2981,'用語辞書'!$A:$B,COLUMN('用語辞書'!B$1),FALSE),
IF(_xlpm.v=0,"",_xlpm.v)
),"")</f>
        <v/>
      </c>
      <c r="K2981" s="17"/>
      <c r="L2981" s="17" t="str">
        <f>IF(OR(COUNTIF('クラス'!$A$1:$A$1267,$B2981)&gt;0,$B2981="",$M2981=""),"",True)</f>
        <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5.0</v>
      </c>
      <c r="B2982" s="26" t="s">
        <v>2531</v>
      </c>
      <c r="C2982" s="26" t="s">
        <v>33</v>
      </c>
      <c r="D2982" s="26">
        <v>50.0</v>
      </c>
      <c r="E2982" s="29" t="s">
        <v>2532</v>
      </c>
      <c r="F2982" s="15"/>
      <c r="G2982" s="16"/>
      <c r="H2982" s="11"/>
      <c r="I2982" s="7"/>
      <c r="J2982" s="7" t="str">
        <f>IFERROR(LET(_xlpm.v,
VLOOKUP($I2982,'用語辞書'!$A:$B,COLUMN('用語辞書'!B$1),FALSE),
IF(_xlpm.v=0,"",_xlpm.v)
),"")</f>
        <v/>
      </c>
      <c r="K2982" s="17"/>
      <c r="L2982" s="17" t="b">
        <f>IF(OR(COUNTIF('クラス'!$A$1:$A$1267,$B2982)&gt;0,$B2982="",$M2982=""),"",True)</f>
        <v>1</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6.0</v>
      </c>
      <c r="B2983" s="1"/>
      <c r="C2983" s="1"/>
      <c r="D2983" s="1"/>
      <c r="E2983" s="14"/>
      <c r="F2983" s="15"/>
      <c r="G2983" s="16"/>
      <c r="H2983" s="11"/>
      <c r="I2983" s="7"/>
      <c r="J2983" s="7" t="str">
        <f>IFERROR(LET(_xlpm.v,
VLOOKUP($I2983,'用語辞書'!$A:$B,COLUMN('用語辞書'!B$1),FALSE),
IF(_xlpm.v=0,"",_xlpm.v)
),"")</f>
        <v/>
      </c>
      <c r="K2983" s="17"/>
      <c r="L2983" s="17" t="str">
        <f>IF(OR(COUNTIF('クラス'!$A$1:$A$1267,$B2983)&gt;0,$B2983="",$M2983=""),"",True)</f>
        <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7.0</v>
      </c>
      <c r="B2984" s="26" t="s">
        <v>2533</v>
      </c>
      <c r="C2984" s="26" t="s">
        <v>33</v>
      </c>
      <c r="D2984" s="26">
        <v>60.0</v>
      </c>
      <c r="E2984" s="29" t="s">
        <v>2534</v>
      </c>
      <c r="F2984" s="15"/>
      <c r="G2984" s="16"/>
      <c r="H2984" s="11"/>
      <c r="I2984" s="7"/>
      <c r="J2984" s="7" t="str">
        <f>IFERROR(LET(_xlpm.v,
VLOOKUP($I2984,'用語辞書'!$A:$B,COLUMN('用語辞書'!B$1),FALSE),
IF(_xlpm.v=0,"",_xlpm.v)
),"")</f>
        <v/>
      </c>
      <c r="K2984" s="17"/>
      <c r="L2984" s="17" t="b">
        <f>IF(OR(COUNTIF('クラス'!$A$1:$A$1267,$B2984)&gt;0,$B2984="",$M2984=""),"",True)</f>
        <v>1</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8.0</v>
      </c>
      <c r="B2985" s="1"/>
      <c r="C2985" s="1"/>
      <c r="D2985" s="1"/>
      <c r="E2985" s="14"/>
      <c r="F2985" s="15"/>
      <c r="G2985" s="16"/>
      <c r="H2985" s="11"/>
      <c r="I2985" s="7"/>
      <c r="J2985" s="7" t="str">
        <f>IFERROR(LET(_xlpm.v,
VLOOKUP($I2985,'用語辞書'!$A:$B,COLUMN('用語辞書'!B$1),FALSE),
IF(_xlpm.v=0,"",_xlpm.v)
),"")</f>
        <v/>
      </c>
      <c r="K2985" s="17"/>
      <c r="L2985" s="17" t="str">
        <f>IF(OR(COUNTIF('クラス'!$A$1:$A$1267,$B2985)&gt;0,$B2985="",$M2985=""),"",True)</f>
        <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9.0</v>
      </c>
      <c r="B2986" s="26" t="s">
        <v>2535</v>
      </c>
      <c r="C2986" s="26" t="s">
        <v>33</v>
      </c>
      <c r="D2986" s="26">
        <v>60.0</v>
      </c>
      <c r="E2986" s="29" t="s">
        <v>2536</v>
      </c>
      <c r="F2986" s="15"/>
      <c r="G2986" s="16"/>
      <c r="H2986" s="11"/>
      <c r="I2986" s="7"/>
      <c r="J2986" s="7" t="str">
        <f>IFERROR(LET(_xlpm.v,
VLOOKUP($I2986,'用語辞書'!$A:$B,COLUMN('用語辞書'!B$1),FALSE),
IF(_xlpm.v=0,"",_xlpm.v)
),"")</f>
        <v/>
      </c>
      <c r="K2986" s="17"/>
      <c r="L2986" s="17" t="b">
        <f>IF(OR(COUNTIF('クラス'!$A$1:$A$1267,$B2986)&gt;0,$B2986="",$M2986=""),"",True)</f>
        <v>1</v>
      </c>
      <c r="M2986" s="1" t="str">
        <f t="shared" si="31"/>
        <v>存在しない</v>
      </c>
      <c r="N2986" s="1" t="s">
        <v>29</v>
      </c>
      <c r="O2986" s="1"/>
      <c r="P2986" s="11"/>
      <c r="Q2986" s="11"/>
      <c r="R2986" s="11"/>
      <c r="S2986" s="11"/>
      <c r="T2986" s="1"/>
      <c r="U2986" s="1"/>
      <c r="V2986" s="1"/>
      <c r="W2986" s="1"/>
      <c r="X2986" s="1"/>
      <c r="Y2986" s="1"/>
      <c r="Z2986" s="1"/>
    </row>
    <row r="2987" ht="18.0" hidden="1" customHeight="1" outlineLevel="1">
      <c r="A2987" s="26">
        <v>10.0</v>
      </c>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ollapsed="1">
      <c r="A2988" s="1"/>
      <c r="B2988" s="1"/>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customHeight="1">
      <c r="A2989" s="1"/>
      <c r="B2989" s="26" t="s">
        <v>2537</v>
      </c>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1.0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2.0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3.0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4.0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5.0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6.0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7.0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8.0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9.0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hidden="1" customHeight="1" outlineLevel="1">
      <c r="A2999" s="1">
        <v>10.0</v>
      </c>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ollapsed="1">
      <c r="A3000" s="1"/>
      <c r="B3000" s="1"/>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customHeight="1">
      <c r="A3001" s="1"/>
      <c r="B3001" s="26" t="s">
        <v>2538</v>
      </c>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1.0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2.0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3.0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4.0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5.0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6.0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7.0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8.0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9.0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hidden="1" customHeight="1" outlineLevel="1">
      <c r="A3011" s="1">
        <v>10.0</v>
      </c>
      <c r="B3011" s="1"/>
      <c r="C3011" s="1"/>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customHeight="1" collapsed="1">
      <c r="A3012" s="1"/>
      <c r="B3012" s="1"/>
      <c r="C3012" s="26" t="s">
        <v>2539</v>
      </c>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1">
      <c r="A3013" s="1"/>
      <c r="B3013" s="26" t="s">
        <v>2540</v>
      </c>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1.0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2.0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3.0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4.0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5.0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6.0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7.0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8.0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9.0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2">
      <c r="A3023" s="1">
        <v>10.0</v>
      </c>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1"/>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1">
      <c r="A3025" s="1"/>
      <c r="B3025" s="26" t="s">
        <v>2541</v>
      </c>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1.0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2.0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3.0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4.0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5.0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6.0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7.0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8.0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9.0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hidden="1" customHeight="1" outlineLevel="2">
      <c r="A3035" s="1">
        <v>10.0</v>
      </c>
      <c r="B3035" s="1"/>
      <c r="C3035" s="1"/>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collapsed="1">
      <c r="A3036" s="1"/>
      <c r="B3036" s="1"/>
      <c r="C3036" s="26" t="s">
        <v>2542</v>
      </c>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customHeight="1" outlineLevel="1">
      <c r="A3037" s="1"/>
      <c r="B3037" s="26" t="s">
        <v>2543</v>
      </c>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1.0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2.0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3.0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4.0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5.0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6.0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7.0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8.0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9.0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hidden="1" customHeight="1" outlineLevel="2">
      <c r="A3047" s="1">
        <v>10.0</v>
      </c>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ollapsed="1">
      <c r="A3048" s="1"/>
      <c r="B3048" s="1"/>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customHeight="1" outlineLevel="1">
      <c r="A3049" s="1"/>
      <c r="B3049" s="26" t="s">
        <v>2544</v>
      </c>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1.0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2.0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3.0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4.0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5.0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6.0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7.0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8.0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9.0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hidden="1" customHeight="1" outlineLevel="2">
      <c r="A3059" s="1">
        <v>10.0</v>
      </c>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ollapsed="1">
      <c r="A3060" s="1"/>
      <c r="B3060" s="1"/>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customHeight="1" outlineLevel="1">
      <c r="A3061" s="1"/>
      <c r="B3061" s="26" t="s">
        <v>2545</v>
      </c>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1.0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2.0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3.0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4.0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5.0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6.0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7.0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8.0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9.0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hidden="1" customHeight="1" outlineLevel="2">
      <c r="A3071" s="1">
        <v>10.0</v>
      </c>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ollapsed="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15"/>
      <c r="G3073" s="16"/>
      <c r="H3073" s="11"/>
      <c r="I3073" s="7"/>
      <c r="J3073" s="7" t="str">
        <f>IFERROR(LET(_xlpm.v,
VLOOKUP($I3073,'用語辞書'!$A:$B,COLUMN('用語辞書'!B$1),FALSE),
IF(_xlpm.v=0,"",_xlpm.v)
),"")</f>
        <v/>
      </c>
      <c r="K3073" s="17"/>
      <c r="L3073" s="17" t="str">
        <f>IF(OR(COUNTIF('クラス'!$A$1:$A$1267,$B3073)&gt;0,$B3073="",$M3073=""),"",True)</f>
        <v/>
      </c>
      <c r="M3073" s="1" t="str">
        <f t="shared" si="31"/>
        <v>存在しない</v>
      </c>
      <c r="N3073" s="1" t="s">
        <v>29</v>
      </c>
      <c r="O3073" s="1"/>
      <c r="P3073" s="11"/>
      <c r="Q3073" s="11"/>
      <c r="R3073" s="11"/>
      <c r="S3073" s="11"/>
      <c r="T3073" s="1"/>
      <c r="U3073" s="1"/>
      <c r="V3073" s="1"/>
      <c r="W3073" s="1"/>
      <c r="X3073" s="1"/>
      <c r="Y3073" s="1"/>
      <c r="Z3073" s="1"/>
    </row>
    <row r="3074" ht="18.0" customHeight="1">
      <c r="A3074" s="1"/>
      <c r="B3074" s="1"/>
      <c r="C3074" s="1"/>
      <c r="D3074" s="1"/>
      <c r="E3074" s="14"/>
      <c r="F3074" s="42"/>
      <c r="G3074" s="43"/>
      <c r="H3074" s="11"/>
      <c r="I3074" s="44"/>
      <c r="J3074" s="44"/>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1"/>
      <c r="B3075" s="26" t="s">
        <v>2546</v>
      </c>
      <c r="C3075" s="1"/>
      <c r="D3075" s="1"/>
      <c r="E3075" s="14"/>
      <c r="F3075" s="15"/>
      <c r="G3075" s="16"/>
      <c r="H3075" s="11"/>
      <c r="I3075" s="7"/>
      <c r="J3075" s="7" t="str">
        <f>IFERROR(LET(_xlpm.v,
VLOOKUP($I3075,'用語辞書'!$A:$B,COLUMN('用語辞書'!B$1),FALSE),
IF(_xlpm.v=0,"",_xlpm.v)
),"")</f>
        <v/>
      </c>
      <c r="K3075" s="17"/>
      <c r="L3075" s="17" t="str">
        <f>IF(OR(COUNTIF('クラス'!$A$1:$A$1267,$B3075)&gt;0,$B3075="",$M3075=""),"",True)</f>
        <v/>
      </c>
      <c r="M3075" s="1" t="str">
        <f t="shared" si="31"/>
        <v>存在しない</v>
      </c>
      <c r="N3075" s="1"/>
      <c r="O3075" s="1"/>
      <c r="P3075" s="11"/>
      <c r="Q3075" s="11"/>
      <c r="R3075" s="11"/>
      <c r="S3075" s="11"/>
      <c r="T3075" s="1"/>
      <c r="U3075" s="1"/>
      <c r="V3075" s="1"/>
      <c r="W3075" s="1"/>
      <c r="X3075" s="1"/>
      <c r="Y3075" s="1"/>
      <c r="Z3075" s="1"/>
    </row>
    <row r="3076" ht="18.0" customHeight="1">
      <c r="A3076" s="26">
        <v>1.0</v>
      </c>
      <c r="B3076" s="26" t="s">
        <v>2547</v>
      </c>
      <c r="C3076" s="1"/>
      <c r="D3076" s="26"/>
      <c r="E3076" s="29" t="s">
        <v>55</v>
      </c>
      <c r="F3076" s="15"/>
      <c r="G3076" s="30"/>
      <c r="H3076" s="22" t="s">
        <v>1291</v>
      </c>
      <c r="I3076" s="7"/>
      <c r="J3076" s="7" t="str">
        <f>IFERROR(LET(_xlpm.v,
VLOOKUP($I3076,'用語辞書'!$A:$B,COLUMN('用語辞書'!B$1),FALSE),
IF(_xlpm.v=0,"",_xlpm.v)
),"")</f>
        <v/>
      </c>
      <c r="K3076" s="17"/>
      <c r="L3076" s="17" t="b">
        <f>IF(OR(COUNTIF('クラス'!$A$1:$A$1267,$B3076)&gt;0,$B3076="",$M3076=""),"",True)</f>
        <v>1</v>
      </c>
      <c r="M3076" s="1" t="str">
        <f t="shared" si="31"/>
        <v>存在しない</v>
      </c>
      <c r="N3076" s="1"/>
      <c r="O3076" s="1"/>
      <c r="P3076" s="11"/>
      <c r="Q3076" s="11"/>
      <c r="R3076" s="11"/>
      <c r="S3076" s="11"/>
      <c r="T3076" s="1"/>
      <c r="U3076" s="1"/>
      <c r="V3076" s="1"/>
      <c r="W3076" s="1"/>
      <c r="X3076" s="1"/>
      <c r="Y3076" s="1"/>
      <c r="Z3076" s="1"/>
    </row>
    <row r="3077" ht="18.0" customHeight="1">
      <c r="A3077" s="26">
        <v>2.0</v>
      </c>
      <c r="B3077" s="1"/>
      <c r="C3077" s="1"/>
      <c r="D3077" s="1"/>
      <c r="E3077" s="14"/>
      <c r="F3077" s="15"/>
      <c r="G3077" s="16"/>
      <c r="H3077" s="11"/>
      <c r="I3077" s="7"/>
      <c r="J3077" s="7" t="str">
        <f>IFERROR(LET(_xlpm.v,
VLOOKUP($I3077,'用語辞書'!$A:$B,COLUMN('用語辞書'!B$1),FALSE),
IF(_xlpm.v=0,"",_xlpm.v)
),"")</f>
        <v/>
      </c>
      <c r="K3077" s="17"/>
      <c r="L3077" s="17" t="str">
        <f>IF(OR(COUNTIF('クラス'!$A$1:$A$1267,$B3077)&gt;0,$B3077="",$M3077=""),"",True)</f>
        <v/>
      </c>
      <c r="M3077" s="1" t="str">
        <f t="shared" si="31"/>
        <v>存在しない</v>
      </c>
      <c r="N3077" s="1"/>
      <c r="O3077" s="1"/>
      <c r="P3077" s="11"/>
      <c r="Q3077" s="11"/>
      <c r="R3077" s="11"/>
      <c r="S3077" s="11"/>
      <c r="T3077" s="1"/>
      <c r="U3077" s="1"/>
      <c r="V3077" s="1"/>
      <c r="W3077" s="1"/>
      <c r="X3077" s="1"/>
      <c r="Y3077" s="1"/>
      <c r="Z3077" s="1"/>
    </row>
    <row r="3078" ht="18.0" customHeight="1">
      <c r="A3078" s="26">
        <v>3.0</v>
      </c>
      <c r="B3078" s="26" t="s">
        <v>2548</v>
      </c>
      <c r="C3078" s="1"/>
      <c r="D3078" s="26" t="s">
        <v>644</v>
      </c>
      <c r="E3078" s="29" t="s">
        <v>33</v>
      </c>
      <c r="F3078" s="15"/>
      <c r="G3078" s="30">
        <v>60.0</v>
      </c>
      <c r="H3078" s="22" t="s">
        <v>2549</v>
      </c>
      <c r="I3078" s="7"/>
      <c r="J3078" s="7" t="str">
        <f>IFERROR(LET(_xlpm.v,
VLOOKUP($I3078,'用語辞書'!$A:$B,COLUMN('用語辞書'!B$1),FALSE),
IF(_xlpm.v=0,"",_xlpm.v)
),"")</f>
        <v/>
      </c>
      <c r="K3078" s="17"/>
      <c r="L3078" s="17" t="b">
        <f>IF(OR(COUNTIF('クラス'!$A$1:$A$1267,$B3078)&gt;0,$B3078="",$M3078=""),"",True)</f>
        <v>1</v>
      </c>
      <c r="M3078" s="1" t="str">
        <f t="shared" si="31"/>
        <v>存在しない</v>
      </c>
      <c r="N3078" s="1"/>
      <c r="O3078" s="1"/>
      <c r="P3078" s="11"/>
      <c r="Q3078" s="11"/>
      <c r="R3078" s="11"/>
      <c r="S3078" s="11"/>
      <c r="T3078" s="1"/>
      <c r="U3078" s="1"/>
      <c r="V3078" s="1"/>
      <c r="W3078" s="1"/>
      <c r="X3078" s="1"/>
      <c r="Y3078" s="1"/>
      <c r="Z3078" s="1"/>
    </row>
    <row r="3079" ht="18.0" customHeight="1">
      <c r="A3079" s="26">
        <v>4.0</v>
      </c>
      <c r="B3079" s="1"/>
      <c r="C3079" s="1"/>
      <c r="D3079" s="1"/>
      <c r="E3079" s="14"/>
      <c r="F3079" s="15"/>
      <c r="G3079" s="16"/>
      <c r="H3079" s="11"/>
      <c r="I3079" s="7"/>
      <c r="J3079" s="7" t="str">
        <f>IFERROR(LET(_xlpm.v,
VLOOKUP($I3079,'用語辞書'!$A:$B,COLUMN('用語辞書'!B$1),FALSE),
IF(_xlpm.v=0,"",_xlpm.v)
),"")</f>
        <v/>
      </c>
      <c r="K3079" s="17"/>
      <c r="L3079" s="17" t="str">
        <f>IF(OR(COUNTIF('クラス'!$A$1:$A$1267,$B3079)&gt;0,$B3079="",$M3079=""),"",True)</f>
        <v/>
      </c>
      <c r="M3079" s="1" t="str">
        <f t="shared" si="31"/>
        <v>存在しない</v>
      </c>
      <c r="N3079" s="1"/>
      <c r="O3079" s="1"/>
      <c r="P3079" s="11"/>
      <c r="Q3079" s="11"/>
      <c r="R3079" s="11"/>
      <c r="S3079" s="11"/>
      <c r="T3079" s="1"/>
      <c r="U3079" s="1"/>
      <c r="V3079" s="1"/>
      <c r="W3079" s="1"/>
      <c r="X3079" s="1"/>
      <c r="Y3079" s="1"/>
      <c r="Z3079" s="1"/>
    </row>
    <row r="3080" ht="18.0" customHeight="1">
      <c r="A3080" s="26">
        <v>5.0</v>
      </c>
      <c r="B3080" s="26" t="s">
        <v>2550</v>
      </c>
      <c r="C3080" s="1"/>
      <c r="D3080" s="26"/>
      <c r="E3080" s="29" t="s">
        <v>33</v>
      </c>
      <c r="F3080" s="15"/>
      <c r="G3080" s="30">
        <v>60.0</v>
      </c>
      <c r="H3080" s="22" t="s">
        <v>2551</v>
      </c>
      <c r="I3080" s="7"/>
      <c r="J3080" s="7" t="str">
        <f>IFERROR(LET(_xlpm.v,
VLOOKUP($I3080,'用語辞書'!$A:$B,COLUMN('用語辞書'!B$1),FALSE),
IF(_xlpm.v=0,"",_xlpm.v)
),"")</f>
        <v/>
      </c>
      <c r="K3080" s="17"/>
      <c r="L3080" s="17" t="b">
        <f>IF(OR(COUNTIF('クラス'!$A$1:$A$1267,$B3080)&gt;0,$B3080="",$M3080=""),"",True)</f>
        <v>1</v>
      </c>
      <c r="M3080" s="1" t="str">
        <f t="shared" si="31"/>
        <v>存在しない</v>
      </c>
      <c r="N3080" s="1"/>
      <c r="O3080" s="1"/>
      <c r="P3080" s="11"/>
      <c r="Q3080" s="11"/>
      <c r="R3080" s="11"/>
      <c r="S3080" s="11"/>
      <c r="T3080" s="1"/>
      <c r="U3080" s="1"/>
      <c r="V3080" s="1"/>
      <c r="W3080" s="1"/>
      <c r="X3080" s="1"/>
      <c r="Y3080" s="1"/>
      <c r="Z3080" s="1"/>
    </row>
    <row r="3081" ht="18.0" customHeight="1">
      <c r="A3081" s="26">
        <v>6.0</v>
      </c>
      <c r="B3081" s="1"/>
      <c r="C3081" s="1"/>
      <c r="D3081" s="1"/>
      <c r="E3081" s="14"/>
      <c r="F3081" s="15"/>
      <c r="G3081" s="16"/>
      <c r="H3081" s="11"/>
      <c r="I3081" s="7"/>
      <c r="J3081" s="7" t="str">
        <f>IFERROR(LET(_xlpm.v,
VLOOKUP($I3081,'用語辞書'!$A:$B,COLUMN('用語辞書'!B$1),FALSE),
IF(_xlpm.v=0,"",_xlpm.v)
),"")</f>
        <v/>
      </c>
      <c r="K3081" s="17"/>
      <c r="L3081" s="17" t="str">
        <f>IF(OR(COUNTIF('クラス'!$A$1:$A$1267,$B3081)&gt;0,$B3081="",$M3081=""),"",True)</f>
        <v/>
      </c>
      <c r="M3081" s="1" t="str">
        <f t="shared" si="31"/>
        <v>存在しない</v>
      </c>
      <c r="N3081" s="1"/>
      <c r="O3081" s="1"/>
      <c r="P3081" s="11"/>
      <c r="Q3081" s="11"/>
      <c r="R3081" s="11"/>
      <c r="S3081" s="11"/>
      <c r="T3081" s="1"/>
      <c r="U3081" s="1"/>
      <c r="V3081" s="1"/>
      <c r="W3081" s="1"/>
      <c r="X3081" s="1"/>
      <c r="Y3081" s="1"/>
      <c r="Z3081" s="1"/>
    </row>
    <row r="3082" ht="18.0" customHeight="1">
      <c r="A3082" s="26">
        <v>7.0</v>
      </c>
      <c r="B3082" s="26" t="s">
        <v>2552</v>
      </c>
      <c r="C3082" s="1"/>
      <c r="D3082" s="1"/>
      <c r="E3082" s="29" t="s">
        <v>55</v>
      </c>
      <c r="F3082" s="15"/>
      <c r="G3082" s="30"/>
      <c r="H3082" s="22" t="s">
        <v>2553</v>
      </c>
      <c r="I3082" s="7"/>
      <c r="J3082" s="7" t="str">
        <f>IFERROR(LET(_xlpm.v,
VLOOKUP($I3082,'用語辞書'!$A:$B,COLUMN('用語辞書'!B$1),FALSE),
IF(_xlpm.v=0,"",_xlpm.v)
),"")</f>
        <v/>
      </c>
      <c r="K3082" s="17"/>
      <c r="L3082" s="17" t="b">
        <f>IF(OR(COUNTIF('クラス'!$A$1:$A$1267,$B3082)&gt;0,$B3082="",$M3082=""),"",True)</f>
        <v>1</v>
      </c>
      <c r="M3082" s="1" t="str">
        <f t="shared" si="31"/>
        <v>存在しない</v>
      </c>
      <c r="N3082" s="1"/>
      <c r="O3082" s="1"/>
      <c r="P3082" s="11"/>
      <c r="Q3082" s="11"/>
      <c r="R3082" s="11"/>
      <c r="S3082" s="11"/>
      <c r="T3082" s="1"/>
      <c r="U3082" s="1"/>
      <c r="V3082" s="1"/>
      <c r="W3082" s="1"/>
      <c r="X3082" s="1"/>
      <c r="Y3082" s="1"/>
      <c r="Z3082" s="1"/>
    </row>
    <row r="3083" ht="18.0" customHeight="1">
      <c r="A3083" s="26">
        <v>8.0</v>
      </c>
      <c r="B3083" s="1"/>
      <c r="C3083" s="1"/>
      <c r="D3083" s="1"/>
      <c r="E3083" s="14"/>
      <c r="F3083" s="15"/>
      <c r="G3083" s="16"/>
      <c r="H3083" s="11"/>
      <c r="I3083" s="7"/>
      <c r="J3083" s="7" t="str">
        <f>IFERROR(LET(_xlpm.v,
VLOOKUP($I3083,'用語辞書'!$A:$B,COLUMN('用語辞書'!B$1),FALSE),
IF(_xlpm.v=0,"",_xlpm.v)
),"")</f>
        <v/>
      </c>
      <c r="K3083" s="17"/>
      <c r="L3083" s="17" t="str">
        <f>IF(OR(COUNTIF('クラス'!$A$1:$A$1267,$B3083)&gt;0,$B3083="",$M3083=""),"",True)</f>
        <v/>
      </c>
      <c r="M3083" s="1" t="str">
        <f t="shared" si="31"/>
        <v>存在しない</v>
      </c>
      <c r="N3083" s="1"/>
      <c r="O3083" s="1"/>
      <c r="P3083" s="11"/>
      <c r="Q3083" s="11"/>
      <c r="R3083" s="11"/>
      <c r="S3083" s="11"/>
      <c r="T3083" s="1"/>
      <c r="U3083" s="1"/>
      <c r="V3083" s="1"/>
      <c r="W3083" s="1"/>
      <c r="X3083" s="1"/>
      <c r="Y3083" s="1"/>
      <c r="Z3083" s="1"/>
    </row>
    <row r="3084" ht="18.0" customHeight="1">
      <c r="A3084" s="26">
        <v>9.0</v>
      </c>
      <c r="B3084" s="26" t="s">
        <v>2554</v>
      </c>
      <c r="C3084" s="1"/>
      <c r="D3084" s="1"/>
      <c r="E3084" s="29" t="s">
        <v>55</v>
      </c>
      <c r="F3084" s="15"/>
      <c r="G3084" s="16"/>
      <c r="H3084" s="22" t="s">
        <v>2555</v>
      </c>
      <c r="I3084" s="7"/>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ht="18.0" customHeight="1">
      <c r="A3085" s="26">
        <v>10.0</v>
      </c>
      <c r="B3085" s="26" t="s">
        <v>2556</v>
      </c>
      <c r="C3085" s="1"/>
      <c r="D3085" s="1"/>
      <c r="E3085" s="29" t="s">
        <v>33</v>
      </c>
      <c r="F3085" s="15"/>
      <c r="G3085" s="30">
        <v>80.0</v>
      </c>
      <c r="H3085" s="22" t="s">
        <v>2557</v>
      </c>
      <c r="I3085" s="32"/>
      <c r="J3085" s="7" t="str">
        <f>IFERROR(LET(_xlpm.v,
VLOOKUP($I3085,'用語辞書'!$A:$B,COLUMN('用語辞書'!B$1),FALSE),
IF(_xlpm.v=0,"",_xlpm.v)
),"")</f>
        <v/>
      </c>
      <c r="K3085" s="17"/>
      <c r="L3085" s="17" t="b">
        <f>IF(OR(COUNTIF('クラス'!$A$1:$A$1267,$B3085)&gt;0,$B3085="",$M3085=""),"",True)</f>
        <v>1</v>
      </c>
      <c r="M3085" s="1" t="str">
        <f t="shared" si="31"/>
        <v>存在しない</v>
      </c>
      <c r="N3085" s="1"/>
      <c r="O3085" s="1"/>
      <c r="P3085" s="11"/>
      <c r="Q3085" s="11"/>
      <c r="R3085" s="11"/>
      <c r="S3085" s="11"/>
      <c r="T3085" s="1"/>
      <c r="U3085" s="1"/>
      <c r="V3085" s="1"/>
      <c r="W3085" s="1"/>
      <c r="X3085" s="1"/>
      <c r="Y3085" s="1"/>
      <c r="Z3085" s="1"/>
    </row>
    <row r="3086">
      <c r="A3086" s="26"/>
      <c r="B3086" s="26" t="s">
        <v>2558</v>
      </c>
      <c r="C3086" s="1"/>
      <c r="D3086" s="1"/>
      <c r="E3086" s="29"/>
      <c r="F3086" s="15"/>
      <c r="G3086" s="30"/>
      <c r="H3086" s="22"/>
      <c r="I3086" s="32"/>
      <c r="J3086" s="7"/>
      <c r="K3086" s="17"/>
      <c r="L3086" s="17"/>
      <c r="M3086" s="1"/>
      <c r="N3086" s="1"/>
      <c r="O3086" s="1"/>
      <c r="P3086" s="11"/>
      <c r="Q3086" s="11"/>
      <c r="R3086" s="11"/>
      <c r="S3086" s="11"/>
      <c r="T3086" s="1"/>
      <c r="U3086" s="1"/>
      <c r="V3086" s="1"/>
      <c r="W3086" s="1"/>
      <c r="X3086" s="1"/>
      <c r="Y3086" s="1"/>
      <c r="Z3086" s="1"/>
    </row>
    <row r="3087">
      <c r="A3087" s="26">
        <v>1.0</v>
      </c>
      <c r="B3087" s="26" t="s">
        <v>2559</v>
      </c>
      <c r="C3087" s="1"/>
      <c r="D3087" s="26" t="s">
        <v>1342</v>
      </c>
      <c r="E3087" s="29" t="s">
        <v>33</v>
      </c>
      <c r="F3087" s="15"/>
      <c r="G3087" s="30">
        <v>20.0</v>
      </c>
      <c r="H3087" s="22" t="s">
        <v>2560</v>
      </c>
      <c r="I3087" s="32"/>
      <c r="J3087" s="7" t="str">
        <f>IFERROR(LET(_xlpm.v,
VLOOKUP($I3087,'用語辞書'!$A:$B,COLUMN('用語辞書'!B$1),FALSE),
IF(_xlpm.v=0,"",_xlpm.v)
),"")</f>
        <v/>
      </c>
      <c r="K3087" s="17"/>
      <c r="L3087" s="33" t="b">
        <v>1</v>
      </c>
      <c r="M3087" s="1" t="str">
        <f>IF(COUNTIF($B$1:$C3086, $B3087), "", "存在しない")</f>
        <v>存在しない</v>
      </c>
      <c r="N3087" s="1"/>
      <c r="O3087" s="1"/>
      <c r="P3087" s="11"/>
      <c r="Q3087" s="11"/>
      <c r="R3087" s="11"/>
      <c r="S3087" s="11"/>
      <c r="T3087" s="1"/>
      <c r="U3087" s="1"/>
      <c r="V3087" s="1"/>
      <c r="W3087" s="1"/>
      <c r="X3087" s="1"/>
      <c r="Y3087" s="1"/>
      <c r="Z3087" s="1"/>
    </row>
  </sheetData>
  <autoFilter ref="$A$4:$T$1662"/>
  <dataValidations>
    <dataValidation type="list" allowBlank="1" showErrorMessage="1" sqref="I5:I3073 I3075:I3087">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INDEX(CS!$B$1:$B$15026,MATCH($A18,CS!$B:$B,0)+COLUMN(A$1),1))</f>
        <v/>
      </c>
      <c r="BH18" s="37" t="str">
        <f t="array" ref="BH18">IF($A18="","", INDEX(CS!$B$1:$B$15026,MATCH($A18,CS!$B:$B,0)+COLUMN(B$1),1))</f>
        <v/>
      </c>
      <c r="BI18" s="37" t="str">
        <f t="array" ref="BI18">IF($A18="","", INDEX(CS!$B$1:$B$15026,MATCH($A18,CS!$B:$B,0)+COLUMN(C$1),1))</f>
        <v/>
      </c>
      <c r="BJ18" s="37" t="str">
        <f t="array" ref="BJ18">IF($A18="","", INDEX(CS!$B$1:$B$15026,MATCH($A18,CS!$B:$B,0)+COLUMN(D$1),1))</f>
        <v/>
      </c>
      <c r="BK18" s="37" t="str">
        <f t="array" ref="BK18">IF($A18="","", INDEX(CS!$B$1:$B$15026,MATCH($A18,CS!$B:$B,0)+COLUMN(E$1),1))</f>
        <v/>
      </c>
      <c r="BL18" s="37" t="str">
        <f t="array" ref="BL18">IF($A18="","", INDEX(CS!$B$1:$B$15026,MATCH($A18,CS!$B:$B,0)+COLUMN(F$1),1))</f>
        <v/>
      </c>
      <c r="BM18" s="37" t="str">
        <f t="array" ref="BM18">IF($A18="","", INDEX(CS!$B$1:$B$15026,MATCH($A18,CS!$B:$B,0)+COLUMN(G$1),1))</f>
        <v/>
      </c>
      <c r="BN18" s="37" t="str">
        <f t="array" ref="BN18">IF($A18="","", INDEX(CS!$B$1:$B$15026,MATCH($A18,CS!$B:$B,0)+COLUMN(H$1),1))</f>
        <v/>
      </c>
      <c r="BO18" s="37" t="str">
        <f t="array" ref="BO18">IF($A18="","", INDEX(CS!$B$1:$B$15026,MATCH($A18,CS!$B:$B,0)+COLUMN(I$1),1))</f>
        <v/>
      </c>
      <c r="BP18" s="37" t="str">
        <f t="array" ref="BP18">IF($A18="","", INDEX(CS!$B$1:$B$15026,MATCH($A18,CS!$B:$B,0)+COLUMN(J$1),1))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INDEX(CS!$B$1:$B$15026,MATCH($A19,CS!$B:$B,0)+COLUMN(A$1),1))</f>
        <v/>
      </c>
      <c r="BH19" s="37" t="str">
        <f t="array" ref="BH19">IF($A19="","", INDEX(CS!$B$1:$B$15026,MATCH($A19,CS!$B:$B,0)+COLUMN(B$1),1))</f>
        <v/>
      </c>
      <c r="BI19" s="37" t="str">
        <f t="array" ref="BI19">IF($A19="","", INDEX(CS!$B$1:$B$15026,MATCH($A19,CS!$B:$B,0)+COLUMN(C$1),1))</f>
        <v/>
      </c>
      <c r="BJ19" s="37" t="str">
        <f t="array" ref="BJ19">IF($A19="","", INDEX(CS!$B$1:$B$15026,MATCH($A19,CS!$B:$B,0)+COLUMN(D$1),1))</f>
        <v/>
      </c>
      <c r="BK19" s="37" t="str">
        <f t="array" ref="BK19">IF($A19="","", INDEX(CS!$B$1:$B$15026,MATCH($A19,CS!$B:$B,0)+COLUMN(E$1),1))</f>
        <v/>
      </c>
      <c r="BL19" s="37" t="str">
        <f t="array" ref="BL19">IF($A19="","", INDEX(CS!$B$1:$B$15026,MATCH($A19,CS!$B:$B,0)+COLUMN(F$1),1))</f>
        <v/>
      </c>
      <c r="BM19" s="37" t="str">
        <f t="array" ref="BM19">IF($A19="","", INDEX(CS!$B$1:$B$15026,MATCH($A19,CS!$B:$B,0)+COLUMN(G$1),1))</f>
        <v/>
      </c>
      <c r="BN19" s="37" t="str">
        <f t="array" ref="BN19">IF($A19="","", INDEX(CS!$B$1:$B$15026,MATCH($A19,CS!$B:$B,0)+COLUMN(H$1),1))</f>
        <v/>
      </c>
      <c r="BO19" s="37" t="str">
        <f t="array" ref="BO19">IF($A19="","", INDEX(CS!$B$1:$B$15026,MATCH($A19,CS!$B:$B,0)+COLUMN(I$1),1))</f>
        <v/>
      </c>
      <c r="BP19" s="37" t="str">
        <f t="array" ref="BP19">IF($A19="","", INDEX(CS!$B$1:$B$15026,MATCH($A19,CS!$B:$B,0)+COLUMN(J$1),1))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INDEX(CS!$B$1:$B$15026,MATCH($A20,CS!$B:$B,0)+COLUMN(A$1),1))</f>
        <v/>
      </c>
      <c r="BH20" s="37" t="str">
        <f t="array" ref="BH20">IF($A20="","", INDEX(CS!$B$1:$B$15026,MATCH($A20,CS!$B:$B,0)+COLUMN(B$1),1))</f>
        <v/>
      </c>
      <c r="BI20" s="37" t="str">
        <f t="array" ref="BI20">IF($A20="","", INDEX(CS!$B$1:$B$15026,MATCH($A20,CS!$B:$B,0)+COLUMN(C$1),1))</f>
        <v/>
      </c>
      <c r="BJ20" s="37" t="str">
        <f t="array" ref="BJ20">IF($A20="","", INDEX(CS!$B$1:$B$15026,MATCH($A20,CS!$B:$B,0)+COLUMN(D$1),1))</f>
        <v/>
      </c>
      <c r="BK20" s="37" t="str">
        <f t="array" ref="BK20">IF($A20="","", INDEX(CS!$B$1:$B$15026,MATCH($A20,CS!$B:$B,0)+COLUMN(E$1),1))</f>
        <v/>
      </c>
      <c r="BL20" s="37" t="str">
        <f t="array" ref="BL20">IF($A20="","", INDEX(CS!$B$1:$B$15026,MATCH($A20,CS!$B:$B,0)+COLUMN(F$1),1))</f>
        <v/>
      </c>
      <c r="BM20" s="37" t="str">
        <f t="array" ref="BM20">IF($A20="","", INDEX(CS!$B$1:$B$15026,MATCH($A20,CS!$B:$B,0)+COLUMN(G$1),1))</f>
        <v/>
      </c>
      <c r="BN20" s="37" t="str">
        <f t="array" ref="BN20">IF($A20="","", INDEX(CS!$B$1:$B$15026,MATCH($A20,CS!$B:$B,0)+COLUMN(H$1),1))</f>
        <v/>
      </c>
      <c r="BO20" s="37" t="str">
        <f t="array" ref="BO20">IF($A20="","", INDEX(CS!$B$1:$B$15026,MATCH($A20,CS!$B:$B,0)+COLUMN(I$1),1))</f>
        <v/>
      </c>
      <c r="BP20" s="37" t="str">
        <f t="array" ref="BP20">IF($A20="","", INDEX(CS!$B$1:$B$15026,MATCH($A20,CS!$B:$B,0)+COLUMN(J$1),1))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INDEX(CS!$B$1:$B$15026,MATCH($A21,CS!$B:$B,0)+COLUMN(A$1),1))</f>
        <v/>
      </c>
      <c r="BH21" s="37" t="str">
        <f t="array" ref="BH21">IF($A21="","", INDEX(CS!$B$1:$B$15026,MATCH($A21,CS!$B:$B,0)+COLUMN(B$1),1))</f>
        <v/>
      </c>
      <c r="BI21" s="37" t="str">
        <f t="array" ref="BI21">IF($A21="","", INDEX(CS!$B$1:$B$15026,MATCH($A21,CS!$B:$B,0)+COLUMN(C$1),1))</f>
        <v/>
      </c>
      <c r="BJ21" s="37" t="str">
        <f t="array" ref="BJ21">IF($A21="","", INDEX(CS!$B$1:$B$15026,MATCH($A21,CS!$B:$B,0)+COLUMN(D$1),1))</f>
        <v/>
      </c>
      <c r="BK21" s="37" t="str">
        <f t="array" ref="BK21">IF($A21="","", INDEX(CS!$B$1:$B$15026,MATCH($A21,CS!$B:$B,0)+COLUMN(E$1),1))</f>
        <v/>
      </c>
      <c r="BL21" s="37" t="str">
        <f t="array" ref="BL21">IF($A21="","", INDEX(CS!$B$1:$B$15026,MATCH($A21,CS!$B:$B,0)+COLUMN(F$1),1))</f>
        <v/>
      </c>
      <c r="BM21" s="37" t="str">
        <f t="array" ref="BM21">IF($A21="","", INDEX(CS!$B$1:$B$15026,MATCH($A21,CS!$B:$B,0)+COLUMN(G$1),1))</f>
        <v/>
      </c>
      <c r="BN21" s="37" t="str">
        <f t="array" ref="BN21">IF($A21="","", INDEX(CS!$B$1:$B$15026,MATCH($A21,CS!$B:$B,0)+COLUMN(H$1),1))</f>
        <v/>
      </c>
      <c r="BO21" s="37" t="str">
        <f t="array" ref="BO21">IF($A21="","", INDEX(CS!$B$1:$B$15026,MATCH($A21,CS!$B:$B,0)+COLUMN(I$1),1))</f>
        <v/>
      </c>
      <c r="BP21" s="37" t="str">
        <f t="array" ref="BP21">IF($A21="","", INDEX(CS!$B$1:$B$15026,MATCH($A21,CS!$B:$B,0)+COLUMN(J$1),1))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INDEX(CS!$B$1:$B$15026,MATCH($A22,CS!$B:$B,0)+COLUMN(A$1),1))</f>
        <v>爪</v>
      </c>
      <c r="BH22" s="37" t="str">
        <f t="array" ref="BH22">IF($A22="","", INDEX(CS!$B$1:$B$15026,MATCH($A22,CS!$B:$B,0)+COLUMN(B$1),1))</f>
        <v>牙</v>
      </c>
      <c r="BI22" s="37" t="str">
        <f t="array" ref="BI22">IF($A22="","", INDEX(CS!$B$1:$B$15026,MATCH($A22,CS!$B:$B,0)+COLUMN(C$1),1))</f>
        <v>野生感覚</v>
      </c>
      <c r="BJ22" s="37" t="str">
        <f t="array" ref="BJ22">IF($A22="","", INDEX(CS!$B$1:$B$15026,MATCH($A22,CS!$B:$B,0)+COLUMN(D$1),1))</f>
        <v/>
      </c>
      <c r="BK22" s="37" t="str">
        <f t="array" ref="BK22">IF($A22="","", INDEX(CS!$B$1:$B$15026,MATCH($A22,CS!$B:$B,0)+COLUMN(E$1),1))</f>
        <v>獣の身軽さ</v>
      </c>
      <c r="BL22" s="37" t="str">
        <f t="array" ref="BL22">IF($A22="","", INDEX(CS!$B$1:$B$15026,MATCH($A22,CS!$B:$B,0)+COLUMN(F$1),1))</f>
        <v/>
      </c>
      <c r="BM22" s="37" t="str">
        <f t="array" ref="BM22">IF($A22="","", INDEX(CS!$B$1:$B$15026,MATCH($A22,CS!$B:$B,0)+COLUMN(G$1),1))</f>
        <v>獣性</v>
      </c>
      <c r="BN22" s="37" t="str">
        <f t="array" ref="BN22">IF($A22="","", INDEX(CS!$B$1:$B$15026,MATCH($A22,CS!$B:$B,0)+COLUMN(H$1),1))</f>
        <v/>
      </c>
      <c r="BO22" s="37" t="str">
        <f t="array" ref="BO22">IF($A22="","", INDEX(CS!$B$1:$B$15026,MATCH($A22,CS!$B:$B,0)+COLUMN(I$1),1))</f>
        <v/>
      </c>
      <c r="BP22" s="37" t="str">
        <f t="array" ref="BP22">IF($A22="","", INDEX(CS!$B$1:$B$15026,MATCH($A22,CS!$B:$B,0)+COLUMN(J$1),1))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INDEX(CS!$B$1:$B$15026,MATCH($A23,CS!$B:$B,0)+COLUMN(A$1),1))</f>
        <v>牙</v>
      </c>
      <c r="BH23" s="37" t="str">
        <f t="array" ref="BH23">IF($A23="","", INDEX(CS!$B$1:$B$15026,MATCH($A23,CS!$B:$B,0)+COLUMN(B$1),1))</f>
        <v>爪</v>
      </c>
      <c r="BI23" s="37" t="str">
        <f t="array" ref="BI23">IF($A23="","", INDEX(CS!$B$1:$B$15026,MATCH($A23,CS!$B:$B,0)+COLUMN(C$1),1))</f>
        <v>尾</v>
      </c>
      <c r="BJ23" s="37" t="str">
        <f t="array" ref="BJ23">IF($A23="","", INDEX(CS!$B$1:$B$15026,MATCH($A23,CS!$B:$B,0)+COLUMN(D$1),1))</f>
        <v/>
      </c>
      <c r="BK23" s="37" t="str">
        <f t="array" ref="BK23">IF($A23="","", INDEX(CS!$B$1:$B$15026,MATCH($A23,CS!$B:$B,0)+COLUMN(E$1),1))</f>
        <v>竜鱗</v>
      </c>
      <c r="BL23" s="37" t="str">
        <f t="array" ref="BL23">IF($A23="","", INDEX(CS!$B$1:$B$15026,MATCH($A23,CS!$B:$B,0)+COLUMN(F$1),1))</f>
        <v/>
      </c>
      <c r="BM23" s="37" t="str">
        <f t="array" ref="BM23">IF($A23="","", INDEX(CS!$B$1:$B$15026,MATCH($A23,CS!$B:$B,0)+COLUMN(G$1),1))</f>
        <v>竜人の咆哮</v>
      </c>
      <c r="BN23" s="37" t="str">
        <f t="array" ref="BN23">IF($A23="","", INDEX(CS!$B$1:$B$15026,MATCH($A23,CS!$B:$B,0)+COLUMN(H$1),1))</f>
        <v/>
      </c>
      <c r="BO23" s="37" t="str">
        <f t="array" ref="BO23">IF($A23="","", INDEX(CS!$B$1:$B$15026,MATCH($A23,CS!$B:$B,0)+COLUMN(I$1),1))</f>
        <v/>
      </c>
      <c r="BP23" s="37" t="str">
        <f t="array" ref="BP23">IF($A23="","", INDEX(CS!$B$1:$B$15026,MATCH($A23,CS!$B:$B,0)+COLUMN(J$1),1))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INDEX(CS!$B$1:$B$15026,MATCH($A24,CS!$B:$B,0)+COLUMN(A$1),1))</f>
        <v>豪腕</v>
      </c>
      <c r="BH24" s="37" t="str">
        <f t="array" ref="BH24">IF($A24="","", INDEX(CS!$B$1:$B$15026,MATCH($A24,CS!$B:$B,0)+COLUMN(B$1),1))</f>
        <v/>
      </c>
      <c r="BI24" s="37" t="str">
        <f t="array" ref="BI24">IF($A24="","", INDEX(CS!$B$1:$B$15026,MATCH($A24,CS!$B:$B,0)+COLUMN(C$1),1))</f>
        <v>強靭な肉体</v>
      </c>
      <c r="BJ24" s="37" t="str">
        <f t="array" ref="BJ24">IF($A24="","", INDEX(CS!$B$1:$B$15026,MATCH($A24,CS!$B:$B,0)+COLUMN(D$1),1))</f>
        <v/>
      </c>
      <c r="BK24" s="37" t="str">
        <f t="array" ref="BK24">IF($A24="","", INDEX(CS!$B$1:$B$15026,MATCH($A24,CS!$B:$B,0)+COLUMN(E$1),1))</f>
        <v>叩き潰し</v>
      </c>
      <c r="BL24" s="37" t="str">
        <f t="array" ref="BL24">IF($A24="","", INDEX(CS!$B$1:$B$15026,MATCH($A24,CS!$B:$B,0)+COLUMN(F$1),1))</f>
        <v/>
      </c>
      <c r="BM24" s="37" t="str">
        <f t="array" ref="BM24">IF($A24="","", INDEX(CS!$B$1:$B$15026,MATCH($A24,CS!$B:$B,0)+COLUMN(G$1),1))</f>
        <v>大鬼の咆哮</v>
      </c>
      <c r="BN24" s="37" t="str">
        <f t="array" ref="BN24">IF($A24="","", INDEX(CS!$B$1:$B$15026,MATCH($A24,CS!$B:$B,0)+COLUMN(H$1),1))</f>
        <v/>
      </c>
      <c r="BO24" s="37" t="str">
        <f t="array" ref="BO24">IF($A24="","", INDEX(CS!$B$1:$B$15026,MATCH($A24,CS!$B:$B,0)+COLUMN(I$1),1))</f>
        <v>圧砕撃</v>
      </c>
      <c r="BP24" s="37" t="str">
        <f t="array" ref="BP24">IF($A24="","", INDEX(CS!$B$1:$B$15026,MATCH($A24,CS!$B:$B,0)+COLUMN(J$1),1))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INDEX(CS!$B$1:$B$15026,MATCH($A25,CS!$B:$B,0)+COLUMN(A$1),1))</f>
        <v>巨人の膂力</v>
      </c>
      <c r="BH25" s="37" t="str">
        <f t="array" ref="BH25">IF($A25="","", INDEX(CS!$B$1:$B$15026,MATCH($A25,CS!$B:$B,0)+COLUMN(B$1),1))</f>
        <v/>
      </c>
      <c r="BI25" s="37" t="str">
        <f t="array" ref="BI25">IF($A25="","", INDEX(CS!$B$1:$B$15026,MATCH($A25,CS!$B:$B,0)+COLUMN(C$1),1))</f>
        <v>巨大な体躯</v>
      </c>
      <c r="BJ25" s="37" t="str">
        <f t="array" ref="BJ25">IF($A25="","", INDEX(CS!$B$1:$B$15026,MATCH($A25,CS!$B:$B,0)+COLUMN(D$1),1))</f>
        <v/>
      </c>
      <c r="BK25" s="37" t="str">
        <f t="array" ref="BK25">IF($A25="","", INDEX(CS!$B$1:$B$15026,MATCH($A25,CS!$B:$B,0)+COLUMN(E$1),1))</f>
        <v>踏みつけ</v>
      </c>
      <c r="BL25" s="37" t="str">
        <f t="array" ref="BL25">IF($A25="","", INDEX(CS!$B$1:$B$15026,MATCH($A25,CS!$B:$B,0)+COLUMN(F$1),1))</f>
        <v/>
      </c>
      <c r="BM25" s="37" t="str">
        <f t="array" ref="BM25">IF($A25="","", INDEX(CS!$B$1:$B$15026,MATCH($A25,CS!$B:$B,0)+COLUMN(G$1),1))</f>
        <v>巨腕薙ぎ</v>
      </c>
      <c r="BN25" s="37" t="str">
        <f t="array" ref="BN25">IF($A25="","", INDEX(CS!$B$1:$B$15026,MATCH($A25,CS!$B:$B,0)+COLUMN(H$1),1))</f>
        <v/>
      </c>
      <c r="BO25" s="37" t="str">
        <f t="array" ref="BO25">IF($A25="","", INDEX(CS!$B$1:$B$15026,MATCH($A25,CS!$B:$B,0)+COLUMN(I$1),1))</f>
        <v>地踏み</v>
      </c>
      <c r="BP25" s="37" t="str">
        <f t="array" ref="BP25">IF($A25="","", INDEX(CS!$B$1:$B$15026,MATCH($A25,CS!$B:$B,0)+COLUMN(J$1),1))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INDEX(CS!$B$1:$B$15026,MATCH($A26,CS!$B:$B,0)+COLUMN(A$1),1))</f>
        <v>小柄</v>
      </c>
      <c r="BH26" s="37" t="str">
        <f t="array" ref="BH26">IF($A26="","", INDEX(CS!$B$1:$B$15026,MATCH($A26,CS!$B:$B,0)+COLUMN(B$1),1))</f>
        <v/>
      </c>
      <c r="BI26" s="37" t="str">
        <f t="array" ref="BI26">IF($A26="","", INDEX(CS!$B$1:$B$15026,MATCH($A26,CS!$B:$B,0)+COLUMN(C$1),1))</f>
        <v>悪知恵</v>
      </c>
      <c r="BJ26" s="37" t="str">
        <f t="array" ref="BJ26">IF($A26="","", INDEX(CS!$B$1:$B$15026,MATCH($A26,CS!$B:$B,0)+COLUMN(D$1),1))</f>
        <v/>
      </c>
      <c r="BK26" s="37" t="str">
        <f t="array" ref="BK26">IF($A26="","", INDEX(CS!$B$1:$B$15026,MATCH($A26,CS!$B:$B,0)+COLUMN(E$1),1))</f>
        <v>逃げ足</v>
      </c>
      <c r="BL26" s="37" t="str">
        <f t="array" ref="BL26">IF($A26="","", INDEX(CS!$B$1:$B$15026,MATCH($A26,CS!$B:$B,0)+COLUMN(F$1),1))</f>
        <v/>
      </c>
      <c r="BM26" s="37" t="str">
        <f t="array" ref="BM26">IF($A26="","", INDEX(CS!$B$1:$B$15026,MATCH($A26,CS!$B:$B,0)+COLUMN(G$1),1))</f>
        <v>奇襲</v>
      </c>
      <c r="BN26" s="37" t="str">
        <f t="array" ref="BN26">IF($A26="","", INDEX(CS!$B$1:$B$15026,MATCH($A26,CS!$B:$B,0)+COLUMN(H$1),1))</f>
        <v/>
      </c>
      <c r="BO26" s="37" t="str">
        <f t="array" ref="BO26">IF($A26="","", INDEX(CS!$B$1:$B$15026,MATCH($A26,CS!$B:$B,0)+COLUMN(I$1),1))</f>
        <v>罠師</v>
      </c>
      <c r="BP26" s="37" t="str">
        <f t="array" ref="BP26">IF($A26="","", INDEX(CS!$B$1:$B$15026,MATCH($A26,CS!$B:$B,0)+COLUMN(J$1),1))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INDEX(CS!$B$1:$B$15026,MATCH($A27,CS!$B:$B,0)+COLUMN(A$1),1))</f>
        <v>樹皮</v>
      </c>
      <c r="BH27" s="37" t="str">
        <f t="array" ref="BH27">IF($A27="","", INDEX(CS!$B$1:$B$15026,MATCH($A27,CS!$B:$B,0)+COLUMN(B$1),1))</f>
        <v/>
      </c>
      <c r="BI27" s="37" t="str">
        <f t="array" ref="BI27">IF($A27="","", INDEX(CS!$B$1:$B$15026,MATCH($A27,CS!$B:$B,0)+COLUMN(C$1),1))</f>
        <v>根張り</v>
      </c>
      <c r="BJ27" s="37" t="str">
        <f t="array" ref="BJ27">IF($A27="","", INDEX(CS!$B$1:$B$15026,MATCH($A27,CS!$B:$B,0)+COLUMN(D$1),1))</f>
        <v/>
      </c>
      <c r="BK27" s="37" t="str">
        <f t="array" ref="BK27">IF($A27="","", INDEX(CS!$B$1:$B$15026,MATCH($A27,CS!$B:$B,0)+COLUMN(E$1),1))</f>
        <v>枝打ち</v>
      </c>
      <c r="BL27" s="37" t="str">
        <f t="array" ref="BL27">IF($A27="","", INDEX(CS!$B$1:$B$15026,MATCH($A27,CS!$B:$B,0)+COLUMN(F$1),1))</f>
        <v/>
      </c>
      <c r="BM27" s="37" t="str">
        <f t="array" ref="BM27">IF($A27="","", INDEX(CS!$B$1:$B$15026,MATCH($A27,CS!$B:$B,0)+COLUMN(G$1),1))</f>
        <v>森との同化</v>
      </c>
      <c r="BN27" s="37" t="str">
        <f t="array" ref="BN27">IF($A27="","", INDEX(CS!$B$1:$B$15026,MATCH($A27,CS!$B:$B,0)+COLUMN(H$1),1))</f>
        <v/>
      </c>
      <c r="BO27" s="37" t="str">
        <f t="array" ref="BO27">IF($A27="","", INDEX(CS!$B$1:$B$15026,MATCH($A27,CS!$B:$B,0)+COLUMN(I$1),1))</f>
        <v>生命樹液</v>
      </c>
      <c r="BP27" s="37" t="str">
        <f t="array" ref="BP27">IF($A27="","", INDEX(CS!$B$1:$B$15026,MATCH($A27,CS!$B:$B,0)+COLUMN(J$1),1))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INDEX(CS!$B$1:$B$15026,MATCH($A28,CS!$B:$B,0)+COLUMN(A$1),1))</f>
        <v/>
      </c>
      <c r="BH28" s="37" t="str">
        <f t="array" ref="BH28">IF($A28="","", INDEX(CS!$B$1:$B$15026,MATCH($A28,CS!$B:$B,0)+COLUMN(B$1),1))</f>
        <v/>
      </c>
      <c r="BI28" s="37" t="str">
        <f t="array" ref="BI28">IF($A28="","", INDEX(CS!$B$1:$B$15026,MATCH($A28,CS!$B:$B,0)+COLUMN(C$1),1))</f>
        <v/>
      </c>
      <c r="BJ28" s="37" t="str">
        <f t="array" ref="BJ28">IF($A28="","", INDEX(CS!$B$1:$B$15026,MATCH($A28,CS!$B:$B,0)+COLUMN(D$1),1))</f>
        <v/>
      </c>
      <c r="BK28" s="37" t="str">
        <f t="array" ref="BK28">IF($A28="","", INDEX(CS!$B$1:$B$15026,MATCH($A28,CS!$B:$B,0)+COLUMN(E$1),1))</f>
        <v/>
      </c>
      <c r="BL28" s="37" t="str">
        <f t="array" ref="BL28">IF($A28="","", INDEX(CS!$B$1:$B$15026,MATCH($A28,CS!$B:$B,0)+COLUMN(F$1),1))</f>
        <v/>
      </c>
      <c r="BM28" s="37" t="str">
        <f t="array" ref="BM28">IF($A28="","", INDEX(CS!$B$1:$B$15026,MATCH($A28,CS!$B:$B,0)+COLUMN(G$1),1))</f>
        <v/>
      </c>
      <c r="BN28" s="37" t="str">
        <f t="array" ref="BN28">IF($A28="","", INDEX(CS!$B$1:$B$15026,MATCH($A28,CS!$B:$B,0)+COLUMN(H$1),1))</f>
        <v/>
      </c>
      <c r="BO28" s="37" t="str">
        <f t="array" ref="BO28">IF($A28="","", INDEX(CS!$B$1:$B$15026,MATCH($A28,CS!$B:$B,0)+COLUMN(I$1),1))</f>
        <v/>
      </c>
      <c r="BP28" s="37" t="str">
        <f t="array" ref="BP28">IF($A28="","", INDEX(CS!$B$1:$B$15026,MATCH($A28,CS!$B:$B,0)+COLUMN(J$1),1))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INDEX(CS!$B$1:$B$15026,MATCH($A29,CS!$B:$B,0)+COLUMN(A$1),1))</f>
        <v/>
      </c>
      <c r="BH29" s="79" t="str">
        <f t="array" ref="BH29">IF($A29="","", INDEX(CS!$B$1:$B$15026,MATCH($A29,CS!$B:$B,0)+COLUMN(B$1),1))</f>
        <v/>
      </c>
      <c r="BI29" s="79" t="str">
        <f t="array" ref="BI29">IF($A29="","", INDEX(CS!$B$1:$B$15026,MATCH($A29,CS!$B:$B,0)+COLUMN(C$1),1))</f>
        <v/>
      </c>
      <c r="BJ29" s="79" t="str">
        <f t="array" ref="BJ29">IF($A29="","", INDEX(CS!$B$1:$B$15026,MATCH($A29,CS!$B:$B,0)+COLUMN(D$1),1))</f>
        <v/>
      </c>
      <c r="BK29" s="79" t="str">
        <f t="array" ref="BK29">IF($A29="","", INDEX(CS!$B$1:$B$15026,MATCH($A29,CS!$B:$B,0)+COLUMN(E$1),1))</f>
        <v/>
      </c>
      <c r="BL29" s="79" t="str">
        <f t="array" ref="BL29">IF($A29="","", INDEX(CS!$B$1:$B$15026,MATCH($A29,CS!$B:$B,0)+COLUMN(F$1),1))</f>
        <v/>
      </c>
      <c r="BM29" s="79" t="str">
        <f t="array" ref="BM29">IF($A29="","", INDEX(CS!$B$1:$B$15026,MATCH($A29,CS!$B:$B,0)+COLUMN(G$1),1))</f>
        <v/>
      </c>
      <c r="BN29" s="79" t="str">
        <f t="array" ref="BN29">IF($A29="","", INDEX(CS!$B$1:$B$15026,MATCH($A29,CS!$B:$B,0)+COLUMN(H$1),1))</f>
        <v/>
      </c>
      <c r="BO29" s="79" t="str">
        <f t="array" ref="BO29">IF($A29="","", INDEX(CS!$B$1:$B$15026,MATCH($A29,CS!$B:$B,0)+COLUMN(I$1),1))</f>
        <v/>
      </c>
      <c r="BP29" s="79" t="str">
        <f t="array" ref="BP29">IF($A29="","", INDEX(CS!$B$1:$B$15026,MATCH($A29,CS!$B:$B,0)+COLUMN(J$1),1))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INDEX(CS!$B$1:$B$15026,MATCH($A30,CS!$B:$B,0)+COLUMN(A$1),1))</f>
        <v/>
      </c>
      <c r="BH30" s="37" t="str">
        <f t="array" ref="BH30">IF($A30="","", INDEX(CS!$B$1:$B$15026,MATCH($A30,CS!$B:$B,0)+COLUMN(B$1),1))</f>
        <v>邪視</v>
      </c>
      <c r="BI30" s="37" t="str">
        <f t="array" ref="BI30">IF($A30="","", INDEX(CS!$B$1:$B$15026,MATCH($A30,CS!$B:$B,0)+COLUMN(C$1),1))</f>
        <v>悪魔の槍</v>
      </c>
      <c r="BJ30" s="37" t="str">
        <f t="array" ref="BJ30">IF($A30="","", INDEX(CS!$B$1:$B$15026,MATCH($A30,CS!$B:$B,0)+COLUMN(D$1),1))</f>
        <v/>
      </c>
      <c r="BK30" s="37" t="str">
        <f t="array" ref="BK30">IF($A30="","", INDEX(CS!$B$1:$B$15026,MATCH($A30,CS!$B:$B,0)+COLUMN(E$1),1))</f>
        <v>悪魔の槍</v>
      </c>
      <c r="BL30" s="37" t="str">
        <f t="array" ref="BL30">IF($A30="","", INDEX(CS!$B$1:$B$15026,MATCH($A30,CS!$B:$B,0)+COLUMN(F$1),1))</f>
        <v>悪の魔力</v>
      </c>
      <c r="BM30" s="37" t="str">
        <f t="array" ref="BM30">IF($A30="","", INDEX(CS!$B$1:$B$15026,MATCH($A30,CS!$B:$B,0)+COLUMN(G$1),1))</f>
        <v>悪魔の外皮</v>
      </c>
      <c r="BN30" s="37" t="str">
        <f t="array" ref="BN30">IF($A30="","", INDEX(CS!$B$1:$B$15026,MATCH($A30,CS!$B:$B,0)+COLUMN(H$1),1))</f>
        <v/>
      </c>
      <c r="BO30" s="37" t="str">
        <f t="array" ref="BO30">IF($A30="","", INDEX(CS!$B$1:$B$15026,MATCH($A30,CS!$B:$B,0)+COLUMN(I$1),1))</f>
        <v>悪魔の威圧</v>
      </c>
      <c r="BP30" s="37" t="str">
        <f t="array" ref="BP30">IF($A30="","", INDEX(CS!$B$1:$B$15026,MATCH($A30,CS!$B:$B,0)+COLUMN(J$1),1))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INDEX(CS!$B$1:$B$15026,MATCH($A31,CS!$B:$B,0)+COLUMN(A$1),1))</f>
        <v>#N/A</v>
      </c>
      <c r="BH31" s="37" t="str">
        <f t="array" ref="BH31">IF($A31="","", INDEX(CS!$B$1:$B$15026,MATCH($A31,CS!$B:$B,0)+COLUMN(B$1),1))</f>
        <v>#N/A</v>
      </c>
      <c r="BI31" s="37" t="str">
        <f t="array" ref="BI31">IF($A31="","", INDEX(CS!$B$1:$B$15026,MATCH($A31,CS!$B:$B,0)+COLUMN(C$1),1))</f>
        <v>#N/A</v>
      </c>
      <c r="BJ31" s="37" t="str">
        <f t="array" ref="BJ31">IF($A31="","", INDEX(CS!$B$1:$B$15026,MATCH($A31,CS!$B:$B,0)+COLUMN(D$1),1))</f>
        <v>#N/A</v>
      </c>
      <c r="BK31" s="37" t="str">
        <f t="array" ref="BK31">IF($A31="","", INDEX(CS!$B$1:$B$15026,MATCH($A31,CS!$B:$B,0)+COLUMN(E$1),1))</f>
        <v>#N/A</v>
      </c>
      <c r="BL31" s="37" t="str">
        <f t="array" ref="BL31">IF($A31="","", INDEX(CS!$B$1:$B$15026,MATCH($A31,CS!$B:$B,0)+COLUMN(F$1),1))</f>
        <v>#N/A</v>
      </c>
      <c r="BM31" s="37" t="str">
        <f t="array" ref="BM31">IF($A31="","", INDEX(CS!$B$1:$B$15026,MATCH($A31,CS!$B:$B,0)+COLUMN(G$1),1))</f>
        <v>#N/A</v>
      </c>
      <c r="BN31" s="37" t="str">
        <f t="array" ref="BN31">IF($A31="","", INDEX(CS!$B$1:$B$15026,MATCH($A31,CS!$B:$B,0)+COLUMN(H$1),1))</f>
        <v>#N/A</v>
      </c>
      <c r="BO31" s="37" t="str">
        <f t="array" ref="BO31">IF($A31="","", INDEX(CS!$B$1:$B$15026,MATCH($A31,CS!$B:$B,0)+COLUMN(I$1),1))</f>
        <v>#N/A</v>
      </c>
      <c r="BP31" s="37" t="str">
        <f t="array" ref="BP31">IF($A31="","", INDEX(CS!$B$1:$B$15026,MATCH($A31,CS!$B:$B,0)+COLUMN(J$1),1))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INDEX(CS!$B$1:$B$15026,MATCH($A32,CS!$B:$B,0)+COLUMN(A$1),1))</f>
        <v>#N/A</v>
      </c>
      <c r="BH32" s="37" t="str">
        <f t="array" ref="BH32">IF($A32="","", INDEX(CS!$B$1:$B$15026,MATCH($A32,CS!$B:$B,0)+COLUMN(B$1),1))</f>
        <v>#N/A</v>
      </c>
      <c r="BI32" s="37" t="str">
        <f t="array" ref="BI32">IF($A32="","", INDEX(CS!$B$1:$B$15026,MATCH($A32,CS!$B:$B,0)+COLUMN(C$1),1))</f>
        <v>#N/A</v>
      </c>
      <c r="BJ32" s="37" t="str">
        <f t="array" ref="BJ32">IF($A32="","", INDEX(CS!$B$1:$B$15026,MATCH($A32,CS!$B:$B,0)+COLUMN(D$1),1))</f>
        <v>#N/A</v>
      </c>
      <c r="BK32" s="37" t="str">
        <f t="array" ref="BK32">IF($A32="","", INDEX(CS!$B$1:$B$15026,MATCH($A32,CS!$B:$B,0)+COLUMN(E$1),1))</f>
        <v>#N/A</v>
      </c>
      <c r="BL32" s="37" t="str">
        <f t="array" ref="BL32">IF($A32="","", INDEX(CS!$B$1:$B$15026,MATCH($A32,CS!$B:$B,0)+COLUMN(F$1),1))</f>
        <v>#N/A</v>
      </c>
      <c r="BM32" s="37" t="str">
        <f t="array" ref="BM32">IF($A32="","", INDEX(CS!$B$1:$B$15026,MATCH($A32,CS!$B:$B,0)+COLUMN(G$1),1))</f>
        <v>#N/A</v>
      </c>
      <c r="BN32" s="37" t="str">
        <f t="array" ref="BN32">IF($A32="","", INDEX(CS!$B$1:$B$15026,MATCH($A32,CS!$B:$B,0)+COLUMN(H$1),1))</f>
        <v>#N/A</v>
      </c>
      <c r="BO32" s="37" t="str">
        <f t="array" ref="BO32">IF($A32="","", INDEX(CS!$B$1:$B$15026,MATCH($A32,CS!$B:$B,0)+COLUMN(I$1),1))</f>
        <v>#N/A</v>
      </c>
      <c r="BP32" s="37" t="str">
        <f t="array" ref="BP32">IF($A32="","", INDEX(CS!$B$1:$B$15026,MATCH($A32,CS!$B:$B,0)+COLUMN(J$1),1))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INDEX(CS!$B$1:$B$15026,MATCH($A42,CS!$B:$B,0)+COLUMN(A$1),1))</f>
        <v/>
      </c>
      <c r="BH42" s="37" t="str">
        <f t="array" ref="BH42">IF($A42="","", INDEX(CS!$B$1:$B$15026,MATCH($A42,CS!$B:$B,0)+COLUMN(B$1),1))</f>
        <v/>
      </c>
      <c r="BI42" s="37" t="str">
        <f t="array" ref="BI42">IF($A42="","", INDEX(CS!$B$1:$B$15026,MATCH($A42,CS!$B:$B,0)+COLUMN(C$1),1))</f>
        <v/>
      </c>
      <c r="BJ42" s="37" t="str">
        <f t="array" ref="BJ42">IF($A42="","", INDEX(CS!$B$1:$B$15026,MATCH($A42,CS!$B:$B,0)+COLUMN(D$1),1))</f>
        <v/>
      </c>
      <c r="BK42" s="37" t="str">
        <f t="array" ref="BK42">IF($A42="","", INDEX(CS!$B$1:$B$15026,MATCH($A42,CS!$B:$B,0)+COLUMN(E$1),1))</f>
        <v/>
      </c>
      <c r="BL42" s="37" t="str">
        <f t="array" ref="BL42">IF($A42="","", INDEX(CS!$B$1:$B$15026,MATCH($A42,CS!$B:$B,0)+COLUMN(F$1),1))</f>
        <v/>
      </c>
      <c r="BM42" s="37" t="str">
        <f t="array" ref="BM42">IF($A42="","", INDEX(CS!$B$1:$B$15026,MATCH($A42,CS!$B:$B,0)+COLUMN(G$1),1))</f>
        <v/>
      </c>
      <c r="BN42" s="37" t="str">
        <f t="array" ref="BN42">IF($A42="","", INDEX(CS!$B$1:$B$15026,MATCH($A42,CS!$B:$B,0)+COLUMN(H$1),1))</f>
        <v/>
      </c>
      <c r="BO42" s="37" t="str">
        <f t="array" ref="BO42">IF($A42="","", INDEX(CS!$B$1:$B$15026,MATCH($A42,CS!$B:$B,0)+COLUMN(I$1),1))</f>
        <v/>
      </c>
      <c r="BP42" s="37" t="str">
        <f t="array" ref="BP42">IF($A42="","", INDEX(CS!$B$1:$B$15026,MATCH($A42,CS!$B:$B,0)+COLUMN(J$1),1))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INDEX(CS!$B$1:$B$15026,MATCH($A43,CS!$B:$B,0)+COLUMN(A$1),1))</f>
        <v/>
      </c>
      <c r="BH43" s="79" t="str">
        <f t="array" ref="BH43">IF($A43="","", INDEX(CS!$B$1:$B$15026,MATCH($A43,CS!$B:$B,0)+COLUMN(B$1),1))</f>
        <v/>
      </c>
      <c r="BI43" s="79" t="str">
        <f t="array" ref="BI43">IF($A43="","", INDEX(CS!$B$1:$B$15026,MATCH($A43,CS!$B:$B,0)+COLUMN(C$1),1))</f>
        <v/>
      </c>
      <c r="BJ43" s="79" t="str">
        <f t="array" ref="BJ43">IF($A43="","", INDEX(CS!$B$1:$B$15026,MATCH($A43,CS!$B:$B,0)+COLUMN(D$1),1))</f>
        <v/>
      </c>
      <c r="BK43" s="79" t="str">
        <f t="array" ref="BK43">IF($A43="","", INDEX(CS!$B$1:$B$15026,MATCH($A43,CS!$B:$B,0)+COLUMN(E$1),1))</f>
        <v/>
      </c>
      <c r="BL43" s="79" t="str">
        <f t="array" ref="BL43">IF($A43="","", INDEX(CS!$B$1:$B$15026,MATCH($A43,CS!$B:$B,0)+COLUMN(F$1),1))</f>
        <v/>
      </c>
      <c r="BM43" s="79" t="str">
        <f t="array" ref="BM43">IF($A43="","", INDEX(CS!$B$1:$B$15026,MATCH($A43,CS!$B:$B,0)+COLUMN(G$1),1))</f>
        <v/>
      </c>
      <c r="BN43" s="79" t="str">
        <f t="array" ref="BN43">IF($A43="","", INDEX(CS!$B$1:$B$15026,MATCH($A43,CS!$B:$B,0)+COLUMN(H$1),1))</f>
        <v/>
      </c>
      <c r="BO43" s="79" t="str">
        <f t="array" ref="BO43">IF($A43="","", INDEX(CS!$B$1:$B$15026,MATCH($A43,CS!$B:$B,0)+COLUMN(I$1),1))</f>
        <v/>
      </c>
      <c r="BP43" s="79" t="str">
        <f t="array" ref="BP43">IF($A43="","", INDEX(CS!$B$1:$B$15026,MATCH($A43,CS!$B:$B,0)+COLUMN(J$1),1))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INDEX(CS!$B$1:$B$15026,MATCH($A44,CS!$B:$B,0)+COLUMN(A$1),1))</f>
        <v>浮遊</v>
      </c>
      <c r="BH44" s="37" t="str">
        <f t="array" ref="BH44">IF($A44="","", INDEX(CS!$B$1:$B$15026,MATCH($A44,CS!$B:$B,0)+COLUMN(B$1),1))</f>
        <v/>
      </c>
      <c r="BI44" s="37" t="str">
        <f t="array" ref="BI44">IF($A44="","", INDEX(CS!$B$1:$B$15026,MATCH($A44,CS!$B:$B,0)+COLUMN(C$1),1))</f>
        <v>光粒</v>
      </c>
      <c r="BJ44" s="37" t="str">
        <f t="array" ref="BJ44">IF($A44="","", INDEX(CS!$B$1:$B$15026,MATCH($A44,CS!$B:$B,0)+COLUMN(D$1),1))</f>
        <v/>
      </c>
      <c r="BK44" s="37" t="str">
        <f t="array" ref="BK44">IF($A44="","", INDEX(CS!$B$1:$B$15026,MATCH($A44,CS!$B:$B,0)+COLUMN(E$1),1))</f>
        <v>天使の矢</v>
      </c>
      <c r="BL44" s="37" t="str">
        <f t="array" ref="BL44">IF($A44="","", INDEX(CS!$B$1:$B$15026,MATCH($A44,CS!$B:$B,0)+COLUMN(F$1),1))</f>
        <v/>
      </c>
      <c r="BM44" s="37" t="str">
        <f t="array" ref="BM44">IF($A44="","", INDEX(CS!$B$1:$B$15026,MATCH($A44,CS!$B:$B,0)+COLUMN(G$1),1))</f>
        <v>軽回復</v>
      </c>
      <c r="BN44" s="37" t="str">
        <f t="array" ref="BN44">IF($A44="","", INDEX(CS!$B$1:$B$15026,MATCH($A44,CS!$B:$B,0)+COLUMN(H$1),1))</f>
        <v/>
      </c>
      <c r="BO44" s="37" t="str">
        <f t="array" ref="BO44">IF($A44="","", INDEX(CS!$B$1:$B$15026,MATCH($A44,CS!$B:$B,0)+COLUMN(I$1),1))</f>
        <v>聖光</v>
      </c>
      <c r="BP44" s="37" t="str">
        <f t="array" ref="BP44">IF($A44="","", INDEX(CS!$B$1:$B$15026,MATCH($A44,CS!$B:$B,0)+COLUMN(J$1),1))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INDEX(CS!$B$1:$B$15026,MATCH($A45,CS!$B:$B,0)+COLUMN(A$1),1))</f>
        <v>#N/A</v>
      </c>
      <c r="BH45" s="37" t="str">
        <f t="array" ref="BH45">IF($A45="","", INDEX(CS!$B$1:$B$15026,MATCH($A45,CS!$B:$B,0)+COLUMN(B$1),1))</f>
        <v>#N/A</v>
      </c>
      <c r="BI45" s="37" t="str">
        <f t="array" ref="BI45">IF($A45="","", INDEX(CS!$B$1:$B$15026,MATCH($A45,CS!$B:$B,0)+COLUMN(C$1),1))</f>
        <v>#N/A</v>
      </c>
      <c r="BJ45" s="37" t="str">
        <f t="array" ref="BJ45">IF($A45="","", INDEX(CS!$B$1:$B$15026,MATCH($A45,CS!$B:$B,0)+COLUMN(D$1),1))</f>
        <v>#N/A</v>
      </c>
      <c r="BK45" s="37" t="str">
        <f t="array" ref="BK45">IF($A45="","", INDEX(CS!$B$1:$B$15026,MATCH($A45,CS!$B:$B,0)+COLUMN(E$1),1))</f>
        <v>#N/A</v>
      </c>
      <c r="BL45" s="37" t="str">
        <f t="array" ref="BL45">IF($A45="","", INDEX(CS!$B$1:$B$15026,MATCH($A45,CS!$B:$B,0)+COLUMN(F$1),1))</f>
        <v>#N/A</v>
      </c>
      <c r="BM45" s="37" t="str">
        <f t="array" ref="BM45">IF($A45="","", INDEX(CS!$B$1:$B$15026,MATCH($A45,CS!$B:$B,0)+COLUMN(G$1),1))</f>
        <v>#N/A</v>
      </c>
      <c r="BN45" s="37" t="str">
        <f t="array" ref="BN45">IF($A45="","", INDEX(CS!$B$1:$B$15026,MATCH($A45,CS!$B:$B,0)+COLUMN(H$1),1))</f>
        <v>#N/A</v>
      </c>
      <c r="BO45" s="37" t="str">
        <f t="array" ref="BO45">IF($A45="","", INDEX(CS!$B$1:$B$15026,MATCH($A45,CS!$B:$B,0)+COLUMN(I$1),1))</f>
        <v>#N/A</v>
      </c>
      <c r="BP45" s="37" t="str">
        <f t="array" ref="BP45">IF($A45="","", INDEX(CS!$B$1:$B$15026,MATCH($A45,CS!$B:$B,0)+COLUMN(J$1),1))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INDEX(CS!$B$1:$B$15026,MATCH($A46,CS!$B:$B,0)+COLUMN(A$1),1))</f>
        <v>#N/A</v>
      </c>
      <c r="BH46" s="37" t="str">
        <f t="array" ref="BH46">IF($A46="","", INDEX(CS!$B$1:$B$15026,MATCH($A46,CS!$B:$B,0)+COLUMN(B$1),1))</f>
        <v>#N/A</v>
      </c>
      <c r="BI46" s="37" t="str">
        <f t="array" ref="BI46">IF($A46="","", INDEX(CS!$B$1:$B$15026,MATCH($A46,CS!$B:$B,0)+COLUMN(C$1),1))</f>
        <v>#N/A</v>
      </c>
      <c r="BJ46" s="37" t="str">
        <f t="array" ref="BJ46">IF($A46="","", INDEX(CS!$B$1:$B$15026,MATCH($A46,CS!$B:$B,0)+COLUMN(D$1),1))</f>
        <v>#N/A</v>
      </c>
      <c r="BK46" s="37" t="str">
        <f t="array" ref="BK46">IF($A46="","", INDEX(CS!$B$1:$B$15026,MATCH($A46,CS!$B:$B,0)+COLUMN(E$1),1))</f>
        <v>#N/A</v>
      </c>
      <c r="BL46" s="37" t="str">
        <f t="array" ref="BL46">IF($A46="","", INDEX(CS!$B$1:$B$15026,MATCH($A46,CS!$B:$B,0)+COLUMN(F$1),1))</f>
        <v>#N/A</v>
      </c>
      <c r="BM46" s="37" t="str">
        <f t="array" ref="BM46">IF($A46="","", INDEX(CS!$B$1:$B$15026,MATCH($A46,CS!$B:$B,0)+COLUMN(G$1),1))</f>
        <v>#N/A</v>
      </c>
      <c r="BN46" s="37" t="str">
        <f t="array" ref="BN46">IF($A46="","", INDEX(CS!$B$1:$B$15026,MATCH($A46,CS!$B:$B,0)+COLUMN(H$1),1))</f>
        <v>#N/A</v>
      </c>
      <c r="BO46" s="37" t="str">
        <f t="array" ref="BO46">IF($A46="","", INDEX(CS!$B$1:$B$15026,MATCH($A46,CS!$B:$B,0)+COLUMN(I$1),1))</f>
        <v>#N/A</v>
      </c>
      <c r="BP46" s="37" t="str">
        <f t="array" ref="BP46">IF($A46="","", INDEX(CS!$B$1:$B$15026,MATCH($A46,CS!$B:$B,0)+COLUMN(J$1),1))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INDEX(CS!$B$1:$B$15026,MATCH($A47,CS!$B:$B,0)+COLUMN(A$1),1))</f>
        <v>#N/A</v>
      </c>
      <c r="BH47" s="37" t="str">
        <f t="array" ref="BH47">IF($A47="","", INDEX(CS!$B$1:$B$15026,MATCH($A47,CS!$B:$B,0)+COLUMN(B$1),1))</f>
        <v>#N/A</v>
      </c>
      <c r="BI47" s="37" t="str">
        <f t="array" ref="BI47">IF($A47="","", INDEX(CS!$B$1:$B$15026,MATCH($A47,CS!$B:$B,0)+COLUMN(C$1),1))</f>
        <v>#N/A</v>
      </c>
      <c r="BJ47" s="37" t="str">
        <f t="array" ref="BJ47">IF($A47="","", INDEX(CS!$B$1:$B$15026,MATCH($A47,CS!$B:$B,0)+COLUMN(D$1),1))</f>
        <v>#N/A</v>
      </c>
      <c r="BK47" s="37" t="str">
        <f t="array" ref="BK47">IF($A47="","", INDEX(CS!$B$1:$B$15026,MATCH($A47,CS!$B:$B,0)+COLUMN(E$1),1))</f>
        <v>#N/A</v>
      </c>
      <c r="BL47" s="37" t="str">
        <f t="array" ref="BL47">IF($A47="","", INDEX(CS!$B$1:$B$15026,MATCH($A47,CS!$B:$B,0)+COLUMN(F$1),1))</f>
        <v>#N/A</v>
      </c>
      <c r="BM47" s="37" t="str">
        <f t="array" ref="BM47">IF($A47="","", INDEX(CS!$B$1:$B$15026,MATCH($A47,CS!$B:$B,0)+COLUMN(G$1),1))</f>
        <v>#N/A</v>
      </c>
      <c r="BN47" s="37" t="str">
        <f t="array" ref="BN47">IF($A47="","", INDEX(CS!$B$1:$B$15026,MATCH($A47,CS!$B:$B,0)+COLUMN(H$1),1))</f>
        <v>#N/A</v>
      </c>
      <c r="BO47" s="37" t="str">
        <f t="array" ref="BO47">IF($A47="","", INDEX(CS!$B$1:$B$15026,MATCH($A47,CS!$B:$B,0)+COLUMN(I$1),1))</f>
        <v>#N/A</v>
      </c>
      <c r="BP47" s="37" t="str">
        <f t="array" ref="BP47">IF($A47="","", INDEX(CS!$B$1:$B$15026,MATCH($A47,CS!$B:$B,0)+COLUMN(J$1),1))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INDEX(CS!$B$1:$B$15026,MATCH($A53,CS!$B:$B,0)+COLUMN(A$1),1))</f>
        <v/>
      </c>
      <c r="BH53" s="37" t="str">
        <f t="array" ref="BH53">IF($A53="","", INDEX(CS!$B$1:$B$15026,MATCH($A53,CS!$B:$B,0)+COLUMN(B$1),1))</f>
        <v/>
      </c>
      <c r="BI53" s="37" t="str">
        <f t="array" ref="BI53">IF($A53="","", INDEX(CS!$B$1:$B$15026,MATCH($A53,CS!$B:$B,0)+COLUMN(C$1),1))</f>
        <v/>
      </c>
      <c r="BJ53" s="37" t="str">
        <f t="array" ref="BJ53">IF($A53="","", INDEX(CS!$B$1:$B$15026,MATCH($A53,CS!$B:$B,0)+COLUMN(D$1),1))</f>
        <v/>
      </c>
      <c r="BK53" s="37" t="str">
        <f t="array" ref="BK53">IF($A53="","", INDEX(CS!$B$1:$B$15026,MATCH($A53,CS!$B:$B,0)+COLUMN(E$1),1))</f>
        <v/>
      </c>
      <c r="BL53" s="37" t="str">
        <f t="array" ref="BL53">IF($A53="","", INDEX(CS!$B$1:$B$15026,MATCH($A53,CS!$B:$B,0)+COLUMN(F$1),1))</f>
        <v/>
      </c>
      <c r="BM53" s="37" t="str">
        <f t="array" ref="BM53">IF($A53="","", INDEX(CS!$B$1:$B$15026,MATCH($A53,CS!$B:$B,0)+COLUMN(G$1),1))</f>
        <v/>
      </c>
      <c r="BN53" s="37" t="str">
        <f t="array" ref="BN53">IF($A53="","", INDEX(CS!$B$1:$B$15026,MATCH($A53,CS!$B:$B,0)+COLUMN(H$1),1))</f>
        <v/>
      </c>
      <c r="BO53" s="37" t="str">
        <f t="array" ref="BO53">IF($A53="","", INDEX(CS!$B$1:$B$15026,MATCH($A53,CS!$B:$B,0)+COLUMN(I$1),1))</f>
        <v/>
      </c>
      <c r="BP53" s="37" t="str">
        <f t="array" ref="BP53">IF($A53="","", INDEX(CS!$B$1:$B$15026,MATCH($A53,CS!$B:$B,0)+COLUMN(J$1),1))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INDEX(CS!$B$1:$B$15026,MATCH($A54,CS!$B:$B,0)+COLUMN(A$1),1))</f>
        <v/>
      </c>
      <c r="BH54" s="37" t="str">
        <f t="array" ref="BH54">IF($A54="","", INDEX(CS!$B$1:$B$15026,MATCH($A54,CS!$B:$B,0)+COLUMN(B$1),1))</f>
        <v/>
      </c>
      <c r="BI54" s="37" t="str">
        <f t="array" ref="BI54">IF($A54="","", INDEX(CS!$B$1:$B$15026,MATCH($A54,CS!$B:$B,0)+COLUMN(C$1),1))</f>
        <v/>
      </c>
      <c r="BJ54" s="37" t="str">
        <f t="array" ref="BJ54">IF($A54="","", INDEX(CS!$B$1:$B$15026,MATCH($A54,CS!$B:$B,0)+COLUMN(D$1),1))</f>
        <v/>
      </c>
      <c r="BK54" s="37" t="str">
        <f t="array" ref="BK54">IF($A54="","", INDEX(CS!$B$1:$B$15026,MATCH($A54,CS!$B:$B,0)+COLUMN(E$1),1))</f>
        <v/>
      </c>
      <c r="BL54" s="37" t="str">
        <f t="array" ref="BL54">IF($A54="","", INDEX(CS!$B$1:$B$15026,MATCH($A54,CS!$B:$B,0)+COLUMN(F$1),1))</f>
        <v/>
      </c>
      <c r="BM54" s="37" t="str">
        <f t="array" ref="BM54">IF($A54="","", INDEX(CS!$B$1:$B$15026,MATCH($A54,CS!$B:$B,0)+COLUMN(G$1),1))</f>
        <v/>
      </c>
      <c r="BN54" s="37" t="str">
        <f t="array" ref="BN54">IF($A54="","", INDEX(CS!$B$1:$B$15026,MATCH($A54,CS!$B:$B,0)+COLUMN(H$1),1))</f>
        <v/>
      </c>
      <c r="BO54" s="37" t="str">
        <f t="array" ref="BO54">IF($A54="","", INDEX(CS!$B$1:$B$15026,MATCH($A54,CS!$B:$B,0)+COLUMN(I$1),1))</f>
        <v/>
      </c>
      <c r="BP54" s="37" t="str">
        <f t="array" ref="BP54">IF($A54="","", INDEX(CS!$B$1:$B$15026,MATCH($A54,CS!$B:$B,0)+COLUMN(J$1),1))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INDEX(CS!$B$1:$B$15026,MATCH($A55,CS!$B:$B,0)+COLUMN(A$1),1))</f>
        <v>吸血</v>
      </c>
      <c r="BH55" s="37" t="str">
        <f t="array" ref="BH55">IF($A55="","", INDEX(CS!$B$1:$B$15026,MATCH($A55,CS!$B:$B,0)+COLUMN(B$1),1))</f>
        <v/>
      </c>
      <c r="BI55" s="37" t="str">
        <f t="array" ref="BI55">IF($A55="","", INDEX(CS!$B$1:$B$15026,MATCH($A55,CS!$B:$B,0)+COLUMN(C$1),1))</f>
        <v>夜の狩人</v>
      </c>
      <c r="BJ55" s="37" t="str">
        <f t="array" ref="BJ55">IF($A55="","", INDEX(CS!$B$1:$B$15026,MATCH($A55,CS!$B:$B,0)+COLUMN(D$1),1))</f>
        <v/>
      </c>
      <c r="BK55" s="37" t="str">
        <f t="array" ref="BK55">IF($A55="","", INDEX(CS!$B$1:$B$15026,MATCH($A55,CS!$B:$B,0)+COLUMN(E$1),1))</f>
        <v>眷族化-ゾンビ</v>
      </c>
      <c r="BL55" s="37" t="str">
        <f t="array" ref="BL55">IF($A55="","", INDEX(CS!$B$1:$B$15026,MATCH($A55,CS!$B:$B,0)+COLUMN(F$1),1))</f>
        <v/>
      </c>
      <c r="BM55" s="37" t="str">
        <f t="array" ref="BM55">IF($A55="","", INDEX(CS!$B$1:$B$15026,MATCH($A55,CS!$B:$B,0)+COLUMN(G$1),1))</f>
        <v>不死の肉体</v>
      </c>
      <c r="BN55" s="37" t="str">
        <f t="array" ref="BN55">IF($A55="","", INDEX(CS!$B$1:$B$15026,MATCH($A55,CS!$B:$B,0)+COLUMN(H$1),1))</f>
        <v/>
      </c>
      <c r="BO55" s="37" t="str">
        <f t="array" ref="BO55">IF($A55="","", INDEX(CS!$B$1:$B$15026,MATCH($A55,CS!$B:$B,0)+COLUMN(I$1),1))</f>
        <v>霧化</v>
      </c>
      <c r="BP55" s="37" t="str">
        <f t="array" ref="BP55">IF($A55="","", INDEX(CS!$B$1:$B$15026,MATCH($A55,CS!$B:$B,0)+COLUMN(J$1),1))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INDEX(CS!$B$1:$B$15026,MATCH($A56,CS!$B:$B,0)+COLUMN(A$1),1))</f>
        <v>屍者の肉体</v>
      </c>
      <c r="BH56" s="37" t="str">
        <f t="array" ref="BH56">IF($A56="","", INDEX(CS!$B$1:$B$15026,MATCH($A56,CS!$B:$B,0)+COLUMN(B$1),1))</f>
        <v/>
      </c>
      <c r="BI56" s="37" t="str">
        <f t="array" ref="BI56">IF($A56="","", INDEX(CS!$B$1:$B$15026,MATCH($A56,CS!$B:$B,0)+COLUMN(C$1),1))</f>
        <v>痛覚鈍化</v>
      </c>
      <c r="BJ56" s="37" t="str">
        <f t="array" ref="BJ56">IF($A56="","", INDEX(CS!$B$1:$B$15026,MATCH($A56,CS!$B:$B,0)+COLUMN(D$1),1))</f>
        <v/>
      </c>
      <c r="BK56" s="37" t="str">
        <f t="array" ref="BK56">IF($A56="","", INDEX(CS!$B$1:$B$15026,MATCH($A56,CS!$B:$B,0)+COLUMN(E$1),1))</f>
        <v>腐敗打撃</v>
      </c>
      <c r="BL56" s="37" t="str">
        <f t="array" ref="BL56">IF($A56="","", INDEX(CS!$B$1:$B$15026,MATCH($A56,CS!$B:$B,0)+COLUMN(F$1),1))</f>
        <v/>
      </c>
      <c r="BM56" s="37" t="str">
        <f t="array" ref="BM56">IF($A56="","", INDEX(CS!$B$1:$B$15026,MATCH($A56,CS!$B:$B,0)+COLUMN(G$1),1))</f>
        <v>死体喰らい</v>
      </c>
      <c r="BN56" s="37" t="str">
        <f t="array" ref="BN56">IF($A56="","", INDEX(CS!$B$1:$B$15026,MATCH($A56,CS!$B:$B,0)+COLUMN(H$1),1))</f>
        <v/>
      </c>
      <c r="BO56" s="37" t="str">
        <f t="array" ref="BO56">IF($A56="","", INDEX(CS!$B$1:$B$15026,MATCH($A56,CS!$B:$B,0)+COLUMN(I$1),1))</f>
        <v>死者の執念</v>
      </c>
      <c r="BP56" s="37" t="str">
        <f t="array" ref="BP56">IF($A56="","", INDEX(CS!$B$1:$B$15026,MATCH($A56,CS!$B:$B,0)+COLUMN(J$1),1))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INDEX(CS!$B$1:$B$15026,MATCH($A57,CS!$B:$B,0)+COLUMN(A$1),1))</f>
        <v>骨の身体</v>
      </c>
      <c r="BH57" s="37" t="str">
        <f t="array" ref="BH57">IF($A57="","", INDEX(CS!$B$1:$B$15026,MATCH($A57,CS!$B:$B,0)+COLUMN(B$1),1))</f>
        <v/>
      </c>
      <c r="BI57" s="37" t="str">
        <f t="array" ref="BI57">IF($A57="","", INDEX(CS!$B$1:$B$15026,MATCH($A57,CS!$B:$B,0)+COLUMN(C$1),1))</f>
        <v>骨格強化</v>
      </c>
      <c r="BJ57" s="37" t="str">
        <f t="array" ref="BJ57">IF($A57="","", INDEX(CS!$B$1:$B$15026,MATCH($A57,CS!$B:$B,0)+COLUMN(D$1),1))</f>
        <v/>
      </c>
      <c r="BK57" s="37" t="str">
        <f t="array" ref="BK57">IF($A57="","", INDEX(CS!$B$1:$B$15026,MATCH($A57,CS!$B:$B,0)+COLUMN(E$1),1))</f>
        <v>骸骨兵</v>
      </c>
      <c r="BL57" s="37" t="str">
        <f t="array" ref="BL57">IF($A57="","", INDEX(CS!$B$1:$B$15026,MATCH($A57,CS!$B:$B,0)+COLUMN(F$1),1))</f>
        <v/>
      </c>
      <c r="BM57" s="37" t="str">
        <f t="array" ref="BM57">IF($A57="","", INDEX(CS!$B$1:$B$15026,MATCH($A57,CS!$B:$B,0)+COLUMN(G$1),1))</f>
        <v>死者の眼</v>
      </c>
      <c r="BN57" s="37" t="str">
        <f t="array" ref="BN57">IF($A57="","", INDEX(CS!$B$1:$B$15026,MATCH($A57,CS!$B:$B,0)+COLUMN(H$1),1))</f>
        <v/>
      </c>
      <c r="BO57" s="37" t="str">
        <f t="array" ref="BO57">IF($A57="","", INDEX(CS!$B$1:$B$15026,MATCH($A57,CS!$B:$B,0)+COLUMN(I$1),1))</f>
        <v>骨盾</v>
      </c>
      <c r="BP57" s="37" t="str">
        <f t="array" ref="BP57">IF($A57="","", INDEX(CS!$B$1:$B$15026,MATCH($A57,CS!$B:$B,0)+COLUMN(J$1),1))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INDEX(CS!$B$1:$B$15026,MATCH($A58,CS!$B:$B,0)+COLUMN(A$1),1))</f>
        <v>浮遊</v>
      </c>
      <c r="BH58" s="37" t="str">
        <f t="array" ref="BH58">IF($A58="","", INDEX(CS!$B$1:$B$15026,MATCH($A58,CS!$B:$B,0)+COLUMN(B$1),1))</f>
        <v/>
      </c>
      <c r="BI58" s="37" t="str">
        <f t="array" ref="BI58">IF($A58="","", INDEX(CS!$B$1:$B$15026,MATCH($A58,CS!$B:$B,0)+COLUMN(C$1),1))</f>
        <v>霊体</v>
      </c>
      <c r="BJ58" s="37" t="str">
        <f t="array" ref="BJ58">IF($A58="","", INDEX(CS!$B$1:$B$15026,MATCH($A58,CS!$B:$B,0)+COLUMN(D$1),1))</f>
        <v/>
      </c>
      <c r="BK58" s="37" t="str">
        <f t="array" ref="BK58">IF($A58="","", INDEX(CS!$B$1:$B$15026,MATCH($A58,CS!$B:$B,0)+COLUMN(E$1),1))</f>
        <v>恐怖の囁き</v>
      </c>
      <c r="BL58" s="37" t="str">
        <f t="array" ref="BL58">IF($A58="","", INDEX(CS!$B$1:$B$15026,MATCH($A58,CS!$B:$B,0)+COLUMN(F$1),1))</f>
        <v/>
      </c>
      <c r="BM58" s="37" t="str">
        <f t="array" ref="BM58">IF($A58="","", INDEX(CS!$B$1:$B$15026,MATCH($A58,CS!$B:$B,0)+COLUMN(G$1),1))</f>
        <v>透過</v>
      </c>
      <c r="BN58" s="37" t="str">
        <f t="array" ref="BN58">IF($A58="","", INDEX(CS!$B$1:$B$15026,MATCH($A58,CS!$B:$B,0)+COLUMN(H$1),1))</f>
        <v/>
      </c>
      <c r="BO58" s="37" t="str">
        <f t="array" ref="BO58">IF($A58="","", INDEX(CS!$B$1:$B$15026,MATCH($A58,CS!$B:$B,0)+COLUMN(I$1),1))</f>
        <v>憑依</v>
      </c>
      <c r="BP58" s="37" t="str">
        <f t="array" ref="BP58">IF($A58="","", INDEX(CS!$B$1:$B$15026,MATCH($A58,CS!$B:$B,0)+COLUMN(J$1),1))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INDEX(CS!$B$1:$B$15026,MATCH($A59,CS!$B:$B,0)+COLUMN(A$1),1))</f>
        <v>屍肉の爪</v>
      </c>
      <c r="BH59" s="37" t="str">
        <f t="array" ref="BH59">IF($A59="","", INDEX(CS!$B$1:$B$15026,MATCH($A59,CS!$B:$B,0)+COLUMN(B$1),1))</f>
        <v/>
      </c>
      <c r="BI59" s="37" t="str">
        <f t="array" ref="BI59">IF($A59="","", INDEX(CS!$B$1:$B$15026,MATCH($A59,CS!$B:$B,0)+COLUMN(C$1),1))</f>
        <v>屍肉喰らい</v>
      </c>
      <c r="BJ59" s="37" t="str">
        <f t="array" ref="BJ59">IF($A59="","", INDEX(CS!$B$1:$B$15026,MATCH($A59,CS!$B:$B,0)+COLUMN(D$1),1))</f>
        <v/>
      </c>
      <c r="BK59" s="37" t="str">
        <f t="array" ref="BK59">IF($A59="","", INDEX(CS!$B$1:$B$15026,MATCH($A59,CS!$B:$B,0)+COLUMN(E$1),1))</f>
        <v>腐毒爪</v>
      </c>
      <c r="BL59" s="37" t="str">
        <f t="array" ref="BL59">IF($A59="","", INDEX(CS!$B$1:$B$15026,MATCH($A59,CS!$B:$B,0)+COLUMN(F$1),1))</f>
        <v/>
      </c>
      <c r="BM59" s="37" t="str">
        <f t="array" ref="BM59">IF($A59="","", INDEX(CS!$B$1:$B$15026,MATCH($A59,CS!$B:$B,0)+COLUMN(G$1),1))</f>
        <v>飢餓の嗅覚</v>
      </c>
      <c r="BN59" s="37" t="str">
        <f t="array" ref="BN59">IF($A59="","", INDEX(CS!$B$1:$B$15026,MATCH($A59,CS!$B:$B,0)+COLUMN(H$1),1))</f>
        <v/>
      </c>
      <c r="BO59" s="37" t="str">
        <f t="array" ref="BO59">IF($A59="","", INDEX(CS!$B$1:$B$15026,MATCH($A59,CS!$B:$B,0)+COLUMN(I$1),1))</f>
        <v>四足疾走</v>
      </c>
      <c r="BP59" s="37" t="str">
        <f t="array" ref="BP59">IF($A59="","", INDEX(CS!$B$1:$B$15026,MATCH($A59,CS!$B:$B,0)+COLUMN(J$1),1))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INDEX(CS!$B$1:$B$15026,MATCH($A60,CS!$B:$B,0)+COLUMN(A$1),1))</f>
        <v>腐臭</v>
      </c>
      <c r="BH60" s="37" t="str">
        <f t="array" ref="BH60">IF($A60="","", INDEX(CS!$B$1:$B$15026,MATCH($A60,CS!$B:$B,0)+COLUMN(B$1),1))</f>
        <v/>
      </c>
      <c r="BI60" s="37" t="str">
        <f t="array" ref="BI60">IF($A60="","", INDEX(CS!$B$1:$B$15026,MATCH($A60,CS!$B:$B,0)+COLUMN(C$1),1))</f>
        <v>壊死爪</v>
      </c>
      <c r="BJ60" s="37" t="str">
        <f t="array" ref="BJ60">IF($A60="","", INDEX(CS!$B$1:$B$15026,MATCH($A60,CS!$B:$B,0)+COLUMN(D$1),1))</f>
        <v/>
      </c>
      <c r="BK60" s="37" t="str">
        <f t="array" ref="BK60">IF($A60="","", INDEX(CS!$B$1:$B$15026,MATCH($A60,CS!$B:$B,0)+COLUMN(E$1),1))</f>
        <v>死肉再生</v>
      </c>
      <c r="BL60" s="37" t="str">
        <f t="array" ref="BL60">IF($A60="","", INDEX(CS!$B$1:$B$15026,MATCH($A60,CS!$B:$B,0)+COLUMN(F$1),1))</f>
        <v/>
      </c>
      <c r="BM60" s="37" t="str">
        <f t="array" ref="BM60">IF($A60="","", INDEX(CS!$B$1:$B$15026,MATCH($A60,CS!$B:$B,0)+COLUMN(G$1),1))</f>
        <v>飢餓感知</v>
      </c>
      <c r="BN60" s="37" t="str">
        <f t="array" ref="BN60">IF($A60="","", INDEX(CS!$B$1:$B$15026,MATCH($A60,CS!$B:$B,0)+COLUMN(H$1),1))</f>
        <v/>
      </c>
      <c r="BO60" s="37" t="str">
        <f t="array" ref="BO60">IF($A60="","", INDEX(CS!$B$1:$B$15026,MATCH($A60,CS!$B:$B,0)+COLUMN(I$1),1))</f>
        <v>四足猛襲</v>
      </c>
      <c r="BP60" s="37" t="str">
        <f t="array" ref="BP60">IF($A60="","", INDEX(CS!$B$1:$B$15026,MATCH($A60,CS!$B:$B,0)+COLUMN(J$1),1))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INDEX(CS!$B$1:$B$15026,MATCH($A61,CS!$B:$B,0)+COLUMN(A$1),1))</f>
        <v/>
      </c>
      <c r="BH61" s="37" t="str">
        <f t="array" ref="BH61">IF($A61="","", INDEX(CS!$B$1:$B$15026,MATCH($A61,CS!$B:$B,0)+COLUMN(B$1),1))</f>
        <v/>
      </c>
      <c r="BI61" s="37" t="str">
        <f t="array" ref="BI61">IF($A61="","", INDEX(CS!$B$1:$B$15026,MATCH($A61,CS!$B:$B,0)+COLUMN(C$1),1))</f>
        <v/>
      </c>
      <c r="BJ61" s="37" t="str">
        <f t="array" ref="BJ61">IF($A61="","", INDEX(CS!$B$1:$B$15026,MATCH($A61,CS!$B:$B,0)+COLUMN(D$1),1))</f>
        <v/>
      </c>
      <c r="BK61" s="37" t="str">
        <f t="array" ref="BK61">IF($A61="","", INDEX(CS!$B$1:$B$15026,MATCH($A61,CS!$B:$B,0)+COLUMN(E$1),1))</f>
        <v/>
      </c>
      <c r="BL61" s="37" t="str">
        <f t="array" ref="BL61">IF($A61="","", INDEX(CS!$B$1:$B$15026,MATCH($A61,CS!$B:$B,0)+COLUMN(F$1),1))</f>
        <v/>
      </c>
      <c r="BM61" s="37" t="str">
        <f t="array" ref="BM61">IF($A61="","", INDEX(CS!$B$1:$B$15026,MATCH($A61,CS!$B:$B,0)+COLUMN(G$1),1))</f>
        <v/>
      </c>
      <c r="BN61" s="37" t="str">
        <f t="array" ref="BN61">IF($A61="","", INDEX(CS!$B$1:$B$15026,MATCH($A61,CS!$B:$B,0)+COLUMN(H$1),1))</f>
        <v/>
      </c>
      <c r="BO61" s="37" t="str">
        <f t="array" ref="BO61">IF($A61="","", INDEX(CS!$B$1:$B$15026,MATCH($A61,CS!$B:$B,0)+COLUMN(I$1),1))</f>
        <v/>
      </c>
      <c r="BP61" s="37" t="str">
        <f t="array" ref="BP61">IF($A61="","", INDEX(CS!$B$1:$B$15026,MATCH($A61,CS!$B:$B,0)+COLUMN(J$1),1))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INDEX(CS!$B$1:$B$15026,MATCH($A62,CS!$B:$B,0)+COLUMN(A$1),1))</f>
        <v>冷気の手</v>
      </c>
      <c r="BH62" s="37" t="str">
        <f t="array" ref="BH62">IF($A62="","", INDEX(CS!$B$1:$B$15026,MATCH($A62,CS!$B:$B,0)+COLUMN(B$1),1))</f>
        <v/>
      </c>
      <c r="BI62" s="37" t="str">
        <f t="array" ref="BI62">IF($A62="","", INDEX(CS!$B$1:$B$15026,MATCH($A62,CS!$B:$B,0)+COLUMN(C$1),1))</f>
        <v>生命力吸収</v>
      </c>
      <c r="BJ62" s="37" t="str">
        <f t="array" ref="BJ62">IF($A62="","", INDEX(CS!$B$1:$B$15026,MATCH($A62,CS!$B:$B,0)+COLUMN(D$1),1))</f>
        <v/>
      </c>
      <c r="BK62" s="37" t="str">
        <f t="array" ref="BK62">IF($A62="","", INDEX(CS!$B$1:$B$15026,MATCH($A62,CS!$B:$B,0)+COLUMN(E$1),1))</f>
        <v>死者の威圧</v>
      </c>
      <c r="BL62" s="37" t="str">
        <f t="array" ref="BL62">IF($A62="","", INDEX(CS!$B$1:$B$15026,MATCH($A62,CS!$B:$B,0)+COLUMN(F$1),1))</f>
        <v/>
      </c>
      <c r="BM62" s="37" t="str">
        <f t="array" ref="BM62">IF($A62="","", INDEX(CS!$B$1:$B$15026,MATCH($A62,CS!$B:$B,0)+COLUMN(G$1),1))</f>
        <v>冷気纏い</v>
      </c>
      <c r="BN62" s="37" t="str">
        <f t="array" ref="BN62">IF($A62="","", INDEX(CS!$B$1:$B$15026,MATCH($A62,CS!$B:$B,0)+COLUMN(H$1),1))</f>
        <v/>
      </c>
      <c r="BO62" s="37" t="str">
        <f t="array" ref="BO62">IF($A62="","", INDEX(CS!$B$1:$B$15026,MATCH($A62,CS!$B:$B,0)+COLUMN(I$1),1))</f>
        <v>不浄の刃</v>
      </c>
      <c r="BP62" s="37" t="str">
        <f t="array" ref="BP62">IF($A62="","", INDEX(CS!$B$1:$B$15026,MATCH($A62,CS!$B:$B,0)+COLUMN(J$1),1))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INDEX(CS!$B$1:$B$15026,MATCH($A63,CS!$B:$B,0)+COLUMN(A$1),1))</f>
        <v>死霊魔力</v>
      </c>
      <c r="BH63" s="37" t="str">
        <f t="array" ref="BH63">IF($A63="","", INDEX(CS!$B$1:$B$15026,MATCH($A63,CS!$B:$B,0)+COLUMN(B$1),1))</f>
        <v/>
      </c>
      <c r="BI63" s="37" t="str">
        <f t="array" ref="BI63">IF($A63="","", INDEX(CS!$B$1:$B$15026,MATCH($A63,CS!$B:$B,0)+COLUMN(C$1),1))</f>
        <v>骨魂障壁</v>
      </c>
      <c r="BJ63" s="37" t="str">
        <f t="array" ref="BJ63">IF($A63="","", INDEX(CS!$B$1:$B$15026,MATCH($A63,CS!$B:$B,0)+COLUMN(D$1),1))</f>
        <v/>
      </c>
      <c r="BK63" s="37" t="str">
        <f t="array" ref="BK63">IF($A63="","", INDEX(CS!$B$1:$B$15026,MATCH($A63,CS!$B:$B,0)+COLUMN(E$1),1))</f>
        <v>魂吸収</v>
      </c>
      <c r="BL63" s="37" t="str">
        <f t="array" ref="BL63">IF($A63="","", INDEX(CS!$B$1:$B$15026,MATCH($A63,CS!$B:$B,0)+COLUMN(F$1),1))</f>
        <v/>
      </c>
      <c r="BM63" s="37" t="str">
        <f t="array" ref="BM63">IF($A63="","", INDEX(CS!$B$1:$B$15026,MATCH($A63,CS!$B:$B,0)+COLUMN(G$1),1))</f>
        <v>死霊術師</v>
      </c>
      <c r="BN63" s="37" t="str">
        <f t="array" ref="BN63">IF($A63="","", INDEX(CS!$B$1:$B$15026,MATCH($A63,CS!$B:$B,0)+COLUMN(H$1),1))</f>
        <v/>
      </c>
      <c r="BO63" s="37" t="str">
        <f t="array" ref="BO63">IF($A63="","", INDEX(CS!$B$1:$B$15026,MATCH($A63,CS!$B:$B,0)+COLUMN(I$1),1))</f>
        <v>骸骨召喚</v>
      </c>
      <c r="BP63" s="37" t="str">
        <f t="array" ref="BP63">IF($A63="","", INDEX(CS!$B$1:$B$15026,MATCH($A63,CS!$B:$B,0)+COLUMN(J$1),1))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INDEX(CS!$B$1:$B$15026,MATCH($A64,CS!$B:$B,0)+COLUMN(A$1),1))</f>
        <v>執念打撃</v>
      </c>
      <c r="BH64" s="37" t="str">
        <f t="array" ref="BH64">IF($A64="","", INDEX(CS!$B$1:$B$15026,MATCH($A64,CS!$B:$B,0)+COLUMN(B$1),1))</f>
        <v/>
      </c>
      <c r="BI64" s="37" t="str">
        <f t="array" ref="BI64">IF($A64="","", INDEX(CS!$B$1:$B$15026,MATCH($A64,CS!$B:$B,0)+COLUMN(C$1),1))</f>
        <v>復讐の執念</v>
      </c>
      <c r="BJ64" s="37" t="str">
        <f t="array" ref="BJ64">IF($A64="","", INDEX(CS!$B$1:$B$15026,MATCH($A64,CS!$B:$B,0)+COLUMN(D$1),1))</f>
        <v/>
      </c>
      <c r="BK64" s="37" t="str">
        <f t="array" ref="BK64">IF($A64="","", INDEX(CS!$B$1:$B$15026,MATCH($A64,CS!$B:$B,0)+COLUMN(E$1),1))</f>
        <v>死なずの肉体</v>
      </c>
      <c r="BL64" s="37" t="str">
        <f t="array" ref="BL64">IF($A64="","", INDEX(CS!$B$1:$B$15026,MATCH($A64,CS!$B:$B,0)+COLUMN(F$1),1))</f>
        <v/>
      </c>
      <c r="BM64" s="37" t="str">
        <f t="array" ref="BM64">IF($A64="","", INDEX(CS!$B$1:$B$15026,MATCH($A64,CS!$B:$B,0)+COLUMN(G$1),1))</f>
        <v>執念の追跡</v>
      </c>
      <c r="BN64" s="37" t="str">
        <f t="array" ref="BN64">IF($A64="","", INDEX(CS!$B$1:$B$15026,MATCH($A64,CS!$B:$B,0)+COLUMN(H$1),1))</f>
        <v/>
      </c>
      <c r="BO64" s="37" t="str">
        <f t="array" ref="BO64">IF($A64="","", INDEX(CS!$B$1:$B$15026,MATCH($A64,CS!$B:$B,0)+COLUMN(I$1),1))</f>
        <v>復讐の一撃</v>
      </c>
      <c r="BP64" s="37" t="str">
        <f t="array" ref="BP64">IF($A64="","", INDEX(CS!$B$1:$B$15026,MATCH($A64,CS!$B:$B,0)+COLUMN(J$1),1))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INDEX(CS!$B$1:$B$15026,MATCH($A65,CS!$B:$B,0)+COLUMN(A$1),1))</f>
        <v>#N/A</v>
      </c>
      <c r="BH65" s="37" t="str">
        <f t="array" ref="BH65">IF($A65="","", INDEX(CS!$B$1:$B$15026,MATCH($A65,CS!$B:$B,0)+COLUMN(B$1),1))</f>
        <v>#N/A</v>
      </c>
      <c r="BI65" s="37" t="str">
        <f t="array" ref="BI65">IF($A65="","", INDEX(CS!$B$1:$B$15026,MATCH($A65,CS!$B:$B,0)+COLUMN(C$1),1))</f>
        <v>#N/A</v>
      </c>
      <c r="BJ65" s="37" t="str">
        <f t="array" ref="BJ65">IF($A65="","", INDEX(CS!$B$1:$B$15026,MATCH($A65,CS!$B:$B,0)+COLUMN(D$1),1))</f>
        <v>#N/A</v>
      </c>
      <c r="BK65" s="37" t="str">
        <f t="array" ref="BK65">IF($A65="","", INDEX(CS!$B$1:$B$15026,MATCH($A65,CS!$B:$B,0)+COLUMN(E$1),1))</f>
        <v>#N/A</v>
      </c>
      <c r="BL65" s="37" t="str">
        <f t="array" ref="BL65">IF($A65="","", INDEX(CS!$B$1:$B$15026,MATCH($A65,CS!$B:$B,0)+COLUMN(F$1),1))</f>
        <v>#N/A</v>
      </c>
      <c r="BM65" s="37" t="str">
        <f t="array" ref="BM65">IF($A65="","", INDEX(CS!$B$1:$B$15026,MATCH($A65,CS!$B:$B,0)+COLUMN(G$1),1))</f>
        <v>#N/A</v>
      </c>
      <c r="BN65" s="37" t="str">
        <f t="array" ref="BN65">IF($A65="","", INDEX(CS!$B$1:$B$15026,MATCH($A65,CS!$B:$B,0)+COLUMN(H$1),1))</f>
        <v>#N/A</v>
      </c>
      <c r="BO65" s="37" t="str">
        <f t="array" ref="BO65">IF($A65="","", INDEX(CS!$B$1:$B$15026,MATCH($A65,CS!$B:$B,0)+COLUMN(I$1),1))</f>
        <v>#N/A</v>
      </c>
      <c r="BP65" s="37" t="str">
        <f t="array" ref="BP65">IF($A65="","", INDEX(CS!$B$1:$B$15026,MATCH($A65,CS!$B:$B,0)+COLUMN(J$1),1))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INDEX(CS!$B$1:$B$15026,MATCH($A66,CS!$B:$B,0)+COLUMN(A$1),1))</f>
        <v>霊刃</v>
      </c>
      <c r="BH66" s="37" t="str">
        <f t="array" ref="BH66">IF($A66="","", INDEX(CS!$B$1:$B$15026,MATCH($A66,CS!$B:$B,0)+COLUMN(B$1),1))</f>
        <v/>
      </c>
      <c r="BI66" s="37" t="str">
        <f t="array" ref="BI66">IF($A66="","", INDEX(CS!$B$1:$B$15026,MATCH($A66,CS!$B:$B,0)+COLUMN(C$1),1))</f>
        <v>影潜り</v>
      </c>
      <c r="BJ66" s="37" t="str">
        <f t="array" ref="BJ66">IF($A66="","", INDEX(CS!$B$1:$B$15026,MATCH($A66,CS!$B:$B,0)+COLUMN(D$1),1))</f>
        <v/>
      </c>
      <c r="BK66" s="37" t="str">
        <f t="array" ref="BK66">IF($A66="","", INDEX(CS!$B$1:$B$15026,MATCH($A66,CS!$B:$B,0)+COLUMN(E$1),1))</f>
        <v>霊体強化</v>
      </c>
      <c r="BL66" s="37" t="str">
        <f t="array" ref="BL66">IF($A66="","", INDEX(CS!$B$1:$B$15026,MATCH($A66,CS!$B:$B,0)+COLUMN(F$1),1))</f>
        <v/>
      </c>
      <c r="BM66" s="37" t="str">
        <f t="array" ref="BM66">IF($A66="","", INDEX(CS!$B$1:$B$15026,MATCH($A66,CS!$B:$B,0)+COLUMN(G$1),1))</f>
        <v>魂削り</v>
      </c>
      <c r="BN66" s="37" t="str">
        <f t="array" ref="BN66">IF($A66="","", INDEX(CS!$B$1:$B$15026,MATCH($A66,CS!$B:$B,0)+COLUMN(H$1),1))</f>
        <v/>
      </c>
      <c r="BO66" s="37" t="str">
        <f t="array" ref="BO66">IF($A66="","", INDEX(CS!$B$1:$B$15026,MATCH($A66,CS!$B:$B,0)+COLUMN(I$1),1))</f>
        <v>恐慌の気配</v>
      </c>
      <c r="BP66" s="37" t="str">
        <f t="array" ref="BP66">IF($A66="","", INDEX(CS!$B$1:$B$15026,MATCH($A66,CS!$B:$B,0)+COLUMN(J$1),1))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INDEX(CS!$B$1:$B$15026,MATCH($A67,CS!$B:$B,0)+COLUMN(A$1),1))</f>
        <v>嘆きの声</v>
      </c>
      <c r="BH67" s="37" t="str">
        <f t="array" ref="BH67">IF($A67="","", INDEX(CS!$B$1:$B$15026,MATCH($A67,CS!$B:$B,0)+COLUMN(B$1),1))</f>
        <v/>
      </c>
      <c r="BI67" s="37" t="str">
        <f t="array" ref="BI67">IF($A67="","", INDEX(CS!$B$1:$B$15026,MATCH($A67,CS!$B:$B,0)+COLUMN(C$1),1))</f>
        <v>バンシーの絶叫</v>
      </c>
      <c r="BJ67" s="37" t="str">
        <f t="array" ref="BJ67">IF($A67="","", INDEX(CS!$B$1:$B$15026,MATCH($A67,CS!$B:$B,0)+COLUMN(D$1),1))</f>
        <v/>
      </c>
      <c r="BK67" s="37" t="str">
        <f t="array" ref="BK67">IF($A67="","", INDEX(CS!$B$1:$B$15026,MATCH($A67,CS!$B:$B,0)+COLUMN(E$1),1))</f>
        <v>悲嘆の霊体</v>
      </c>
      <c r="BL67" s="37" t="str">
        <f t="array" ref="BL67">IF($A67="","", INDEX(CS!$B$1:$B$15026,MATCH($A67,CS!$B:$B,0)+COLUMN(F$1),1))</f>
        <v/>
      </c>
      <c r="BM67" s="37" t="str">
        <f t="array" ref="BM67">IF($A67="","", INDEX(CS!$B$1:$B$15026,MATCH($A67,CS!$B:$B,0)+COLUMN(G$1),1))</f>
        <v>予兆の泣き声</v>
      </c>
      <c r="BN67" s="37" t="str">
        <f t="array" ref="BN67">IF($A67="","", INDEX(CS!$B$1:$B$15026,MATCH($A67,CS!$B:$B,0)+COLUMN(H$1),1))</f>
        <v/>
      </c>
      <c r="BO67" s="37" t="str">
        <f t="array" ref="BO67">IF($A67="","", INDEX(CS!$B$1:$B$15026,MATCH($A67,CS!$B:$B,0)+COLUMN(I$1),1))</f>
        <v>魂震え</v>
      </c>
      <c r="BP67" s="37" t="str">
        <f t="array" ref="BP67">IF($A67="","", INDEX(CS!$B$1:$B$15026,MATCH($A67,CS!$B:$B,0)+COLUMN(J$1),1))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INDEX(CS!$B$1:$B$15026,MATCH($A68,CS!$B:$B,0)+COLUMN(A$1),1))</f>
        <v>#N/A</v>
      </c>
      <c r="BH68" s="37" t="str">
        <f t="array" ref="BH68">IF($A68="","", INDEX(CS!$B$1:$B$15026,MATCH($A68,CS!$B:$B,0)+COLUMN(B$1),1))</f>
        <v>#N/A</v>
      </c>
      <c r="BI68" s="37" t="str">
        <f t="array" ref="BI68">IF($A68="","", INDEX(CS!$B$1:$B$15026,MATCH($A68,CS!$B:$B,0)+COLUMN(C$1),1))</f>
        <v>#N/A</v>
      </c>
      <c r="BJ68" s="37" t="str">
        <f t="array" ref="BJ68">IF($A68="","", INDEX(CS!$B$1:$B$15026,MATCH($A68,CS!$B:$B,0)+COLUMN(D$1),1))</f>
        <v>#N/A</v>
      </c>
      <c r="BK68" s="37" t="str">
        <f t="array" ref="BK68">IF($A68="","", INDEX(CS!$B$1:$B$15026,MATCH($A68,CS!$B:$B,0)+COLUMN(E$1),1))</f>
        <v>#N/A</v>
      </c>
      <c r="BL68" s="37" t="str">
        <f t="array" ref="BL68">IF($A68="","", INDEX(CS!$B$1:$B$15026,MATCH($A68,CS!$B:$B,0)+COLUMN(F$1),1))</f>
        <v>#N/A</v>
      </c>
      <c r="BM68" s="37" t="str">
        <f t="array" ref="BM68">IF($A68="","", INDEX(CS!$B$1:$B$15026,MATCH($A68,CS!$B:$B,0)+COLUMN(G$1),1))</f>
        <v>#N/A</v>
      </c>
      <c r="BN68" s="37" t="str">
        <f t="array" ref="BN68">IF($A68="","", INDEX(CS!$B$1:$B$15026,MATCH($A68,CS!$B:$B,0)+COLUMN(H$1),1))</f>
        <v>#N/A</v>
      </c>
      <c r="BO68" s="37" t="str">
        <f t="array" ref="BO68">IF($A68="","", INDEX(CS!$B$1:$B$15026,MATCH($A68,CS!$B:$B,0)+COLUMN(I$1),1))</f>
        <v>#N/A</v>
      </c>
      <c r="BP68" s="37" t="str">
        <f t="array" ref="BP68">IF($A68="","", INDEX(CS!$B$1:$B$15026,MATCH($A68,CS!$B:$B,0)+COLUMN(J$1),1))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INDEX(CS!$B$1:$B$15026,MATCH($A69,CS!$B:$B,0)+COLUMN(A$1),1))</f>
        <v>首無し騎士</v>
      </c>
      <c r="BH69" s="37" t="str">
        <f t="array" ref="BH69">IF($A69="","", INDEX(CS!$B$1:$B$15026,MATCH($A69,CS!$B:$B,0)+COLUMN(B$1),1))</f>
        <v/>
      </c>
      <c r="BI69" s="37" t="str">
        <f t="array" ref="BI69">IF($A69="","", INDEX(CS!$B$1:$B$15026,MATCH($A69,CS!$B:$B,0)+COLUMN(C$1),1))</f>
        <v>首狩り</v>
      </c>
      <c r="BJ69" s="37" t="str">
        <f t="array" ref="BJ69">IF($A69="","", INDEX(CS!$B$1:$B$15026,MATCH($A69,CS!$B:$B,0)+COLUMN(D$1),1))</f>
        <v/>
      </c>
      <c r="BK69" s="37" t="str">
        <f t="array" ref="BK69">IF($A69="","", INDEX(CS!$B$1:$B$15026,MATCH($A69,CS!$B:$B,0)+COLUMN(E$1),1))</f>
        <v>黒鎧</v>
      </c>
      <c r="BL69" s="37" t="str">
        <f t="array" ref="BL69">IF($A69="","", INDEX(CS!$B$1:$B$15026,MATCH($A69,CS!$B:$B,0)+COLUMN(F$1),1))</f>
        <v/>
      </c>
      <c r="BM69" s="37" t="str">
        <f t="array" ref="BM69">IF($A69="","", INDEX(CS!$B$1:$B$15026,MATCH($A69,CS!$B:$B,0)+COLUMN(G$1),1))</f>
        <v>死騎士の突撃</v>
      </c>
      <c r="BN69" s="37" t="str">
        <f t="array" ref="BN69">IF($A69="","", INDEX(CS!$B$1:$B$15026,MATCH($A69,CS!$B:$B,0)+COLUMN(H$1),1))</f>
        <v/>
      </c>
      <c r="BO69" s="37" t="str">
        <f t="array" ref="BO69">IF($A69="","", INDEX(CS!$B$1:$B$15026,MATCH($A69,CS!$B:$B,0)+COLUMN(I$1),1))</f>
        <v>首無しの眼</v>
      </c>
      <c r="BP69" s="37" t="str">
        <f t="array" ref="BP69">IF($A69="","", INDEX(CS!$B$1:$B$15026,MATCH($A69,CS!$B:$B,0)+COLUMN(J$1),1))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INDEX(CS!$B$1:$B$15026,MATCH($A70,CS!$B:$B,0)+COLUMN(A$1),1))</f>
        <v>蒼炎の鎧</v>
      </c>
      <c r="BH70" s="37" t="str">
        <f t="array" ref="BH70">IF($A70="","", INDEX(CS!$B$1:$B$15026,MATCH($A70,CS!$B:$B,0)+COLUMN(B$1),1))</f>
        <v/>
      </c>
      <c r="BI70" s="37" t="str">
        <f t="array" ref="BI70">IF($A70="","", INDEX(CS!$B$1:$B$15026,MATCH($A70,CS!$B:$B,0)+COLUMN(C$1),1))</f>
        <v>蒼炎斬</v>
      </c>
      <c r="BJ70" s="37" t="str">
        <f t="array" ref="BJ70">IF($A70="","", INDEX(CS!$B$1:$B$15026,MATCH($A70,CS!$B:$B,0)+COLUMN(D$1),1))</f>
        <v/>
      </c>
      <c r="BK70" s="37" t="str">
        <f t="array" ref="BK70">IF($A70="","", INDEX(CS!$B$1:$B$15026,MATCH($A70,CS!$B:$B,0)+COLUMN(E$1),1))</f>
        <v>蒼炎纏い</v>
      </c>
      <c r="BL70" s="37" t="str">
        <f t="array" ref="BL70">IF($A70="","", INDEX(CS!$B$1:$B$15026,MATCH($A70,CS!$B:$B,0)+COLUMN(F$1),1))</f>
        <v/>
      </c>
      <c r="BM70" s="37" t="str">
        <f t="array" ref="BM70">IF($A70="","", INDEX(CS!$B$1:$B$15026,MATCH($A70,CS!$B:$B,0)+COLUMN(G$1),1))</f>
        <v>鬼火突撃</v>
      </c>
      <c r="BN70" s="37" t="str">
        <f t="array" ref="BN70">IF($A70="","", INDEX(CS!$B$1:$B$15026,MATCH($A70,CS!$B:$B,0)+COLUMN(H$1),1))</f>
        <v/>
      </c>
      <c r="BO70" s="37" t="str">
        <f t="array" ref="BO70">IF($A70="","", INDEX(CS!$B$1:$B$15026,MATCH($A70,CS!$B:$B,0)+COLUMN(I$1),1))</f>
        <v>蒼炎の首狩り</v>
      </c>
      <c r="BP70" s="37" t="str">
        <f t="array" ref="BP70">IF($A70="","", INDEX(CS!$B$1:$B$15026,MATCH($A70,CS!$B:$B,0)+COLUMN(J$1),1))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INDEX(CS!$B$1:$B$15026,MATCH($A71,CS!$B:$B,0)+COLUMN(A$1),1))</f>
        <v/>
      </c>
      <c r="BH71" s="37" t="str">
        <f t="array" ref="BH71">IF($A71="","", INDEX(CS!$B$1:$B$15026,MATCH($A71,CS!$B:$B,0)+COLUMN(B$1),1))</f>
        <v/>
      </c>
      <c r="BI71" s="37" t="str">
        <f t="array" ref="BI71">IF($A71="","", INDEX(CS!$B$1:$B$15026,MATCH($A71,CS!$B:$B,0)+COLUMN(C$1),1))</f>
        <v/>
      </c>
      <c r="BJ71" s="37" t="str">
        <f t="array" ref="BJ71">IF($A71="","", INDEX(CS!$B$1:$B$15026,MATCH($A71,CS!$B:$B,0)+COLUMN(D$1),1))</f>
        <v/>
      </c>
      <c r="BK71" s="37" t="str">
        <f t="array" ref="BK71">IF($A71="","", INDEX(CS!$B$1:$B$15026,MATCH($A71,CS!$B:$B,0)+COLUMN(E$1),1))</f>
        <v/>
      </c>
      <c r="BL71" s="37" t="str">
        <f t="array" ref="BL71">IF($A71="","", INDEX(CS!$B$1:$B$15026,MATCH($A71,CS!$B:$B,0)+COLUMN(F$1),1))</f>
        <v/>
      </c>
      <c r="BM71" s="37" t="str">
        <f t="array" ref="BM71">IF($A71="","", INDEX(CS!$B$1:$B$15026,MATCH($A71,CS!$B:$B,0)+COLUMN(G$1),1))</f>
        <v/>
      </c>
      <c r="BN71" s="37" t="str">
        <f t="array" ref="BN71">IF($A71="","", INDEX(CS!$B$1:$B$15026,MATCH($A71,CS!$B:$B,0)+COLUMN(H$1),1))</f>
        <v/>
      </c>
      <c r="BO71" s="37" t="str">
        <f t="array" ref="BO71">IF($A71="","", INDEX(CS!$B$1:$B$15026,MATCH($A71,CS!$B:$B,0)+COLUMN(I$1),1))</f>
        <v/>
      </c>
      <c r="BP71" s="37" t="str">
        <f t="array" ref="BP71">IF($A71="","", INDEX(CS!$B$1:$B$15026,MATCH($A71,CS!$B:$B,0)+COLUMN(J$1),1))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INDEX(CS!$B$1:$B$15026,MATCH($A72,CS!$B:$B,0)+COLUMN(A$1),1))</f>
        <v/>
      </c>
      <c r="BH72" s="37" t="str">
        <f t="array" ref="BH72">IF($A72="","", INDEX(CS!$B$1:$B$15026,MATCH($A72,CS!$B:$B,0)+COLUMN(B$1),1))</f>
        <v/>
      </c>
      <c r="BI72" s="37" t="str">
        <f t="array" ref="BI72">IF($A72="","", INDEX(CS!$B$1:$B$15026,MATCH($A72,CS!$B:$B,0)+COLUMN(C$1),1))</f>
        <v/>
      </c>
      <c r="BJ72" s="37" t="str">
        <f t="array" ref="BJ72">IF($A72="","", INDEX(CS!$B$1:$B$15026,MATCH($A72,CS!$B:$B,0)+COLUMN(D$1),1))</f>
        <v/>
      </c>
      <c r="BK72" s="37" t="str">
        <f t="array" ref="BK72">IF($A72="","", INDEX(CS!$B$1:$B$15026,MATCH($A72,CS!$B:$B,0)+COLUMN(E$1),1))</f>
        <v/>
      </c>
      <c r="BL72" s="37" t="str">
        <f t="array" ref="BL72">IF($A72="","", INDEX(CS!$B$1:$B$15026,MATCH($A72,CS!$B:$B,0)+COLUMN(F$1),1))</f>
        <v/>
      </c>
      <c r="BM72" s="37" t="str">
        <f t="array" ref="BM72">IF($A72="","", INDEX(CS!$B$1:$B$15026,MATCH($A72,CS!$B:$B,0)+COLUMN(G$1),1))</f>
        <v/>
      </c>
      <c r="BN72" s="37" t="str">
        <f t="array" ref="BN72">IF($A72="","", INDEX(CS!$B$1:$B$15026,MATCH($A72,CS!$B:$B,0)+COLUMN(H$1),1))</f>
        <v/>
      </c>
      <c r="BO72" s="37" t="str">
        <f t="array" ref="BO72">IF($A72="","", INDEX(CS!$B$1:$B$15026,MATCH($A72,CS!$B:$B,0)+COLUMN(I$1),1))</f>
        <v/>
      </c>
      <c r="BP72" s="37" t="str">
        <f t="array" ref="BP72">IF($A72="","", INDEX(CS!$B$1:$B$15026,MATCH($A72,CS!$B:$B,0)+COLUMN(J$1),1))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INDEX(CS!$B$1:$B$15026,MATCH($A73,CS!$B:$B,0)+COLUMN(A$1),1))</f>
        <v/>
      </c>
      <c r="BH73" s="37" t="str">
        <f t="array" ref="BH73">IF($A73="","", INDEX(CS!$B$1:$B$15026,MATCH($A73,CS!$B:$B,0)+COLUMN(B$1),1))</f>
        <v/>
      </c>
      <c r="BI73" s="37" t="str">
        <f t="array" ref="BI73">IF($A73="","", INDEX(CS!$B$1:$B$15026,MATCH($A73,CS!$B:$B,0)+COLUMN(C$1),1))</f>
        <v/>
      </c>
      <c r="BJ73" s="37" t="str">
        <f t="array" ref="BJ73">IF($A73="","", INDEX(CS!$B$1:$B$15026,MATCH($A73,CS!$B:$B,0)+COLUMN(D$1),1))</f>
        <v/>
      </c>
      <c r="BK73" s="37" t="str">
        <f t="array" ref="BK73">IF($A73="","", INDEX(CS!$B$1:$B$15026,MATCH($A73,CS!$B:$B,0)+COLUMN(E$1),1))</f>
        <v/>
      </c>
      <c r="BL73" s="37" t="str">
        <f t="array" ref="BL73">IF($A73="","", INDEX(CS!$B$1:$B$15026,MATCH($A73,CS!$B:$B,0)+COLUMN(F$1),1))</f>
        <v/>
      </c>
      <c r="BM73" s="37" t="str">
        <f t="array" ref="BM73">IF($A73="","", INDEX(CS!$B$1:$B$15026,MATCH($A73,CS!$B:$B,0)+COLUMN(G$1),1))</f>
        <v/>
      </c>
      <c r="BN73" s="37" t="str">
        <f t="array" ref="BN73">IF($A73="","", INDEX(CS!$B$1:$B$15026,MATCH($A73,CS!$B:$B,0)+COLUMN(H$1),1))</f>
        <v/>
      </c>
      <c r="BO73" s="37" t="str">
        <f t="array" ref="BO73">IF($A73="","", INDEX(CS!$B$1:$B$15026,MATCH($A73,CS!$B:$B,0)+COLUMN(I$1),1))</f>
        <v/>
      </c>
      <c r="BP73" s="37" t="str">
        <f t="array" ref="BP73">IF($A73="","", INDEX(CS!$B$1:$B$15026,MATCH($A73,CS!$B:$B,0)+COLUMN(J$1),1))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INDEX(CS!$B$1:$B$15026,MATCH($A74,CS!$B:$B,0)+COLUMN(A$1),1))</f>
        <v>炎の拳</v>
      </c>
      <c r="BH74" s="37" t="str">
        <f t="array" ref="BH74">IF($A74="","", INDEX(CS!$B$1:$B$15026,MATCH($A74,CS!$B:$B,0)+COLUMN(B$1),1))</f>
        <v/>
      </c>
      <c r="BI74" s="37" t="str">
        <f t="array" ref="BI74">IF($A74="","", INDEX(CS!$B$1:$B$15026,MATCH($A74,CS!$B:$B,0)+COLUMN(C$1),1))</f>
        <v>浮遊</v>
      </c>
      <c r="BJ74" s="37" t="str">
        <f t="array" ref="BJ74">IF($A74="","", INDEX(CS!$B$1:$B$15026,MATCH($A74,CS!$B:$B,0)+COLUMN(D$1),1))</f>
        <v/>
      </c>
      <c r="BK74" s="37" t="str">
        <f t="array" ref="BK74">IF($A74="","", INDEX(CS!$B$1:$B$15026,MATCH($A74,CS!$B:$B,0)+COLUMN(E$1),1))</f>
        <v>火炎</v>
      </c>
      <c r="BL74" s="37" t="str">
        <f t="array" ref="BL74">IF($A74="","", INDEX(CS!$B$1:$B$15026,MATCH($A74,CS!$B:$B,0)+COLUMN(F$1),1))</f>
        <v>炎の魔力</v>
      </c>
      <c r="BM74" s="37" t="str">
        <f t="array" ref="BM74">IF($A74="","", INDEX(CS!$B$1:$B$15026,MATCH($A74,CS!$B:$B,0)+COLUMN(G$1),1))</f>
        <v/>
      </c>
      <c r="BN74" s="37" t="str">
        <f t="array" ref="BN74">IF($A74="","", INDEX(CS!$B$1:$B$15026,MATCH($A74,CS!$B:$B,0)+COLUMN(H$1),1))</f>
        <v/>
      </c>
      <c r="BO74" s="37" t="str">
        <f t="array" ref="BO74">IF($A74="","", INDEX(CS!$B$1:$B$15026,MATCH($A74,CS!$B:$B,0)+COLUMN(I$1),1))</f>
        <v>炎の力</v>
      </c>
      <c r="BP74" s="37" t="str">
        <f t="array" ref="BP74">IF($A74="","", INDEX(CS!$B$1:$B$15026,MATCH($A74,CS!$B:$B,0)+COLUMN(J$1),1))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INDEX(CS!$B$1:$B$15026,MATCH($A75,CS!$B:$B,0)+COLUMN(A$1),1))</f>
        <v>氷の拳</v>
      </c>
      <c r="BH75" s="37" t="str">
        <f t="array" ref="BH75">IF($A75="","", INDEX(CS!$B$1:$B$15026,MATCH($A75,CS!$B:$B,0)+COLUMN(B$1),1))</f>
        <v/>
      </c>
      <c r="BI75" s="37" t="str">
        <f t="array" ref="BI75">IF($A75="","", INDEX(CS!$B$1:$B$15026,MATCH($A75,CS!$B:$B,0)+COLUMN(C$1),1))</f>
        <v>浮遊</v>
      </c>
      <c r="BJ75" s="37" t="str">
        <f t="array" ref="BJ75">IF($A75="","", INDEX(CS!$B$1:$B$15026,MATCH($A75,CS!$B:$B,0)+COLUMN(D$1),1))</f>
        <v/>
      </c>
      <c r="BK75" s="37" t="str">
        <f t="array" ref="BK75">IF($A75="","", INDEX(CS!$B$1:$B$15026,MATCH($A75,CS!$B:$B,0)+COLUMN(E$1),1))</f>
        <v>冷気の光線</v>
      </c>
      <c r="BL75" s="37" t="str">
        <f t="array" ref="BL75">IF($A75="","", INDEX(CS!$B$1:$B$15026,MATCH($A75,CS!$B:$B,0)+COLUMN(F$1),1))</f>
        <v>氷の魔力</v>
      </c>
      <c r="BM75" s="37" t="str">
        <f t="array" ref="BM75">IF($A75="","", INDEX(CS!$B$1:$B$15026,MATCH($A75,CS!$B:$B,0)+COLUMN(G$1),1))</f>
        <v/>
      </c>
      <c r="BN75" s="37" t="str">
        <f t="array" ref="BN75">IF($A75="","", INDEX(CS!$B$1:$B$15026,MATCH($A75,CS!$B:$B,0)+COLUMN(H$1),1))</f>
        <v/>
      </c>
      <c r="BO75" s="37" t="str">
        <f t="array" ref="BO75">IF($A75="","", INDEX(CS!$B$1:$B$15026,MATCH($A75,CS!$B:$B,0)+COLUMN(I$1),1))</f>
        <v>氷の力</v>
      </c>
      <c r="BP75" s="37" t="str">
        <f t="array" ref="BP75">IF($A75="","", INDEX(CS!$B$1:$B$15026,MATCH($A75,CS!$B:$B,0)+COLUMN(J$1),1))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INDEX(CS!$B$1:$B$15026,MATCH($A76,CS!$B:$B,0)+COLUMN(A$1),1))</f>
        <v>水の拳</v>
      </c>
      <c r="BH76" s="37" t="str">
        <f t="array" ref="BH76">IF($A76="","", INDEX(CS!$B$1:$B$15026,MATCH($A76,CS!$B:$B,0)+COLUMN(B$1),1))</f>
        <v/>
      </c>
      <c r="BI76" s="37" t="str">
        <f t="array" ref="BI76">IF($A76="","", INDEX(CS!$B$1:$B$15026,MATCH($A76,CS!$B:$B,0)+COLUMN(C$1),1))</f>
        <v>水の精霊</v>
      </c>
      <c r="BJ76" s="37" t="str">
        <f t="array" ref="BJ76">IF($A76="","", INDEX(CS!$B$1:$B$15026,MATCH($A76,CS!$B:$B,0)+COLUMN(D$1),1))</f>
        <v/>
      </c>
      <c r="BK76" s="37" t="str">
        <f t="array" ref="BK76">IF($A76="","", INDEX(CS!$B$1:$B$15026,MATCH($A76,CS!$B:$B,0)+COLUMN(E$1),1))</f>
        <v>水力</v>
      </c>
      <c r="BL76" s="37" t="str">
        <f t="array" ref="BL76">IF($A76="","", INDEX(CS!$B$1:$B$15026,MATCH($A76,CS!$B:$B,0)+COLUMN(F$1),1))</f>
        <v>水の魔力</v>
      </c>
      <c r="BM76" s="37" t="str">
        <f t="array" ref="BM76">IF($A76="","", INDEX(CS!$B$1:$B$15026,MATCH($A76,CS!$B:$B,0)+COLUMN(G$1),1))</f>
        <v/>
      </c>
      <c r="BN76" s="37" t="str">
        <f t="array" ref="BN76">IF($A76="","", INDEX(CS!$B$1:$B$15026,MATCH($A76,CS!$B:$B,0)+COLUMN(H$1),1))</f>
        <v/>
      </c>
      <c r="BO76" s="37" t="str">
        <f t="array" ref="BO76">IF($A76="","", INDEX(CS!$B$1:$B$15026,MATCH($A76,CS!$B:$B,0)+COLUMN(I$1),1))</f>
        <v>水の力</v>
      </c>
      <c r="BP76" s="37" t="str">
        <f t="array" ref="BP76">IF($A76="","", INDEX(CS!$B$1:$B$15026,MATCH($A76,CS!$B:$B,0)+COLUMN(J$1),1))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INDEX(CS!$B$1:$B$15026,MATCH($A77,CS!$B:$B,0)+COLUMN(A$1),1))</f>
        <v>風の拳</v>
      </c>
      <c r="BH77" s="37" t="str">
        <f t="array" ref="BH77">IF($A77="","", INDEX(CS!$B$1:$B$15026,MATCH($A77,CS!$B:$B,0)+COLUMN(B$1),1))</f>
        <v/>
      </c>
      <c r="BI77" s="37" t="str">
        <f t="array" ref="BI77">IF($A77="","", INDEX(CS!$B$1:$B$15026,MATCH($A77,CS!$B:$B,0)+COLUMN(C$1),1))</f>
        <v>浮遊</v>
      </c>
      <c r="BJ77" s="37" t="str">
        <f t="array" ref="BJ77">IF($A77="","", INDEX(CS!$B$1:$B$15026,MATCH($A77,CS!$B:$B,0)+COLUMN(D$1),1))</f>
        <v/>
      </c>
      <c r="BK77" s="37" t="str">
        <f t="array" ref="BK77">IF($A77="","", INDEX(CS!$B$1:$B$15026,MATCH($A77,CS!$B:$B,0)+COLUMN(E$1),1))</f>
        <v>突風</v>
      </c>
      <c r="BL77" s="37" t="str">
        <f t="array" ref="BL77">IF($A77="","", INDEX(CS!$B$1:$B$15026,MATCH($A77,CS!$B:$B,0)+COLUMN(F$1),1))</f>
        <v>風の魔力</v>
      </c>
      <c r="BM77" s="37" t="str">
        <f t="array" ref="BM77">IF($A77="","", INDEX(CS!$B$1:$B$15026,MATCH($A77,CS!$B:$B,0)+COLUMN(G$1),1))</f>
        <v/>
      </c>
      <c r="BN77" s="37" t="str">
        <f t="array" ref="BN77">IF($A77="","", INDEX(CS!$B$1:$B$15026,MATCH($A77,CS!$B:$B,0)+COLUMN(H$1),1))</f>
        <v/>
      </c>
      <c r="BO77" s="37" t="str">
        <f t="array" ref="BO77">IF($A77="","", INDEX(CS!$B$1:$B$15026,MATCH($A77,CS!$B:$B,0)+COLUMN(I$1),1))</f>
        <v>風の力</v>
      </c>
      <c r="BP77" s="37" t="str">
        <f t="array" ref="BP77">IF($A77="","", INDEX(CS!$B$1:$B$15026,MATCH($A77,CS!$B:$B,0)+COLUMN(J$1),1))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INDEX(CS!$B$1:$B$15026,MATCH($A78,CS!$B:$B,0)+COLUMN(A$1),1))</f>
        <v>地の拳</v>
      </c>
      <c r="BH78" s="37" t="str">
        <f t="array" ref="BH78">IF($A78="","", INDEX(CS!$B$1:$B$15026,MATCH($A78,CS!$B:$B,0)+COLUMN(B$1),1))</f>
        <v/>
      </c>
      <c r="BI78" s="37" t="str">
        <f t="array" ref="BI78">IF($A78="","", INDEX(CS!$B$1:$B$15026,MATCH($A78,CS!$B:$B,0)+COLUMN(C$1),1))</f>
        <v>浮遊</v>
      </c>
      <c r="BJ78" s="37" t="str">
        <f t="array" ref="BJ78">IF($A78="","", INDEX(CS!$B$1:$B$15026,MATCH($A78,CS!$B:$B,0)+COLUMN(D$1),1))</f>
        <v/>
      </c>
      <c r="BK78" s="37" t="str">
        <f t="array" ref="BK78">IF($A78="","", INDEX(CS!$B$1:$B$15026,MATCH($A78,CS!$B:$B,0)+COLUMN(E$1),1))</f>
        <v>魔法の石</v>
      </c>
      <c r="BL78" s="37" t="str">
        <f t="array" ref="BL78">IF($A78="","", INDEX(CS!$B$1:$B$15026,MATCH($A78,CS!$B:$B,0)+COLUMN(F$1),1))</f>
        <v>地の魔力</v>
      </c>
      <c r="BM78" s="37" t="str">
        <f t="array" ref="BM78">IF($A78="","", INDEX(CS!$B$1:$B$15026,MATCH($A78,CS!$B:$B,0)+COLUMN(G$1),1))</f>
        <v/>
      </c>
      <c r="BN78" s="37" t="str">
        <f t="array" ref="BN78">IF($A78="","", INDEX(CS!$B$1:$B$15026,MATCH($A78,CS!$B:$B,0)+COLUMN(H$1),1))</f>
        <v/>
      </c>
      <c r="BO78" s="37" t="str">
        <f t="array" ref="BO78">IF($A78="","", INDEX(CS!$B$1:$B$15026,MATCH($A78,CS!$B:$B,0)+COLUMN(I$1),1))</f>
        <v>地の力</v>
      </c>
      <c r="BP78" s="37" t="str">
        <f t="array" ref="BP78">IF($A78="","", INDEX(CS!$B$1:$B$15026,MATCH($A78,CS!$B:$B,0)+COLUMN(J$1),1))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INDEX(CS!$B$1:$B$15026,MATCH($A94,CS!$B:$B,0)+COLUMN(A$1),1))</f>
        <v/>
      </c>
      <c r="BH94" s="37" t="str">
        <f t="array" ref="BH94">IF($A94="","", INDEX(CS!$B$1:$B$15026,MATCH($A94,CS!$B:$B,0)+COLUMN(B$1),1))</f>
        <v/>
      </c>
      <c r="BI94" s="37" t="str">
        <f t="array" ref="BI94">IF($A94="","", INDEX(CS!$B$1:$B$15026,MATCH($A94,CS!$B:$B,0)+COLUMN(C$1),1))</f>
        <v/>
      </c>
      <c r="BJ94" s="37" t="str">
        <f t="array" ref="BJ94">IF($A94="","", INDEX(CS!$B$1:$B$15026,MATCH($A94,CS!$B:$B,0)+COLUMN(D$1),1))</f>
        <v/>
      </c>
      <c r="BK94" s="37" t="str">
        <f t="array" ref="BK94">IF($A94="","", INDEX(CS!$B$1:$B$15026,MATCH($A94,CS!$B:$B,0)+COLUMN(E$1),1))</f>
        <v/>
      </c>
      <c r="BL94" s="37" t="str">
        <f t="array" ref="BL94">IF($A94="","", INDEX(CS!$B$1:$B$15026,MATCH($A94,CS!$B:$B,0)+COLUMN(F$1),1))</f>
        <v/>
      </c>
      <c r="BM94" s="37" t="str">
        <f t="array" ref="BM94">IF($A94="","", INDEX(CS!$B$1:$B$15026,MATCH($A94,CS!$B:$B,0)+COLUMN(G$1),1))</f>
        <v/>
      </c>
      <c r="BN94" s="37" t="str">
        <f t="array" ref="BN94">IF($A94="","", INDEX(CS!$B$1:$B$15026,MATCH($A94,CS!$B:$B,0)+COLUMN(H$1),1))</f>
        <v/>
      </c>
      <c r="BO94" s="37" t="str">
        <f t="array" ref="BO94">IF($A94="","", INDEX(CS!$B$1:$B$15026,MATCH($A94,CS!$B:$B,0)+COLUMN(I$1),1))</f>
        <v/>
      </c>
      <c r="BP94" s="37" t="str">
        <f t="array" ref="BP94">IF($A94="","", INDEX(CS!$B$1:$B$15026,MATCH($A94,CS!$B:$B,0)+COLUMN(J$1),1))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INDEX(CS!$B$1:$B$15026,MATCH($A95,CS!$B:$B,0)+COLUMN(A$1),1))</f>
        <v/>
      </c>
      <c r="BH95" s="37" t="str">
        <f t="array" ref="BH95">IF($A95="","", INDEX(CS!$B$1:$B$15026,MATCH($A95,CS!$B:$B,0)+COLUMN(B$1),1))</f>
        <v/>
      </c>
      <c r="BI95" s="37" t="str">
        <f t="array" ref="BI95">IF($A95="","", INDEX(CS!$B$1:$B$15026,MATCH($A95,CS!$B:$B,0)+COLUMN(C$1),1))</f>
        <v/>
      </c>
      <c r="BJ95" s="37" t="str">
        <f t="array" ref="BJ95">IF($A95="","", INDEX(CS!$B$1:$B$15026,MATCH($A95,CS!$B:$B,0)+COLUMN(D$1),1))</f>
        <v/>
      </c>
      <c r="BK95" s="37" t="str">
        <f t="array" ref="BK95">IF($A95="","", INDEX(CS!$B$1:$B$15026,MATCH($A95,CS!$B:$B,0)+COLUMN(E$1),1))</f>
        <v/>
      </c>
      <c r="BL95" s="37" t="str">
        <f t="array" ref="BL95">IF($A95="","", INDEX(CS!$B$1:$B$15026,MATCH($A95,CS!$B:$B,0)+COLUMN(F$1),1))</f>
        <v/>
      </c>
      <c r="BM95" s="37" t="str">
        <f t="array" ref="BM95">IF($A95="","", INDEX(CS!$B$1:$B$15026,MATCH($A95,CS!$B:$B,0)+COLUMN(G$1),1))</f>
        <v/>
      </c>
      <c r="BN95" s="37" t="str">
        <f t="array" ref="BN95">IF($A95="","", INDEX(CS!$B$1:$B$15026,MATCH($A95,CS!$B:$B,0)+COLUMN(H$1),1))</f>
        <v/>
      </c>
      <c r="BO95" s="37" t="str">
        <f t="array" ref="BO95">IF($A95="","", INDEX(CS!$B$1:$B$15026,MATCH($A95,CS!$B:$B,0)+COLUMN(I$1),1))</f>
        <v/>
      </c>
      <c r="BP95" s="37" t="str">
        <f t="array" ref="BP95">IF($A95="","", INDEX(CS!$B$1:$B$15026,MATCH($A95,CS!$B:$B,0)+COLUMN(J$1),1))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INDEX(CS!$B$1:$B$15026,MATCH($A96,CS!$B:$B,0)+COLUMN(A$1),1))</f>
        <v/>
      </c>
      <c r="BH96" s="37" t="str">
        <f t="array" ref="BH96">IF($A96="","", INDEX(CS!$B$1:$B$15026,MATCH($A96,CS!$B:$B,0)+COLUMN(B$1),1))</f>
        <v/>
      </c>
      <c r="BI96" s="37" t="str">
        <f t="array" ref="BI96">IF($A96="","", INDEX(CS!$B$1:$B$15026,MATCH($A96,CS!$B:$B,0)+COLUMN(C$1),1))</f>
        <v/>
      </c>
      <c r="BJ96" s="37" t="str">
        <f t="array" ref="BJ96">IF($A96="","", INDEX(CS!$B$1:$B$15026,MATCH($A96,CS!$B:$B,0)+COLUMN(D$1),1))</f>
        <v/>
      </c>
      <c r="BK96" s="37" t="str">
        <f t="array" ref="BK96">IF($A96="","", INDEX(CS!$B$1:$B$15026,MATCH($A96,CS!$B:$B,0)+COLUMN(E$1),1))</f>
        <v/>
      </c>
      <c r="BL96" s="37" t="str">
        <f t="array" ref="BL96">IF($A96="","", INDEX(CS!$B$1:$B$15026,MATCH($A96,CS!$B:$B,0)+COLUMN(F$1),1))</f>
        <v/>
      </c>
      <c r="BM96" s="37" t="str">
        <f t="array" ref="BM96">IF($A96="","", INDEX(CS!$B$1:$B$15026,MATCH($A96,CS!$B:$B,0)+COLUMN(G$1),1))</f>
        <v/>
      </c>
      <c r="BN96" s="37" t="str">
        <f t="array" ref="BN96">IF($A96="","", INDEX(CS!$B$1:$B$15026,MATCH($A96,CS!$B:$B,0)+COLUMN(H$1),1))</f>
        <v/>
      </c>
      <c r="BO96" s="37" t="str">
        <f t="array" ref="BO96">IF($A96="","", INDEX(CS!$B$1:$B$15026,MATCH($A96,CS!$B:$B,0)+COLUMN(I$1),1))</f>
        <v/>
      </c>
      <c r="BP96" s="37" t="str">
        <f t="array" ref="BP96">IF($A96="","", INDEX(CS!$B$1:$B$15026,MATCH($A96,CS!$B:$B,0)+COLUMN(J$1),1))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INDEX(CS!$B$1:$B$15026,MATCH($A97,CS!$B:$B,0)+COLUMN(A$1),1))</f>
        <v/>
      </c>
      <c r="BH97" s="37" t="str">
        <f t="array" ref="BH97">IF($A97="","", INDEX(CS!$B$1:$B$15026,MATCH($A97,CS!$B:$B,0)+COLUMN(B$1),1))</f>
        <v/>
      </c>
      <c r="BI97" s="37" t="str">
        <f t="array" ref="BI97">IF($A97="","", INDEX(CS!$B$1:$B$15026,MATCH($A97,CS!$B:$B,0)+COLUMN(C$1),1))</f>
        <v/>
      </c>
      <c r="BJ97" s="37" t="str">
        <f t="array" ref="BJ97">IF($A97="","", INDEX(CS!$B$1:$B$15026,MATCH($A97,CS!$B:$B,0)+COLUMN(D$1),1))</f>
        <v/>
      </c>
      <c r="BK97" s="37" t="str">
        <f t="array" ref="BK97">IF($A97="","", INDEX(CS!$B$1:$B$15026,MATCH($A97,CS!$B:$B,0)+COLUMN(E$1),1))</f>
        <v/>
      </c>
      <c r="BL97" s="37" t="str">
        <f t="array" ref="BL97">IF($A97="","", INDEX(CS!$B$1:$B$15026,MATCH($A97,CS!$B:$B,0)+COLUMN(F$1),1))</f>
        <v/>
      </c>
      <c r="BM97" s="37" t="str">
        <f t="array" ref="BM97">IF($A97="","", INDEX(CS!$B$1:$B$15026,MATCH($A97,CS!$B:$B,0)+COLUMN(G$1),1))</f>
        <v/>
      </c>
      <c r="BN97" s="37" t="str">
        <f t="array" ref="BN97">IF($A97="","", INDEX(CS!$B$1:$B$15026,MATCH($A97,CS!$B:$B,0)+COLUMN(H$1),1))</f>
        <v/>
      </c>
      <c r="BO97" s="37" t="str">
        <f t="array" ref="BO97">IF($A97="","", INDEX(CS!$B$1:$B$15026,MATCH($A97,CS!$B:$B,0)+COLUMN(I$1),1))</f>
        <v/>
      </c>
      <c r="BP97" s="37" t="str">
        <f t="array" ref="BP97">IF($A97="","", INDEX(CS!$B$1:$B$15026,MATCH($A97,CS!$B:$B,0)+COLUMN(J$1),1))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INDEX(CS!$B$1:$B$15026,MATCH($A98,CS!$B:$B,0)+COLUMN(A$1),1))</f>
        <v/>
      </c>
      <c r="BH98" s="37" t="str">
        <f t="array" ref="BH98">IF($A98="","", INDEX(CS!$B$1:$B$15026,MATCH($A98,CS!$B:$B,0)+COLUMN(B$1),1))</f>
        <v/>
      </c>
      <c r="BI98" s="37" t="str">
        <f t="array" ref="BI98">IF($A98="","", INDEX(CS!$B$1:$B$15026,MATCH($A98,CS!$B:$B,0)+COLUMN(C$1),1))</f>
        <v/>
      </c>
      <c r="BJ98" s="37" t="str">
        <f t="array" ref="BJ98">IF($A98="","", INDEX(CS!$B$1:$B$15026,MATCH($A98,CS!$B:$B,0)+COLUMN(D$1),1))</f>
        <v/>
      </c>
      <c r="BK98" s="37" t="str">
        <f t="array" ref="BK98">IF($A98="","", INDEX(CS!$B$1:$B$15026,MATCH($A98,CS!$B:$B,0)+COLUMN(E$1),1))</f>
        <v/>
      </c>
      <c r="BL98" s="37" t="str">
        <f t="array" ref="BL98">IF($A98="","", INDEX(CS!$B$1:$B$15026,MATCH($A98,CS!$B:$B,0)+COLUMN(F$1),1))</f>
        <v/>
      </c>
      <c r="BM98" s="37" t="str">
        <f t="array" ref="BM98">IF($A98="","", INDEX(CS!$B$1:$B$15026,MATCH($A98,CS!$B:$B,0)+COLUMN(G$1),1))</f>
        <v/>
      </c>
      <c r="BN98" s="37" t="str">
        <f t="array" ref="BN98">IF($A98="","", INDEX(CS!$B$1:$B$15026,MATCH($A98,CS!$B:$B,0)+COLUMN(H$1),1))</f>
        <v/>
      </c>
      <c r="BO98" s="37" t="str">
        <f t="array" ref="BO98">IF($A98="","", INDEX(CS!$B$1:$B$15026,MATCH($A98,CS!$B:$B,0)+COLUMN(I$1),1))</f>
        <v/>
      </c>
      <c r="BP98" s="37" t="str">
        <f t="array" ref="BP98">IF($A98="","", INDEX(CS!$B$1:$B$15026,MATCH($A98,CS!$B:$B,0)+COLUMN(J$1),1))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INDEX(CS!$B$1:$B$15026,MATCH($A99,CS!$B:$B,0)+COLUMN(A$1),1))</f>
        <v/>
      </c>
      <c r="BH99" s="37" t="str">
        <f t="array" ref="BH99">IF($A99="","", INDEX(CS!$B$1:$B$15026,MATCH($A99,CS!$B:$B,0)+COLUMN(B$1),1))</f>
        <v/>
      </c>
      <c r="BI99" s="37" t="str">
        <f t="array" ref="BI99">IF($A99="","", INDEX(CS!$B$1:$B$15026,MATCH($A99,CS!$B:$B,0)+COLUMN(C$1),1))</f>
        <v/>
      </c>
      <c r="BJ99" s="37" t="str">
        <f t="array" ref="BJ99">IF($A99="","", INDEX(CS!$B$1:$B$15026,MATCH($A99,CS!$B:$B,0)+COLUMN(D$1),1))</f>
        <v/>
      </c>
      <c r="BK99" s="37" t="str">
        <f t="array" ref="BK99">IF($A99="","", INDEX(CS!$B$1:$B$15026,MATCH($A99,CS!$B:$B,0)+COLUMN(E$1),1))</f>
        <v/>
      </c>
      <c r="BL99" s="37" t="str">
        <f t="array" ref="BL99">IF($A99="","", INDEX(CS!$B$1:$B$15026,MATCH($A99,CS!$B:$B,0)+COLUMN(F$1),1))</f>
        <v/>
      </c>
      <c r="BM99" s="37" t="str">
        <f t="array" ref="BM99">IF($A99="","", INDEX(CS!$B$1:$B$15026,MATCH($A99,CS!$B:$B,0)+COLUMN(G$1),1))</f>
        <v/>
      </c>
      <c r="BN99" s="37" t="str">
        <f t="array" ref="BN99">IF($A99="","", INDEX(CS!$B$1:$B$15026,MATCH($A99,CS!$B:$B,0)+COLUMN(H$1),1))</f>
        <v/>
      </c>
      <c r="BO99" s="37" t="str">
        <f t="array" ref="BO99">IF($A99="","", INDEX(CS!$B$1:$B$15026,MATCH($A99,CS!$B:$B,0)+COLUMN(I$1),1))</f>
        <v/>
      </c>
      <c r="BP99" s="37" t="str">
        <f t="array" ref="BP99">IF($A99="","", INDEX(CS!$B$1:$B$15026,MATCH($A99,CS!$B:$B,0)+COLUMN(J$1),1))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INDEX(CS!$B$1:$B$15026,MATCH($A100,CS!$B:$B,0)+COLUMN(A$1),1))</f>
        <v/>
      </c>
      <c r="BH100" s="37" t="str">
        <f t="array" ref="BH100">IF($A100="","", INDEX(CS!$B$1:$B$15026,MATCH($A100,CS!$B:$B,0)+COLUMN(B$1),1))</f>
        <v>闘気撃</v>
      </c>
      <c r="BI100" s="37" t="str">
        <f t="array" ref="BI100">IF($A100="","", INDEX(CS!$B$1:$B$15026,MATCH($A100,CS!$B:$B,0)+COLUMN(C$1),1))</f>
        <v>武器の扱い</v>
      </c>
      <c r="BJ100" s="37" t="str">
        <f t="array" ref="BJ100">IF($A100="","", INDEX(CS!$B$1:$B$15026,MATCH($A100,CS!$B:$B,0)+COLUMN(D$1),1))</f>
        <v/>
      </c>
      <c r="BK100" s="37" t="str">
        <f t="array" ref="BK100">IF($A100="","", INDEX(CS!$B$1:$B$15026,MATCH($A100,CS!$B:$B,0)+COLUMN(E$1),1))</f>
        <v>闘気守</v>
      </c>
      <c r="BL100" s="37" t="str">
        <f t="array" ref="BL100">IF($A100="","", INDEX(CS!$B$1:$B$15026,MATCH($A100,CS!$B:$B,0)+COLUMN(F$1),1))</f>
        <v/>
      </c>
      <c r="BM100" s="37" t="str">
        <f t="array" ref="BM100">IF($A100="","", INDEX(CS!$B$1:$B$15026,MATCH($A100,CS!$B:$B,0)+COLUMN(G$1),1))</f>
        <v/>
      </c>
      <c r="BN100" s="37" t="str">
        <f t="array" ref="BN100">IF($A100="","", INDEX(CS!$B$1:$B$15026,MATCH($A100,CS!$B:$B,0)+COLUMN(H$1),1))</f>
        <v>雄叫び</v>
      </c>
      <c r="BO100" s="37" t="str">
        <f t="array" ref="BO100">IF($A100="","", INDEX(CS!$B$1:$B$15026,MATCH($A100,CS!$B:$B,0)+COLUMN(I$1),1))</f>
        <v>武器の攻め</v>
      </c>
      <c r="BP100" s="37" t="str">
        <f t="array" ref="BP100">IF($A100="","", INDEX(CS!$B$1:$B$15026,MATCH($A100,CS!$B:$B,0)+COLUMN(J$1),1))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INDEX(CS!$B$1:$B$15026,MATCH($A101,CS!$B:$B,0)+COLUMN(A$1),1))</f>
        <v/>
      </c>
      <c r="BH101" s="37" t="str">
        <f t="array" ref="BH101">IF($A101="","", INDEX(CS!$B$1:$B$15026,MATCH($A101,CS!$B:$B,0)+COLUMN(B$1),1))</f>
        <v>闘気守</v>
      </c>
      <c r="BI101" s="37" t="str">
        <f t="array" ref="BI101">IF($A101="","", INDEX(CS!$B$1:$B$15026,MATCH($A101,CS!$B:$B,0)+COLUMN(C$1),1))</f>
        <v>武器の扱い</v>
      </c>
      <c r="BJ101" s="37" t="str">
        <f t="array" ref="BJ101">IF($A101="","", INDEX(CS!$B$1:$B$15026,MATCH($A101,CS!$B:$B,0)+COLUMN(D$1),1))</f>
        <v/>
      </c>
      <c r="BK101" s="37" t="str">
        <f t="array" ref="BK101">IF($A101="","", INDEX(CS!$B$1:$B$15026,MATCH($A101,CS!$B:$B,0)+COLUMN(E$1),1))</f>
        <v>闘気撃</v>
      </c>
      <c r="BL101" s="37" t="str">
        <f t="array" ref="BL101">IF($A101="","", INDEX(CS!$B$1:$B$15026,MATCH($A101,CS!$B:$B,0)+COLUMN(F$1),1))</f>
        <v>反撃</v>
      </c>
      <c r="BM101" s="37" t="str">
        <f t="array" ref="BM101">IF($A101="","", INDEX(CS!$B$1:$B$15026,MATCH($A101,CS!$B:$B,0)+COLUMN(G$1),1))</f>
        <v/>
      </c>
      <c r="BN101" s="37" t="str">
        <f t="array" ref="BN101">IF($A101="","", INDEX(CS!$B$1:$B$15026,MATCH($A101,CS!$B:$B,0)+COLUMN(H$1),1))</f>
        <v>雄叫び</v>
      </c>
      <c r="BO101" s="37" t="str">
        <f t="array" ref="BO101">IF($A101="","", INDEX(CS!$B$1:$B$15026,MATCH($A101,CS!$B:$B,0)+COLUMN(I$1),1))</f>
        <v>武器の守り</v>
      </c>
      <c r="BP101" s="37" t="str">
        <f t="array" ref="BP101">IF($A101="","", INDEX(CS!$B$1:$B$15026,MATCH($A101,CS!$B:$B,0)+COLUMN(J$1),1))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INDEX(CS!$B$1:$B$15026,MATCH($A102,CS!$B:$B,0)+COLUMN(A$1),1))</f>
        <v/>
      </c>
      <c r="BH102" s="37" t="str">
        <f t="array" ref="BH102">IF($A102="","", INDEX(CS!$B$1:$B$15026,MATCH($A102,CS!$B:$B,0)+COLUMN(B$1),1))</f>
        <v>闘気撃</v>
      </c>
      <c r="BI102" s="37" t="str">
        <f t="array" ref="BI102">IF($A102="","", INDEX(CS!$B$1:$B$15026,MATCH($A102,CS!$B:$B,0)+COLUMN(C$1),1))</f>
        <v>武器の扱い</v>
      </c>
      <c r="BJ102" s="37" t="str">
        <f t="array" ref="BJ102">IF($A102="","", INDEX(CS!$B$1:$B$15026,MATCH($A102,CS!$B:$B,0)+COLUMN(D$1),1))</f>
        <v/>
      </c>
      <c r="BK102" s="37" t="str">
        <f t="array" ref="BK102">IF($A102="","", INDEX(CS!$B$1:$B$15026,MATCH($A102,CS!$B:$B,0)+COLUMN(E$1),1))</f>
        <v>闘気速</v>
      </c>
      <c r="BL102" s="37" t="str">
        <f t="array" ref="BL102">IF($A102="","", INDEX(CS!$B$1:$B$15026,MATCH($A102,CS!$B:$B,0)+COLUMN(F$1),1))</f>
        <v/>
      </c>
      <c r="BM102" s="37" t="str">
        <f t="array" ref="BM102">IF($A102="","", INDEX(CS!$B$1:$B$15026,MATCH($A102,CS!$B:$B,0)+COLUMN(G$1),1))</f>
        <v/>
      </c>
      <c r="BN102" s="37" t="str">
        <f t="array" ref="BN102">IF($A102="","", INDEX(CS!$B$1:$B$15026,MATCH($A102,CS!$B:$B,0)+COLUMN(H$1),1))</f>
        <v>雄叫び</v>
      </c>
      <c r="BO102" s="37" t="str">
        <f t="array" ref="BO102">IF($A102="","", INDEX(CS!$B$1:$B$15026,MATCH($A102,CS!$B:$B,0)+COLUMN(I$1),1))</f>
        <v>武器の攻め</v>
      </c>
      <c r="BP102" s="37" t="str">
        <f t="array" ref="BP102">IF($A102="","", INDEX(CS!$B$1:$B$15026,MATCH($A102,CS!$B:$B,0)+COLUMN(J$1),1))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IF($A103="","",IFERROR(INDEX(CS!$B$1:$B$15026,MATCH($A103,CS!$B:$B,0)+COLUMN(A$1),1),""))</f>
        <v/>
      </c>
      <c r="BH103" s="37" t="str">
        <f t="array" ref="BH103">IF($A103="","",IFERROR(INDEX(CS!$B$1:$B$15026,MATCH($A103,CS!$B:$B,0)+COLUMN(B$1),1),""))</f>
        <v>闘気撃</v>
      </c>
      <c r="BI103" s="37" t="str">
        <f t="array" ref="BI103">IF($A103="","",IFERROR(INDEX(CS!$B$1:$B$15026,MATCH($A103,CS!$B:$B,0)+COLUMN(C$1),1),""))</f>
        <v>素手の扱い</v>
      </c>
      <c r="BJ103" s="37" t="str">
        <f t="array" ref="BJ103">IF($A103="","",IFERROR(INDEX(CS!$B$1:$B$15026,MATCH($A103,CS!$B:$B,0)+COLUMN(D$1),1),""))</f>
        <v/>
      </c>
      <c r="BK103" s="37" t="str">
        <f t="array" ref="BK103">IF($A103="","",IFERROR(INDEX(CS!$B$1:$B$15026,MATCH($A103,CS!$B:$B,0)+COLUMN(E$1),1),""))</f>
        <v>闘気速</v>
      </c>
      <c r="BL103" s="37" t="str">
        <f t="array" ref="BL103">IF($A103="","",IFERROR(INDEX(CS!$B$1:$B$15026,MATCH($A103,CS!$B:$B,0)+COLUMN(F$1),1),""))</f>
        <v/>
      </c>
      <c r="BM103" s="37" t="str">
        <f t="array" ref="BM103">IF($A103="","",IFERROR(INDEX(CS!$B$1:$B$15026,MATCH($A103,CS!$B:$B,0)+COLUMN(G$1),1),""))</f>
        <v/>
      </c>
      <c r="BN103" s="37" t="str">
        <f t="array" ref="BN103">IF($A103="","",IFERROR(INDEX(CS!$B$1:$B$15026,MATCH($A103,CS!$B:$B,0)+COLUMN(H$1),1),""))</f>
        <v>雄叫び</v>
      </c>
      <c r="BO103" s="37" t="str">
        <f t="array" ref="BO103">IF($A103="","",IFERROR(INDEX(CS!$B$1:$B$15026,MATCH($A103,CS!$B:$B,0)+COLUMN(I$1),1),""))</f>
        <v>武器の攻め</v>
      </c>
      <c r="BP103" s="37" t="str">
        <f t="array" ref="BP103">IF($A103="","",IFERROR(INDEX(CS!$B$1:$B$15026,MATCH($A103,CS!$B:$B,0)+COLUMN(J$1),1),""))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INDEX(CS!$B$1:$B$15026,MATCH($A104,CS!$B:$B,0)+COLUMN(A$1),1))</f>
        <v/>
      </c>
      <c r="BH104" s="37" t="str">
        <f t="array" ref="BH104">IF($A104="","", INDEX(CS!$B$1:$B$15026,MATCH($A104,CS!$B:$B,0)+COLUMN(B$1),1))</f>
        <v>急所撃</v>
      </c>
      <c r="BI104" s="37" t="str">
        <f t="array" ref="BI104">IF($A104="","", INDEX(CS!$B$1:$B$15026,MATCH($A104,CS!$B:$B,0)+COLUMN(C$1),1))</f>
        <v>隠密</v>
      </c>
      <c r="BJ104" s="37" t="str">
        <f t="array" ref="BJ104">IF($A104="","", INDEX(CS!$B$1:$B$15026,MATCH($A104,CS!$B:$B,0)+COLUMN(D$1),1))</f>
        <v/>
      </c>
      <c r="BK104" s="37" t="str">
        <f t="array" ref="BK104">IF($A104="","", INDEX(CS!$B$1:$B$15026,MATCH($A104,CS!$B:$B,0)+COLUMN(E$1),1))</f>
        <v>痛撃</v>
      </c>
      <c r="BL104" s="37" t="str">
        <f t="array" ref="BL104">IF($A104="","", INDEX(CS!$B$1:$B$15026,MATCH($A104,CS!$B:$B,0)+COLUMN(F$1),1))</f>
        <v>罠技術</v>
      </c>
      <c r="BM104" s="37" t="str">
        <f t="array" ref="BM104">IF($A104="","", INDEX(CS!$B$1:$B$15026,MATCH($A104,CS!$B:$B,0)+COLUMN(G$1),1))</f>
        <v/>
      </c>
      <c r="BN104" s="37" t="str">
        <f t="array" ref="BN104">IF($A104="","", INDEX(CS!$B$1:$B$15026,MATCH($A104,CS!$B:$B,0)+COLUMN(H$1),1))</f>
        <v>狙い</v>
      </c>
      <c r="BO104" s="37" t="str">
        <f t="array" ref="BO104">IF($A104="","", INDEX(CS!$B$1:$B$15026,MATCH($A104,CS!$B:$B,0)+COLUMN(I$1),1))</f>
        <v/>
      </c>
      <c r="BP104" s="37" t="str">
        <f t="array" ref="BP104">IF($A104="","", INDEX(CS!$B$1:$B$15026,MATCH($A104,CS!$B:$B,0)+COLUMN(J$1),1))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INDEX(CS!$B$1:$B$15026,MATCH($A105,CS!$B:$B,0)+COLUMN(A$1),1))</f>
        <v>急所撃</v>
      </c>
      <c r="BH105" s="37" t="str">
        <f t="array" ref="BH105">IF($A105="","", INDEX(CS!$B$1:$B$15026,MATCH($A105,CS!$B:$B,0)+COLUMN(B$1),1))</f>
        <v>狙い</v>
      </c>
      <c r="BI105" s="37" t="str">
        <f t="array" ref="BI105">IF($A105="","", INDEX(CS!$B$1:$B$15026,MATCH($A105,CS!$B:$B,0)+COLUMN(C$1),1))</f>
        <v>隠密</v>
      </c>
      <c r="BJ105" s="37" t="str">
        <f t="array" ref="BJ105">IF($A105="","", INDEX(CS!$B$1:$B$15026,MATCH($A105,CS!$B:$B,0)+COLUMN(D$1),1))</f>
        <v>痛撃</v>
      </c>
      <c r="BK105" s="37" t="str">
        <f t="array" ref="BK105">IF($A105="","", INDEX(CS!$B$1:$B$15026,MATCH($A105,CS!$B:$B,0)+COLUMN(E$1),1))</f>
        <v>罠技術</v>
      </c>
      <c r="BL105" s="37" t="str">
        <f t="array" ref="BL105">IF($A105="","", INDEX(CS!$B$1:$B$15026,MATCH($A105,CS!$B:$B,0)+COLUMN(F$1),1))</f>
        <v/>
      </c>
      <c r="BM105" s="37" t="str">
        <f t="array" ref="BM105">IF($A105="","", INDEX(CS!$B$1:$B$15026,MATCH($A105,CS!$B:$B,0)+COLUMN(G$1),1))</f>
        <v>一閃撃</v>
      </c>
      <c r="BN105" s="37" t="str">
        <f t="array" ref="BN105">IF($A105="","", INDEX(CS!$B$1:$B$15026,MATCH($A105,CS!$B:$B,0)+COLUMN(H$1),1))</f>
        <v/>
      </c>
      <c r="BO105" s="37" t="str">
        <f t="array" ref="BO105">IF($A105="","", INDEX(CS!$B$1:$B$15026,MATCH($A105,CS!$B:$B,0)+COLUMN(I$1),1))</f>
        <v/>
      </c>
      <c r="BP105" s="37" t="str">
        <f t="array" ref="BP105">IF($A105="","", INDEX(CS!$B$1:$B$15026,MATCH($A105,CS!$B:$B,0)+COLUMN(J$1),1))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IF($A106="","",IFERROR(INDEX(CS!$B$1:$B$15026,MATCH($A106,CS!$B:$B,0)+COLUMN(A$1),1),""))</f>
        <v>貫通矢</v>
      </c>
      <c r="BH106" s="37" t="str">
        <f t="array" ref="BH106">IF($A106="","",IFERROR(INDEX(CS!$B$1:$B$15026,MATCH($A106,CS!$B:$B,0)+COLUMN(B$1),1),""))</f>
        <v>狙い</v>
      </c>
      <c r="BI106" s="37" t="str">
        <f t="array" ref="BI106">IF($A106="","",IFERROR(INDEX(CS!$B$1:$B$15026,MATCH($A106,CS!$B:$B,0)+COLUMN(C$1),1),""))</f>
        <v>武器の扱い</v>
      </c>
      <c r="BJ106" s="37" t="str">
        <f t="array" ref="BJ106">IF($A106="","",IFERROR(INDEX(CS!$B$1:$B$15026,MATCH($A106,CS!$B:$B,0)+COLUMN(D$1),1),""))</f>
        <v/>
      </c>
      <c r="BK106" s="37" t="str">
        <f t="array" ref="BK106">IF($A106="","",IFERROR(INDEX(CS!$B$1:$B$15026,MATCH($A106,CS!$B:$B,0)+COLUMN(E$1),1),""))</f>
        <v>弓の使い手</v>
      </c>
      <c r="BL106" s="37" t="str">
        <f t="array" ref="BL106">IF($A106="","",IFERROR(INDEX(CS!$B$1:$B$15026,MATCH($A106,CS!$B:$B,0)+COLUMN(F$1),1),""))</f>
        <v/>
      </c>
      <c r="BM106" s="37" t="str">
        <f t="array" ref="BM106">IF($A106="","",IFERROR(INDEX(CS!$B$1:$B$15026,MATCH($A106,CS!$B:$B,0)+COLUMN(G$1),1),""))</f>
        <v>一閃撃</v>
      </c>
      <c r="BN106" s="37" t="str">
        <f t="array" ref="BN106">IF($A106="","",IFERROR(INDEX(CS!$B$1:$B$15026,MATCH($A106,CS!$B:$B,0)+COLUMN(H$1),1),""))</f>
        <v/>
      </c>
      <c r="BO106" s="37" t="str">
        <f t="array" ref="BO106">IF($A106="","",IFERROR(INDEX(CS!$B$1:$B$15026,MATCH($A106,CS!$B:$B,0)+COLUMN(I$1),1),""))</f>
        <v>精度</v>
      </c>
      <c r="BP106" s="37" t="str">
        <f t="array" ref="BP106">IF($A106="","",IFERROR(INDEX(CS!$B$1:$B$15026,MATCH($A106,CS!$B:$B,0)+COLUMN(J$1),1),""))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INDEX(CS!$B$1:$B$15026,MATCH($A107,CS!$B:$B,0)+COLUMN(A$1),1))</f>
        <v>力場弾</v>
      </c>
      <c r="BH107" s="37" t="str">
        <f t="array" ref="BH107">IF($A107="","", INDEX(CS!$B$1:$B$15026,MATCH($A107,CS!$B:$B,0)+COLUMN(B$1),1))</f>
        <v>火炎</v>
      </c>
      <c r="BI107" s="37" t="str">
        <f t="array" ref="BI107">IF($A107="","", INDEX(CS!$B$1:$B$15026,MATCH($A107,CS!$B:$B,0)+COLUMN(C$1),1))</f>
        <v>冷気の光線</v>
      </c>
      <c r="BJ107" s="39" t="str">
        <f t="array" ref="BJ107">IF($A107="","", INDEX(CS!$B$1:$B$15026,MATCH($A107,CS!$B:$B,0)+COLUMN(D$1),1))</f>
        <v>氷柱弾</v>
      </c>
      <c r="BK107" s="37" t="str">
        <f t="array" ref="BK107">IF($A107="","", INDEX(CS!$B$1:$B$15026,MATCH($A107,CS!$B:$B,0)+COLUMN(E$1),1))</f>
        <v>放電</v>
      </c>
      <c r="BL107" s="37" t="str">
        <f t="array" ref="BL107">IF($A107="","", INDEX(CS!$B$1:$B$15026,MATCH($A107,CS!$B:$B,0)+COLUMN(F$1),1))</f>
        <v/>
      </c>
      <c r="BM107" s="37" t="str">
        <f t="array" ref="BM107">IF($A107="","", INDEX(CS!$B$1:$B$15026,MATCH($A107,CS!$B:$B,0)+COLUMN(G$1),1))</f>
        <v>魔法の守り</v>
      </c>
      <c r="BN107" s="37" t="str">
        <f t="array" ref="BN107">IF($A107="","", INDEX(CS!$B$1:$B$15026,MATCH($A107,CS!$B:$B,0)+COLUMN(H$1),1))</f>
        <v/>
      </c>
      <c r="BO107" s="39" t="str">
        <f t="array" ref="BO107">IF($A107="","", INDEX(CS!$B$1:$B$15026,MATCH($A107,CS!$B:$B,0)+COLUMN(I$1),1))</f>
        <v>酸滴</v>
      </c>
      <c r="BP107" s="37" t="str">
        <f t="array" ref="BP107">IF($A107="","", INDEX(CS!$B$1:$B$15026,MATCH($A107,CS!$B:$B,0)+COLUMN(J$1),1))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INDEX(CS!$B$1:$B$15026,MATCH($A108,CS!$B:$B,0)+COLUMN(A$1),1))</f>
        <v>爆薬</v>
      </c>
      <c r="BH108" s="37" t="str">
        <f t="array" ref="BH108">IF($A108="","", INDEX(CS!$B$1:$B$15026,MATCH($A108,CS!$B:$B,0)+COLUMN(B$1),1))</f>
        <v>闘気撃</v>
      </c>
      <c r="BI108" s="37" t="str">
        <f t="array" ref="BI108">IF($A108="","", INDEX(CS!$B$1:$B$15026,MATCH($A108,CS!$B:$B,0)+COLUMN(C$1),1))</f>
        <v>闘気速</v>
      </c>
      <c r="BJ108" s="37" t="str">
        <f t="array" ref="BJ108">IF($A108="","", INDEX(CS!$B$1:$B$15026,MATCH($A108,CS!$B:$B,0)+COLUMN(D$1),1))</f>
        <v>雄叫び</v>
      </c>
      <c r="BK108" s="37" t="str">
        <f t="array" ref="BK108">IF($A108="","", INDEX(CS!$B$1:$B$15026,MATCH($A108,CS!$B:$B,0)+COLUMN(E$1),1))</f>
        <v>一閃撃</v>
      </c>
      <c r="BL108" s="37" t="str">
        <f t="array" ref="BL108">IF($A108="","", INDEX(CS!$B$1:$B$15026,MATCH($A108,CS!$B:$B,0)+COLUMN(F$1),1))</f>
        <v>急所撃</v>
      </c>
      <c r="BM108" s="37" t="str">
        <f t="array" ref="BM108">IF($A108="","", INDEX(CS!$B$1:$B$15026,MATCH($A108,CS!$B:$B,0)+COLUMN(G$1),1))</f>
        <v>炎の雨</v>
      </c>
      <c r="BN108" s="37" t="str">
        <f t="array" ref="BN108">IF($A108="","", INDEX(CS!$B$1:$B$15026,MATCH($A108,CS!$B:$B,0)+COLUMN(H$1),1))</f>
        <v>火球</v>
      </c>
      <c r="BO108" s="37" t="str">
        <f t="array" ref="BO108">IF($A108="","", INDEX(CS!$B$1:$B$15026,MATCH($A108,CS!$B:$B,0)+COLUMN(I$1),1))</f>
        <v>落下火球</v>
      </c>
      <c r="BP108" s="37" t="str">
        <f t="array" ref="BP108">IF($A108="","", INDEX(CS!$B$1:$B$15026,MATCH($A108,CS!$B:$B,0)+COLUMN(J$1),1))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INDEX(CS!$B$1:$B$15026,MATCH($A109,CS!$B:$B,0)+COLUMN(A$1),1))</f>
        <v>光粒</v>
      </c>
      <c r="BH109" s="37" t="str">
        <f t="array" ref="BH109">IF($A109="","", INDEX(CS!$B$1:$B$15026,MATCH($A109,CS!$B:$B,0)+COLUMN(B$1),1))</f>
        <v>軽傷治癒</v>
      </c>
      <c r="BI109" s="37" t="str">
        <f t="array" ref="BI109">IF($A109="","", INDEX(CS!$B$1:$B$15026,MATCH($A109,CS!$B:$B,0)+COLUMN(C$1),1))</f>
        <v>信仰心</v>
      </c>
      <c r="BJ109" s="37" t="str">
        <f t="array" ref="BJ109">IF($A109="","", INDEX(CS!$B$1:$B$15026,MATCH($A109,CS!$B:$B,0)+COLUMN(D$1),1))</f>
        <v/>
      </c>
      <c r="BK109" s="37" t="str">
        <f t="array" ref="BK109">IF($A109="","", INDEX(CS!$B$1:$B$15026,MATCH($A109,CS!$B:$B,0)+COLUMN(E$1),1))</f>
        <v>回復術</v>
      </c>
      <c r="BL109" s="37" t="str">
        <f t="array" ref="BL109">IF($A109="","", INDEX(CS!$B$1:$B$15026,MATCH($A109,CS!$B:$B,0)+COLUMN(F$1),1))</f>
        <v>治癒強化</v>
      </c>
      <c r="BM109" s="37" t="str">
        <f t="array" ref="BM109">IF($A109="","", INDEX(CS!$B$1:$B$15026,MATCH($A109,CS!$B:$B,0)+COLUMN(G$1),1))</f>
        <v/>
      </c>
      <c r="BN109" s="37" t="str">
        <f t="array" ref="BN109">IF($A109="","", INDEX(CS!$B$1:$B$15026,MATCH($A109,CS!$B:$B,0)+COLUMN(H$1),1))</f>
        <v/>
      </c>
      <c r="BO109" s="37" t="str">
        <f t="array" ref="BO109">IF($A109="","", INDEX(CS!$B$1:$B$15026,MATCH($A109,CS!$B:$B,0)+COLUMN(I$1),1))</f>
        <v>光の加護</v>
      </c>
      <c r="BP109" s="37" t="str">
        <f t="array" ref="BP109">IF($A109="","", INDEX(CS!$B$1:$B$15026,MATCH($A109,CS!$B:$B,0)+COLUMN(J$1),1))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INDEX(CS!$B$1:$B$15026,MATCH($A110,CS!$B:$B,0)+COLUMN(A$1),1))</f>
        <v>闘気守</v>
      </c>
      <c r="BH110" s="37" t="str">
        <f t="array" ref="BH110">IF($A110="","", INDEX(CS!$B$1:$B$15026,MATCH($A110,CS!$B:$B,0)+COLUMN(B$1),1))</f>
        <v>光粒</v>
      </c>
      <c r="BI110" s="37" t="str">
        <f t="array" ref="BI110">IF($A110="","", INDEX(CS!$B$1:$B$15026,MATCH($A110,CS!$B:$B,0)+COLUMN(C$1),1))</f>
        <v>反撃</v>
      </c>
      <c r="BJ110" s="37" t="str">
        <f t="array" ref="BJ110">IF($A110="","", INDEX(CS!$B$1:$B$15026,MATCH($A110,CS!$B:$B,0)+COLUMN(D$1),1))</f>
        <v/>
      </c>
      <c r="BK110" s="37" t="str">
        <f t="array" ref="BK110">IF($A110="","", INDEX(CS!$B$1:$B$15026,MATCH($A110,CS!$B:$B,0)+COLUMN(E$1),1))</f>
        <v>軽回復</v>
      </c>
      <c r="BL110" s="37" t="str">
        <f t="array" ref="BL110">IF($A110="","", INDEX(CS!$B$1:$B$15026,MATCH($A110,CS!$B:$B,0)+COLUMN(F$1),1))</f>
        <v/>
      </c>
      <c r="BM110" s="37" t="str">
        <f t="array" ref="BM110">IF($A110="","", INDEX(CS!$B$1:$B$15026,MATCH($A110,CS!$B:$B,0)+COLUMN(G$1),1))</f>
        <v>一閃撃</v>
      </c>
      <c r="BN110" s="37" t="str">
        <f t="array" ref="BN110">IF($A110="","", INDEX(CS!$B$1:$B$15026,MATCH($A110,CS!$B:$B,0)+COLUMN(H$1),1))</f>
        <v/>
      </c>
      <c r="BO110" s="37" t="str">
        <f t="array" ref="BO110">IF($A110="","", INDEX(CS!$B$1:$B$15026,MATCH($A110,CS!$B:$B,0)+COLUMN(I$1),1))</f>
        <v>魔法の守り</v>
      </c>
      <c r="BP110" s="37" t="str">
        <f t="array" ref="BP110">IF($A110="","", INDEX(CS!$B$1:$B$15026,MATCH($A110,CS!$B:$B,0)+COLUMN(J$1),1))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INDEX(CS!$B$1:$B$15026,MATCH($A111,CS!$B:$B,0)+COLUMN(A$1),1))</f>
        <v>植物の絡み</v>
      </c>
      <c r="BH111" s="37" t="str">
        <f t="array" ref="BH111">IF($A111="","", INDEX(CS!$B$1:$B$15026,MATCH($A111,CS!$B:$B,0)+COLUMN(B$1),1))</f>
        <v>突風</v>
      </c>
      <c r="BI111" s="37" t="str">
        <f t="array" ref="BI111">IF($A111="","", INDEX(CS!$B$1:$B$15026,MATCH($A111,CS!$B:$B,0)+COLUMN(C$1),1))</f>
        <v>森の歩み</v>
      </c>
      <c r="BJ111" s="37" t="str">
        <f t="array" ref="BJ111">IF($A111="","", INDEX(CS!$B$1:$B$15026,MATCH($A111,CS!$B:$B,0)+COLUMN(D$1),1))</f>
        <v/>
      </c>
      <c r="BK111" s="37" t="str">
        <f t="array" ref="BK111">IF($A111="","", INDEX(CS!$B$1:$B$15026,MATCH($A111,CS!$B:$B,0)+COLUMN(E$1),1))</f>
        <v>水力</v>
      </c>
      <c r="BL111" s="37" t="str">
        <f t="array" ref="BL111">IF($A111="","", INDEX(CS!$B$1:$B$15026,MATCH($A111,CS!$B:$B,0)+COLUMN(F$1),1))</f>
        <v/>
      </c>
      <c r="BM111" s="37" t="str">
        <f t="array" ref="BM111">IF($A111="","", INDEX(CS!$B$1:$B$15026,MATCH($A111,CS!$B:$B,0)+COLUMN(G$1),1))</f>
        <v>魔法の石</v>
      </c>
      <c r="BN111" s="37" t="str">
        <f t="array" ref="BN111">IF($A111="","", INDEX(CS!$B$1:$B$15026,MATCH($A111,CS!$B:$B,0)+COLUMN(H$1),1))</f>
        <v/>
      </c>
      <c r="BO111" s="37" t="str">
        <f t="array" ref="BO111">IF($A111="","", INDEX(CS!$B$1:$B$15026,MATCH($A111,CS!$B:$B,0)+COLUMN(I$1),1))</f>
        <v>風足</v>
      </c>
      <c r="BP111" s="37" t="str">
        <f t="array" ref="BP111">IF($A111="","", INDEX(CS!$B$1:$B$15026,MATCH($A111,CS!$B:$B,0)+COLUMN(J$1),1))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IF($A112="","",IFERROR(INDEX(CS!$B$1:$B$15026,MATCH($A112,CS!$B:$B,0)+COLUMN(A$1),1),""))</f>
        <v>鼓舞の歌</v>
      </c>
      <c r="BH112" s="37" t="str">
        <f t="array" ref="BH112">IF($A112="","",IFERROR(INDEX(CS!$B$1:$B$15026,MATCH($A112,CS!$B:$B,0)+COLUMN(B$1),1),""))</f>
        <v>音波</v>
      </c>
      <c r="BI112" s="37" t="str">
        <f t="array" ref="BI112">IF($A112="","",IFERROR(INDEX(CS!$B$1:$B$15026,MATCH($A112,CS!$B:$B,0)+COLUMN(C$1),1),""))</f>
        <v>演奏技術</v>
      </c>
      <c r="BJ112" s="37" t="str">
        <f t="array" ref="BJ112">IF($A112="","",IFERROR(INDEX(CS!$B$1:$B$15026,MATCH($A112,CS!$B:$B,0)+COLUMN(D$1),1),""))</f>
        <v/>
      </c>
      <c r="BK112" s="37" t="str">
        <f t="array" ref="BK112">IF($A112="","",IFERROR(INDEX(CS!$B$1:$B$15026,MATCH($A112,CS!$B:$B,0)+COLUMN(E$1),1),""))</f>
        <v>音響障壁</v>
      </c>
      <c r="BL112" s="37" t="str">
        <f t="array" ref="BL112">IF($A112="","",IFERROR(INDEX(CS!$B$1:$B$15026,MATCH($A112,CS!$B:$B,0)+COLUMN(F$1),1),""))</f>
        <v/>
      </c>
      <c r="BM112" s="37" t="str">
        <f t="array" ref="BM112">IF($A112="","",IFERROR(INDEX(CS!$B$1:$B$15026,MATCH($A112,CS!$B:$B,0)+COLUMN(G$1),1),""))</f>
        <v>勇壮の歌</v>
      </c>
      <c r="BN112" s="37" t="str">
        <f t="array" ref="BN112">IF($A112="","",IFERROR(INDEX(CS!$B$1:$B$15026,MATCH($A112,CS!$B:$B,0)+COLUMN(H$1),1),""))</f>
        <v/>
      </c>
      <c r="BO112" s="37" t="str">
        <f t="array" ref="BO112">IF($A112="","",IFERROR(INDEX(CS!$B$1:$B$15026,MATCH($A112,CS!$B:$B,0)+COLUMN(I$1),1),""))</f>
        <v>大合奏</v>
      </c>
      <c r="BP112" s="37" t="str">
        <f t="array" ref="BP112">IF($A112="","",IFERROR(INDEX(CS!$B$1:$B$15026,MATCH($A112,CS!$B:$B,0)+COLUMN(J$1),1),""))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INDEX(CS!$B$1:$B$15026,MATCH($A113,CS!$B:$B,0)+COLUMN(A$1),1))</f>
        <v/>
      </c>
      <c r="BH113" s="37" t="str">
        <f t="array" ref="BH113">IF($A113="","", INDEX(CS!$B$1:$B$15026,MATCH($A113,CS!$B:$B,0)+COLUMN(B$1),1))</f>
        <v/>
      </c>
      <c r="BI113" s="37" t="str">
        <f t="array" ref="BI113">IF($A113="","", INDEX(CS!$B$1:$B$15026,MATCH($A113,CS!$B:$B,0)+COLUMN(C$1),1))</f>
        <v/>
      </c>
      <c r="BJ113" s="37" t="str">
        <f t="array" ref="BJ113">IF($A113="","", INDEX(CS!$B$1:$B$15026,MATCH($A113,CS!$B:$B,0)+COLUMN(D$1),1))</f>
        <v/>
      </c>
      <c r="BK113" s="37" t="str">
        <f t="array" ref="BK113">IF($A113="","", INDEX(CS!$B$1:$B$15026,MATCH($A113,CS!$B:$B,0)+COLUMN(E$1),1))</f>
        <v/>
      </c>
      <c r="BL113" s="37" t="str">
        <f t="array" ref="BL113">IF($A113="","", INDEX(CS!$B$1:$B$15026,MATCH($A113,CS!$B:$B,0)+COLUMN(F$1),1))</f>
        <v/>
      </c>
      <c r="BM113" s="37" t="str">
        <f t="array" ref="BM113">IF($A113="","", INDEX(CS!$B$1:$B$15026,MATCH($A113,CS!$B:$B,0)+COLUMN(G$1),1))</f>
        <v/>
      </c>
      <c r="BN113" s="37" t="str">
        <f t="array" ref="BN113">IF($A113="","", INDEX(CS!$B$1:$B$15026,MATCH($A113,CS!$B:$B,0)+COLUMN(H$1),1))</f>
        <v/>
      </c>
      <c r="BO113" s="37" t="str">
        <f t="array" ref="BO113">IF($A113="","", INDEX(CS!$B$1:$B$15026,MATCH($A113,CS!$B:$B,0)+COLUMN(I$1),1))</f>
        <v/>
      </c>
      <c r="BP113" s="37" t="str">
        <f t="array" ref="BP113">IF($A113="","", INDEX(CS!$B$1:$B$15026,MATCH($A113,CS!$B:$B,0)+COLUMN(J$1),1))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INDEX(CS!$B$1:$B$15026,MATCH($A114,CS!$B:$B,0)+COLUMN(A$1),1))</f>
        <v/>
      </c>
      <c r="BH114" s="37" t="str">
        <f t="array" ref="BH114">IF($A114="","", INDEX(CS!$B$1:$B$15026,MATCH($A114,CS!$B:$B,0)+COLUMN(B$1),1))</f>
        <v/>
      </c>
      <c r="BI114" s="37" t="str">
        <f t="array" ref="BI114">IF($A114="","", INDEX(CS!$B$1:$B$15026,MATCH($A114,CS!$B:$B,0)+COLUMN(C$1),1))</f>
        <v/>
      </c>
      <c r="BJ114" s="37" t="str">
        <f t="array" ref="BJ114">IF($A114="","", INDEX(CS!$B$1:$B$15026,MATCH($A114,CS!$B:$B,0)+COLUMN(D$1),1))</f>
        <v/>
      </c>
      <c r="BK114" s="37" t="str">
        <f t="array" ref="BK114">IF($A114="","", INDEX(CS!$B$1:$B$15026,MATCH($A114,CS!$B:$B,0)+COLUMN(E$1),1))</f>
        <v/>
      </c>
      <c r="BL114" s="37" t="str">
        <f t="array" ref="BL114">IF($A114="","", INDEX(CS!$B$1:$B$15026,MATCH($A114,CS!$B:$B,0)+COLUMN(F$1),1))</f>
        <v/>
      </c>
      <c r="BM114" s="37" t="str">
        <f t="array" ref="BM114">IF($A114="","", INDEX(CS!$B$1:$B$15026,MATCH($A114,CS!$B:$B,0)+COLUMN(G$1),1))</f>
        <v/>
      </c>
      <c r="BN114" s="37" t="str">
        <f t="array" ref="BN114">IF($A114="","", INDEX(CS!$B$1:$B$15026,MATCH($A114,CS!$B:$B,0)+COLUMN(H$1),1))</f>
        <v/>
      </c>
      <c r="BO114" s="37" t="str">
        <f t="array" ref="BO114">IF($A114="","", INDEX(CS!$B$1:$B$15026,MATCH($A114,CS!$B:$B,0)+COLUMN(I$1),1))</f>
        <v/>
      </c>
      <c r="BP114" s="37" t="str">
        <f t="array" ref="BP114">IF($A114="","", INDEX(CS!$B$1:$B$15026,MATCH($A114,CS!$B:$B,0)+COLUMN(J$1),1))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IF($A115="","",IFERROR(INDEX(CS!$B$1:$B$15026,MATCH($A115,CS!$B:$B,0)+COLUMN(A$1),1),""))</f>
        <v>戦う者</v>
      </c>
      <c r="BH115" s="37" t="str">
        <f t="array" ref="BH115">IF($A115="","",IFERROR(INDEX(CS!$B$1:$B$15026,MATCH($A115,CS!$B:$B,0)+COLUMN(B$1),1),""))</f>
        <v/>
      </c>
      <c r="BI115" s="37" t="str">
        <f t="array" ref="BI115">IF($A115="","",IFERROR(INDEX(CS!$B$1:$B$15026,MATCH($A115,CS!$B:$B,0)+COLUMN(C$1),1),""))</f>
        <v>戦いの精神</v>
      </c>
      <c r="BJ115" s="37" t="str">
        <f t="array" ref="BJ115">IF($A115="","",IFERROR(INDEX(CS!$B$1:$B$15026,MATCH($A115,CS!$B:$B,0)+COLUMN(D$1),1),""))</f>
        <v/>
      </c>
      <c r="BK115" s="37" t="str">
        <f t="array" ref="BK115">IF($A115="","",IFERROR(INDEX(CS!$B$1:$B$15026,MATCH($A115,CS!$B:$B,0)+COLUMN(E$1),1),""))</f>
        <v>闘気纏い</v>
      </c>
      <c r="BL115" s="37" t="str">
        <f t="array" ref="BL115">IF($A115="","",IFERROR(INDEX(CS!$B$1:$B$15026,MATCH($A115,CS!$B:$B,0)+COLUMN(F$1),1),""))</f>
        <v/>
      </c>
      <c r="BM115" s="37" t="str">
        <f t="array" ref="BM115">IF($A115="","",IFERROR(INDEX(CS!$B$1:$B$15026,MATCH($A115,CS!$B:$B,0)+COLUMN(G$1),1),""))</f>
        <v>明確な心</v>
      </c>
      <c r="BN115" s="37" t="str">
        <f t="array" ref="BN115">IF($A115="","",IFERROR(INDEX(CS!$B$1:$B$15026,MATCH($A115,CS!$B:$B,0)+COLUMN(H$1),1),""))</f>
        <v/>
      </c>
      <c r="BO115" s="37" t="str">
        <f t="array" ref="BO115">IF($A115="","",IFERROR(INDEX(CS!$B$1:$B$15026,MATCH($A115,CS!$B:$B,0)+COLUMN(I$1),1),""))</f>
        <v>空撃</v>
      </c>
      <c r="BP115" s="37" t="str">
        <f t="array" ref="BP115">IF($A115="","",IFERROR(INDEX(CS!$B$1:$B$15026,MATCH($A115,CS!$B:$B,0)+COLUMN(J$1),1),""))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IF($A116="","",IFERROR(INDEX(CS!$B$1:$B$15026,MATCH($A116,CS!$B:$B,0)+COLUMN(A$1),1),""))</f>
        <v>打ち倒す一撃</v>
      </c>
      <c r="BH116" s="37" t="str">
        <f t="array" ref="BH116">IF($A116="","",IFERROR(INDEX(CS!$B$1:$B$15026,MATCH($A116,CS!$B:$B,0)+COLUMN(B$1),1),""))</f>
        <v/>
      </c>
      <c r="BI116" s="37" t="str">
        <f t="array" ref="BI116">IF($A116="","",IFERROR(INDEX(CS!$B$1:$B$15026,MATCH($A116,CS!$B:$B,0)+COLUMN(C$1),1),""))</f>
        <v>攻撃の精神</v>
      </c>
      <c r="BJ116" s="37" t="str">
        <f t="array" ref="BJ116">IF($A116="","",IFERROR(INDEX(CS!$B$1:$B$15026,MATCH($A116,CS!$B:$B,0)+COLUMN(D$1),1),""))</f>
        <v/>
      </c>
      <c r="BK116" s="37" t="str">
        <f t="array" ref="BK116">IF($A116="","",IFERROR(INDEX(CS!$B$1:$B$15026,MATCH($A116,CS!$B:$B,0)+COLUMN(E$1),1),""))</f>
        <v>重動剛撃</v>
      </c>
      <c r="BL116" s="37" t="str">
        <f t="array" ref="BL116">IF($A116="","",IFERROR(INDEX(CS!$B$1:$B$15026,MATCH($A116,CS!$B:$B,0)+COLUMN(F$1),1),""))</f>
        <v/>
      </c>
      <c r="BM116" s="37" t="str">
        <f t="array" ref="BM116">IF($A116="","",IFERROR(INDEX(CS!$B$1:$B$15026,MATCH($A116,CS!$B:$B,0)+COLUMN(G$1),1),""))</f>
        <v>武器の圧力</v>
      </c>
      <c r="BN116" s="37" t="str">
        <f t="array" ref="BN116">IF($A116="","",IFERROR(INDEX(CS!$B$1:$B$15026,MATCH($A116,CS!$B:$B,0)+COLUMN(H$1),1),""))</f>
        <v/>
      </c>
      <c r="BO116" s="37" t="str">
        <f t="array" ref="BO116">IF($A116="","",IFERROR(INDEX(CS!$B$1:$B$15026,MATCH($A116,CS!$B:$B,0)+COLUMN(I$1),1),""))</f>
        <v>破壊力</v>
      </c>
      <c r="BP116" s="37" t="str">
        <f t="array" ref="BP116">IF($A116="","",IFERROR(INDEX(CS!$B$1:$B$15026,MATCH($A116,CS!$B:$B,0)+COLUMN(J$1),1),""))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IF($A117="","",IFERROR(INDEX(CS!$B$1:$B$15026,MATCH($A117,CS!$B:$B,0)+COLUMN(A$1),1),""))</f>
        <v>不動明王撃</v>
      </c>
      <c r="BH117" s="37" t="str">
        <f t="array" ref="BH117">IF($A117="","",IFERROR(INDEX(CS!$B$1:$B$15026,MATCH($A117,CS!$B:$B,0)+COLUMN(B$1),1),""))</f>
        <v/>
      </c>
      <c r="BI117" s="37" t="str">
        <f t="array" ref="BI117">IF($A117="","",IFERROR(INDEX(CS!$B$1:$B$15026,MATCH($A117,CS!$B:$B,0)+COLUMN(C$1),1),""))</f>
        <v>屈強な肉体</v>
      </c>
      <c r="BJ117" s="37" t="str">
        <f t="array" ref="BJ117">IF($A117="","",IFERROR(INDEX(CS!$B$1:$B$15026,MATCH($A117,CS!$B:$B,0)+COLUMN(D$1),1),""))</f>
        <v/>
      </c>
      <c r="BK117" s="37" t="str">
        <f t="array" ref="BK117">IF($A117="","",IFERROR(INDEX(CS!$B$1:$B$15026,MATCH($A117,CS!$B:$B,0)+COLUMN(E$1),1),""))</f>
        <v>降三世明王撃</v>
      </c>
      <c r="BL117" s="37" t="str">
        <f t="array" ref="BL117">IF($A117="","",IFERROR(INDEX(CS!$B$1:$B$15026,MATCH($A117,CS!$B:$B,0)+COLUMN(F$1),1),""))</f>
        <v/>
      </c>
      <c r="BM117" s="37" t="str">
        <f t="array" ref="BM117">IF($A117="","",IFERROR(INDEX(CS!$B$1:$B$15026,MATCH($A117,CS!$B:$B,0)+COLUMN(G$1),1),""))</f>
        <v>朱羅</v>
      </c>
      <c r="BN117" s="37" t="str">
        <f t="array" ref="BN117">IF($A117="","",IFERROR(INDEX(CS!$B$1:$B$15026,MATCH($A117,CS!$B:$B,0)+COLUMN(H$1),1),""))</f>
        <v/>
      </c>
      <c r="BO117" s="37" t="str">
        <f t="array" ref="BO117">IF($A117="","",IFERROR(INDEX(CS!$B$1:$B$15026,MATCH($A117,CS!$B:$B,0)+COLUMN(I$1),1),""))</f>
        <v>大威徳明王撃</v>
      </c>
      <c r="BP117" s="37" t="str">
        <f t="array" ref="BP117">IF($A117="","",IFERROR(INDEX(CS!$B$1:$B$15026,MATCH($A117,CS!$B:$B,0)+COLUMN(J$1),1),""))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IF($A118="","",IFERROR(INDEX(CS!$B$1:$B$15026,MATCH($A118,CS!$B:$B,0)+COLUMN(A$1),1),""))</f>
        <v>守る者</v>
      </c>
      <c r="BH118" s="37" t="str">
        <f t="array" ref="BH118">IF($A118="","",IFERROR(INDEX(CS!$B$1:$B$15026,MATCH($A118,CS!$B:$B,0)+COLUMN(B$1),1),""))</f>
        <v/>
      </c>
      <c r="BI118" s="37" t="str">
        <f t="array" ref="BI118">IF($A118="","",IFERROR(INDEX(CS!$B$1:$B$15026,MATCH($A118,CS!$B:$B,0)+COLUMN(C$1),1),""))</f>
        <v>守護精神</v>
      </c>
      <c r="BJ118" s="37" t="str">
        <f t="array" ref="BJ118">IF($A118="","",IFERROR(INDEX(CS!$B$1:$B$15026,MATCH($A118,CS!$B:$B,0)+COLUMN(D$1),1),""))</f>
        <v/>
      </c>
      <c r="BK118" s="37" t="str">
        <f t="array" ref="BK118">IF($A118="","",IFERROR(INDEX(CS!$B$1:$B$15026,MATCH($A118,CS!$B:$B,0)+COLUMN(E$1),1),""))</f>
        <v>不落要塞</v>
      </c>
      <c r="BL118" s="37" t="str">
        <f t="array" ref="BL118">IF($A118="","",IFERROR(INDEX(CS!$B$1:$B$15026,MATCH($A118,CS!$B:$B,0)+COLUMN(F$1),1),""))</f>
        <v/>
      </c>
      <c r="BM118" s="37" t="str">
        <f t="array" ref="BM118">IF($A118="","",IFERROR(INDEX(CS!$B$1:$B$15026,MATCH($A118,CS!$B:$B,0)+COLUMN(G$1),1),""))</f>
        <v>明確な心</v>
      </c>
      <c r="BN118" s="37" t="str">
        <f t="array" ref="BN118">IF($A118="","",IFERROR(INDEX(CS!$B$1:$B$15026,MATCH($A118,CS!$B:$B,0)+COLUMN(H$1),1),""))</f>
        <v/>
      </c>
      <c r="BO118" s="37" t="str">
        <f t="array" ref="BO118">IF($A118="","",IFERROR(INDEX(CS!$B$1:$B$15026,MATCH($A118,CS!$B:$B,0)+COLUMN(I$1),1),""))</f>
        <v>真なる護り手</v>
      </c>
      <c r="BP118" s="37" t="str">
        <f t="array" ref="BP118">IF($A118="","",IFERROR(INDEX(CS!$B$1:$B$15026,MATCH($A118,CS!$B:$B,0)+COLUMN(J$1),1),""))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IF($A119="","",IFERROR(INDEX(CS!$B$1:$B$15026,MATCH($A119,CS!$B:$B,0)+COLUMN(A$1),1),""))</f>
        <v>不動反射</v>
      </c>
      <c r="BH119" s="37" t="str">
        <f t="array" ref="BH119">IF($A119="","",IFERROR(INDEX(CS!$B$1:$B$15026,MATCH($A119,CS!$B:$B,0)+COLUMN(B$1),1),""))</f>
        <v/>
      </c>
      <c r="BI119" s="37" t="str">
        <f t="array" ref="BI119">IF($A119="","",IFERROR(INDEX(CS!$B$1:$B$15026,MATCH($A119,CS!$B:$B,0)+COLUMN(C$1),1),""))</f>
        <v>護りの精神</v>
      </c>
      <c r="BJ119" s="37" t="str">
        <f t="array" ref="BJ119">IF($A119="","",IFERROR(INDEX(CS!$B$1:$B$15026,MATCH($A119,CS!$B:$B,0)+COLUMN(D$1),1),""))</f>
        <v/>
      </c>
      <c r="BK119" s="37" t="str">
        <f t="array" ref="BK119">IF($A119="","",IFERROR(INDEX(CS!$B$1:$B$15026,MATCH($A119,CS!$B:$B,0)+COLUMN(E$1),1),""))</f>
        <v>急所遮断</v>
      </c>
      <c r="BL119" s="37" t="str">
        <f t="array" ref="BL119">IF($A119="","",IFERROR(INDEX(CS!$B$1:$B$15026,MATCH($A119,CS!$B:$B,0)+COLUMN(F$1),1),""))</f>
        <v/>
      </c>
      <c r="BM119" s="37" t="str">
        <f t="array" ref="BM119">IF($A119="","",IFERROR(INDEX(CS!$B$1:$B$15026,MATCH($A119,CS!$B:$B,0)+COLUMN(G$1),1),""))</f>
        <v>有り余る体力</v>
      </c>
      <c r="BN119" s="37" t="str">
        <f t="array" ref="BN119">IF($A119="","",IFERROR(INDEX(CS!$B$1:$B$15026,MATCH($A119,CS!$B:$B,0)+COLUMN(H$1),1),""))</f>
        <v/>
      </c>
      <c r="BO119" s="37" t="str">
        <f t="array" ref="BO119">IF($A119="","",IFERROR(INDEX(CS!$B$1:$B$15026,MATCH($A119,CS!$B:$B,0)+COLUMN(I$1),1),""))</f>
        <v>守りの去なし</v>
      </c>
      <c r="BP119" s="37" t="str">
        <f t="array" ref="BP119">IF($A119="","",IFERROR(INDEX(CS!$B$1:$B$15026,MATCH($A119,CS!$B:$B,0)+COLUMN(J$1),1),""))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IF($A120="","",IFERROR(INDEX(CS!$B$1:$B$15026,MATCH($A120,CS!$B:$B,0)+COLUMN(A$1),1),""))</f>
        <v>加速</v>
      </c>
      <c r="BH120" s="37" t="str">
        <f t="array" ref="BH120">IF($A120="","",IFERROR(INDEX(CS!$B$1:$B$15026,MATCH($A120,CS!$B:$B,0)+COLUMN(B$1),1),""))</f>
        <v/>
      </c>
      <c r="BI120" s="37" t="str">
        <f t="array" ref="BI120">IF($A120="","",IFERROR(INDEX(CS!$B$1:$B$15026,MATCH($A120,CS!$B:$B,0)+COLUMN(C$1),1),""))</f>
        <v>回避の精神</v>
      </c>
      <c r="BJ120" s="37" t="str">
        <f t="array" ref="BJ120">IF($A120="","",IFERROR(INDEX(CS!$B$1:$B$15026,MATCH($A120,CS!$B:$B,0)+COLUMN(D$1),1),""))</f>
        <v/>
      </c>
      <c r="BK120" s="37" t="str">
        <f t="array" ref="BK120">IF($A120="","",IFERROR(INDEX(CS!$B$1:$B$15026,MATCH($A120,CS!$B:$B,0)+COLUMN(E$1),1),""))</f>
        <v>疾風回避</v>
      </c>
      <c r="BL120" s="37" t="str">
        <f t="array" ref="BL120">IF($A120="","",IFERROR(INDEX(CS!$B$1:$B$15026,MATCH($A120,CS!$B:$B,0)+COLUMN(F$1),1),""))</f>
        <v/>
      </c>
      <c r="BM120" s="37" t="str">
        <f t="array" ref="BM120">IF($A120="","",IFERROR(INDEX(CS!$B$1:$B$15026,MATCH($A120,CS!$B:$B,0)+COLUMN(G$1),1),""))</f>
        <v>戦闘軽戦士</v>
      </c>
      <c r="BN120" s="37" t="str">
        <f t="array" ref="BN120">IF($A120="","",IFERROR(INDEX(CS!$B$1:$B$15026,MATCH($A120,CS!$B:$B,0)+COLUMN(H$1),1),""))</f>
        <v/>
      </c>
      <c r="BO120" s="37" t="str">
        <f t="array" ref="BO120">IF($A120="","",IFERROR(INDEX(CS!$B$1:$B$15026,MATCH($A120,CS!$B:$B,0)+COLUMN(I$1),1),""))</f>
        <v>機動乱撃</v>
      </c>
      <c r="BP120" s="37" t="str">
        <f t="array" ref="BP120">IF($A120="","",IFERROR(INDEX(CS!$B$1:$B$15026,MATCH($A120,CS!$B:$B,0)+COLUMN(J$1),1),""))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IF($A121="","",IFERROR(INDEX(CS!$B$1:$B$15026,MATCH($A121,CS!$B:$B,0)+COLUMN(A$1),1),""))</f>
        <v>加速撃</v>
      </c>
      <c r="BH121" s="37" t="str">
        <f t="array" ref="BH121">IF($A121="","",IFERROR(INDEX(CS!$B$1:$B$15026,MATCH($A121,CS!$B:$B,0)+COLUMN(B$1),1),""))</f>
        <v/>
      </c>
      <c r="BI121" s="37" t="str">
        <f t="array" ref="BI121">IF($A121="","",IFERROR(INDEX(CS!$B$1:$B$15026,MATCH($A121,CS!$B:$B,0)+COLUMN(C$1),1),""))</f>
        <v>武器の回避</v>
      </c>
      <c r="BJ121" s="37" t="str">
        <f t="array" ref="BJ121">IF($A121="","",IFERROR(INDEX(CS!$B$1:$B$15026,MATCH($A121,CS!$B:$B,0)+COLUMN(D$1),1),""))</f>
        <v/>
      </c>
      <c r="BK121" s="37" t="str">
        <f t="array" ref="BK121">IF($A121="","",IFERROR(INDEX(CS!$B$1:$B$15026,MATCH($A121,CS!$B:$B,0)+COLUMN(E$1),1),""))</f>
        <v>超加速</v>
      </c>
      <c r="BL121" s="37" t="str">
        <f t="array" ref="BL121">IF($A121="","",IFERROR(INDEX(CS!$B$1:$B$15026,MATCH($A121,CS!$B:$B,0)+COLUMN(F$1),1),""))</f>
        <v/>
      </c>
      <c r="BM121" s="37" t="str">
        <f t="array" ref="BM121">IF($A121="","",IFERROR(INDEX(CS!$B$1:$B$15026,MATCH($A121,CS!$B:$B,0)+COLUMN(G$1),1),""))</f>
        <v>有り余る体力</v>
      </c>
      <c r="BN121" s="37" t="str">
        <f t="array" ref="BN121">IF($A121="","",IFERROR(INDEX(CS!$B$1:$B$15026,MATCH($A121,CS!$B:$B,0)+COLUMN(H$1),1),""))</f>
        <v/>
      </c>
      <c r="BO121" s="37" t="str">
        <f t="array" ref="BO121">IF($A121="","",IFERROR(INDEX(CS!$B$1:$B$15026,MATCH($A121,CS!$B:$B,0)+COLUMN(I$1),1),""))</f>
        <v>残像乱撃</v>
      </c>
      <c r="BP121" s="37" t="str">
        <f t="array" ref="BP121">IF($A121="","",IFERROR(INDEX(CS!$B$1:$B$15026,MATCH($A121,CS!$B:$B,0)+COLUMN(J$1),1),""))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INDEX(CS!$B$1:$B$15026,MATCH($A122,CS!$B:$B,0)+COLUMN(A$1),1))</f>
        <v/>
      </c>
      <c r="BH122" s="37" t="str">
        <f t="array" ref="BH122">IF($A122="","", INDEX(CS!$B$1:$B$15026,MATCH($A122,CS!$B:$B,0)+COLUMN(B$1),1))</f>
        <v/>
      </c>
      <c r="BI122" s="37" t="str">
        <f t="array" ref="BI122">IF($A122="","", INDEX(CS!$B$1:$B$15026,MATCH($A122,CS!$B:$B,0)+COLUMN(C$1),1))</f>
        <v/>
      </c>
      <c r="BJ122" s="37" t="str">
        <f t="array" ref="BJ122">IF($A122="","", INDEX(CS!$B$1:$B$15026,MATCH($A122,CS!$B:$B,0)+COLUMN(D$1),1))</f>
        <v/>
      </c>
      <c r="BK122" s="37" t="str">
        <f t="array" ref="BK122">IF($A122="","", INDEX(CS!$B$1:$B$15026,MATCH($A122,CS!$B:$B,0)+COLUMN(E$1),1))</f>
        <v/>
      </c>
      <c r="BL122" s="37" t="str">
        <f t="array" ref="BL122">IF($A122="","", INDEX(CS!$B$1:$B$15026,MATCH($A122,CS!$B:$B,0)+COLUMN(F$1),1))</f>
        <v/>
      </c>
      <c r="BM122" s="37" t="str">
        <f t="array" ref="BM122">IF($A122="","", INDEX(CS!$B$1:$B$15026,MATCH($A122,CS!$B:$B,0)+COLUMN(G$1),1))</f>
        <v/>
      </c>
      <c r="BN122" s="37" t="str">
        <f t="array" ref="BN122">IF($A122="","", INDEX(CS!$B$1:$B$15026,MATCH($A122,CS!$B:$B,0)+COLUMN(H$1),1))</f>
        <v/>
      </c>
      <c r="BO122" s="37" t="str">
        <f t="array" ref="BO122">IF($A122="","", INDEX(CS!$B$1:$B$15026,MATCH($A122,CS!$B:$B,0)+COLUMN(I$1),1))</f>
        <v/>
      </c>
      <c r="BP122" s="37" t="str">
        <f t="array" ref="BP122">IF($A122="","", INDEX(CS!$B$1:$B$15026,MATCH($A122,CS!$B:$B,0)+COLUMN(J$1),1))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INDEX(CS!$B$1:$B$15026,MATCH($A123,CS!$B:$B,0)+COLUMN(A$1),1))</f>
        <v/>
      </c>
      <c r="BH123" s="37" t="str">
        <f t="array" ref="BH123">IF($A123="","", INDEX(CS!$B$1:$B$15026,MATCH($A123,CS!$B:$B,0)+COLUMN(B$1),1))</f>
        <v/>
      </c>
      <c r="BI123" s="37" t="str">
        <f t="array" ref="BI123">IF($A123="","", INDEX(CS!$B$1:$B$15026,MATCH($A123,CS!$B:$B,0)+COLUMN(C$1),1))</f>
        <v/>
      </c>
      <c r="BJ123" s="37" t="str">
        <f t="array" ref="BJ123">IF($A123="","", INDEX(CS!$B$1:$B$15026,MATCH($A123,CS!$B:$B,0)+COLUMN(D$1),1))</f>
        <v/>
      </c>
      <c r="BK123" s="37" t="str">
        <f t="array" ref="BK123">IF($A123="","", INDEX(CS!$B$1:$B$15026,MATCH($A123,CS!$B:$B,0)+COLUMN(E$1),1))</f>
        <v/>
      </c>
      <c r="BL123" s="37" t="str">
        <f t="array" ref="BL123">IF($A123="","", INDEX(CS!$B$1:$B$15026,MATCH($A123,CS!$B:$B,0)+COLUMN(F$1),1))</f>
        <v/>
      </c>
      <c r="BM123" s="37" t="str">
        <f t="array" ref="BM123">IF($A123="","", INDEX(CS!$B$1:$B$15026,MATCH($A123,CS!$B:$B,0)+COLUMN(G$1),1))</f>
        <v/>
      </c>
      <c r="BN123" s="37" t="str">
        <f t="array" ref="BN123">IF($A123="","", INDEX(CS!$B$1:$B$15026,MATCH($A123,CS!$B:$B,0)+COLUMN(H$1),1))</f>
        <v/>
      </c>
      <c r="BO123" s="37" t="str">
        <f t="array" ref="BO123">IF($A123="","", INDEX(CS!$B$1:$B$15026,MATCH($A123,CS!$B:$B,0)+COLUMN(I$1),1))</f>
        <v/>
      </c>
      <c r="BP123" s="37" t="str">
        <f t="array" ref="BP123">IF($A123="","", INDEX(CS!$B$1:$B$15026,MATCH($A123,CS!$B:$B,0)+COLUMN(J$1),1))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IF($A124="","",IFERROR(INDEX(CS!$B$1:$B$15026,MATCH($A124,CS!$B:$B,0)+COLUMN(A$1),1),""))</f>
        <v>塵風</v>
      </c>
      <c r="BH124" s="37" t="str">
        <f t="array" ref="BH124">IF($A124="","",IFERROR(INDEX(CS!$B$1:$B$15026,MATCH($A124,CS!$B:$B,0)+COLUMN(B$1),1),""))</f>
        <v/>
      </c>
      <c r="BI124" s="37" t="str">
        <f t="array" ref="BI124">IF($A124="","",IFERROR(INDEX(CS!$B$1:$B$15026,MATCH($A124,CS!$B:$B,0)+COLUMN(C$1),1),""))</f>
        <v>集中力</v>
      </c>
      <c r="BJ124" s="37" t="str">
        <f t="array" ref="BJ124">IF($A124="","",IFERROR(INDEX(CS!$B$1:$B$15026,MATCH($A124,CS!$B:$B,0)+COLUMN(D$1),1),""))</f>
        <v/>
      </c>
      <c r="BK124" s="37" t="str">
        <f t="array" ref="BK124">IF($A124="","",IFERROR(INDEX(CS!$B$1:$B$15026,MATCH($A124,CS!$B:$B,0)+COLUMN(E$1),1),""))</f>
        <v>縮地</v>
      </c>
      <c r="BL124" s="37" t="str">
        <f t="array" ref="BL124">IF($A124="","",IFERROR(INDEX(CS!$B$1:$B$15026,MATCH($A124,CS!$B:$B,0)+COLUMN(F$1),1),""))</f>
        <v/>
      </c>
      <c r="BM124" s="37" t="str">
        <f t="array" ref="BM124">IF($A124="","",IFERROR(INDEX(CS!$B$1:$B$15026,MATCH($A124,CS!$B:$B,0)+COLUMN(G$1),1),""))</f>
        <v>斬撃の使い方</v>
      </c>
      <c r="BN124" s="37" t="str">
        <f t="array" ref="BN124">IF($A124="","",IFERROR(INDEX(CS!$B$1:$B$15026,MATCH($A124,CS!$B:$B,0)+COLUMN(H$1),1),""))</f>
        <v/>
      </c>
      <c r="BO124" s="37" t="str">
        <f t="array" ref="BO124">IF($A124="","",IFERROR(INDEX(CS!$B$1:$B$15026,MATCH($A124,CS!$B:$B,0)+COLUMN(I$1),1),""))</f>
        <v>塵旋風</v>
      </c>
      <c r="BP124" s="37" t="str">
        <f t="array" ref="BP124">IF($A124="","",IFERROR(INDEX(CS!$B$1:$B$15026,MATCH($A124,CS!$B:$B,0)+COLUMN(J$1),1),""))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IF($A125="","",IFERROR(INDEX(CS!$B$1:$B$15026,MATCH($A125,CS!$B:$B,0)+COLUMN(A$1),1),""))</f>
        <v>狼牙</v>
      </c>
      <c r="BH125" s="37" t="str">
        <f t="array" ref="BH125">IF($A125="","",IFERROR(INDEX(CS!$B$1:$B$15026,MATCH($A125,CS!$B:$B,0)+COLUMN(B$1),1),""))</f>
        <v/>
      </c>
      <c r="BI125" s="37" t="str">
        <f t="array" ref="BI125">IF($A125="","",IFERROR(INDEX(CS!$B$1:$B$15026,MATCH($A125,CS!$B:$B,0)+COLUMN(C$1),1),""))</f>
        <v>集中力2</v>
      </c>
      <c r="BJ125" s="37" t="str">
        <f t="array" ref="BJ125">IF($A125="","",IFERROR(INDEX(CS!$B$1:$B$15026,MATCH($A125,CS!$B:$B,0)+COLUMN(D$1),1),""))</f>
        <v/>
      </c>
      <c r="BK125" s="37" t="str">
        <f t="array" ref="BK125">IF($A125="","",IFERROR(INDEX(CS!$B$1:$B$15026,MATCH($A125,CS!$B:$B,0)+COLUMN(E$1),1),""))</f>
        <v>縮地改</v>
      </c>
      <c r="BL125" s="37" t="str">
        <f t="array" ref="BL125">IF($A125="","",IFERROR(INDEX(CS!$B$1:$B$15026,MATCH($A125,CS!$B:$B,0)+COLUMN(F$1),1),""))</f>
        <v/>
      </c>
      <c r="BM125" s="37" t="str">
        <f t="array" ref="BM125">IF($A125="","",IFERROR(INDEX(CS!$B$1:$B$15026,MATCH($A125,CS!$B:$B,0)+COLUMN(G$1),1),""))</f>
        <v>斬撃の極み</v>
      </c>
      <c r="BN125" s="37" t="str">
        <f t="array" ref="BN125">IF($A125="","",IFERROR(INDEX(CS!$B$1:$B$15026,MATCH($A125,CS!$B:$B,0)+COLUMN(H$1),1),""))</f>
        <v/>
      </c>
      <c r="BO125" s="37" t="str">
        <f t="array" ref="BO125">IF($A125="","",IFERROR(INDEX(CS!$B$1:$B$15026,MATCH($A125,CS!$B:$B,0)+COLUMN(I$1),1),""))</f>
        <v>波切</v>
      </c>
      <c r="BP125" s="37" t="str">
        <f t="array" ref="BP125">IF($A125="","",IFERROR(INDEX(CS!$B$1:$B$15026,MATCH($A125,CS!$B:$B,0)+COLUMN(J$1),1),""))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IF($A126="","",IFERROR(INDEX(CS!$B$1:$B$15026,MATCH($A126,CS!$B:$B,0)+COLUMN(A$1),1),""))</f>
        <v>神斬</v>
      </c>
      <c r="BH126" s="37" t="str">
        <f t="array" ref="BH126">IF($A126="","",IFERROR(INDEX(CS!$B$1:$B$15026,MATCH($A126,CS!$B:$B,0)+COLUMN(B$1),1),""))</f>
        <v/>
      </c>
      <c r="BI126" s="37" t="str">
        <f t="array" ref="BI126">IF($A126="","",IFERROR(INDEX(CS!$B$1:$B$15026,MATCH($A126,CS!$B:$B,0)+COLUMN(C$1),1),""))</f>
        <v>極斬</v>
      </c>
      <c r="BJ126" s="37" t="str">
        <f t="array" ref="BJ126">IF($A126="","",IFERROR(INDEX(CS!$B$1:$B$15026,MATCH($A126,CS!$B:$B,0)+COLUMN(D$1),1),""))</f>
        <v/>
      </c>
      <c r="BK126" s="37" t="str">
        <f t="array" ref="BK126">IF($A126="","",IFERROR(INDEX(CS!$B$1:$B$15026,MATCH($A126,CS!$B:$B,0)+COLUMN(E$1),1),""))</f>
        <v>縮地・空</v>
      </c>
      <c r="BL126" s="37" t="str">
        <f t="array" ref="BL126">IF($A126="","",IFERROR(INDEX(CS!$B$1:$B$15026,MATCH($A126,CS!$B:$B,0)+COLUMN(F$1),1),""))</f>
        <v/>
      </c>
      <c r="BM126" s="37" t="str">
        <f t="array" ref="BM126">IF($A126="","",IFERROR(INDEX(CS!$B$1:$B$15026,MATCH($A126,CS!$B:$B,0)+COLUMN(G$1),1),""))</f>
        <v>神眼</v>
      </c>
      <c r="BN126" s="37" t="str">
        <f t="array" ref="BN126">IF($A126="","",IFERROR(INDEX(CS!$B$1:$B$15026,MATCH($A126,CS!$B:$B,0)+COLUMN(H$1),1),""))</f>
        <v/>
      </c>
      <c r="BO126" s="37" t="str">
        <f t="array" ref="BO126">IF($A126="","",IFERROR(INDEX(CS!$B$1:$B$15026,MATCH($A126,CS!$B:$B,0)+COLUMN(I$1),1),""))</f>
        <v>見極</v>
      </c>
      <c r="BP126" s="37" t="str">
        <f t="array" ref="BP126">IF($A126="","",IFERROR(INDEX(CS!$B$1:$B$15026,MATCH($A126,CS!$B:$B,0)+COLUMN(J$1),1),""))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IF($A127="","",IFERROR(INDEX(CS!$B$1:$B$15026,MATCH($A127,CS!$B:$B,0)+COLUMN(A$1),1),""))</f>
        <v>熱界雷</v>
      </c>
      <c r="BH127" s="37" t="str">
        <f t="array" ref="BH127">IF($A127="","",IFERROR(INDEX(CS!$B$1:$B$15026,MATCH($A127,CS!$B:$B,0)+COLUMN(B$1),1),""))</f>
        <v/>
      </c>
      <c r="BI127" s="37" t="str">
        <f t="array" ref="BI127">IF($A127="","",IFERROR(INDEX(CS!$B$1:$B$15026,MATCH($A127,CS!$B:$B,0)+COLUMN(C$1),1),""))</f>
        <v>集中力</v>
      </c>
      <c r="BJ127" s="37" t="str">
        <f t="array" ref="BJ127">IF($A127="","",IFERROR(INDEX(CS!$B$1:$B$15026,MATCH($A127,CS!$B:$B,0)+COLUMN(D$1),1),""))</f>
        <v/>
      </c>
      <c r="BK127" s="37" t="str">
        <f t="array" ref="BK127">IF($A127="","",IFERROR(INDEX(CS!$B$1:$B$15026,MATCH($A127,CS!$B:$B,0)+COLUMN(E$1),1),""))</f>
        <v>縮地</v>
      </c>
      <c r="BL127" s="37" t="str">
        <f t="array" ref="BL127">IF($A127="","",IFERROR(INDEX(CS!$B$1:$B$15026,MATCH($A127,CS!$B:$B,0)+COLUMN(F$1),1),""))</f>
        <v/>
      </c>
      <c r="BM127" s="37" t="str">
        <f t="array" ref="BM127">IF($A127="","",IFERROR(INDEX(CS!$B$1:$B$15026,MATCH($A127,CS!$B:$B,0)+COLUMN(G$1),1),""))</f>
        <v>刺突の使い方</v>
      </c>
      <c r="BN127" s="37" t="str">
        <f t="array" ref="BN127">IF($A127="","",IFERROR(INDEX(CS!$B$1:$B$15026,MATCH($A127,CS!$B:$B,0)+COLUMN(H$1),1),""))</f>
        <v/>
      </c>
      <c r="BO127" s="37" t="str">
        <f t="array" ref="BO127">IF($A127="","",IFERROR(INDEX(CS!$B$1:$B$15026,MATCH($A127,CS!$B:$B,0)+COLUMN(I$1),1),""))</f>
        <v>刺一閃</v>
      </c>
      <c r="BP127" s="37" t="str">
        <f t="array" ref="BP127">IF($A127="","",IFERROR(INDEX(CS!$B$1:$B$15026,MATCH($A127,CS!$B:$B,0)+COLUMN(J$1),1),""))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IF($A128="","",IFERROR(INDEX(CS!$B$1:$B$15026,MATCH($A128,CS!$B:$B,0)+COLUMN(A$1),1),""))</f>
        <v>鷹嘴</v>
      </c>
      <c r="BH128" s="37" t="str">
        <f t="array" ref="BH128">IF($A128="","",IFERROR(INDEX(CS!$B$1:$B$15026,MATCH($A128,CS!$B:$B,0)+COLUMN(B$1),1),""))</f>
        <v/>
      </c>
      <c r="BI128" s="37" t="str">
        <f t="array" ref="BI128">IF($A128="","",IFERROR(INDEX(CS!$B$1:$B$15026,MATCH($A128,CS!$B:$B,0)+COLUMN(C$1),1),""))</f>
        <v>集中力2</v>
      </c>
      <c r="BJ128" s="37" t="str">
        <f t="array" ref="BJ128">IF($A128="","",IFERROR(INDEX(CS!$B$1:$B$15026,MATCH($A128,CS!$B:$B,0)+COLUMN(D$1),1),""))</f>
        <v/>
      </c>
      <c r="BK128" s="37" t="str">
        <f t="array" ref="BK128">IF($A128="","",IFERROR(INDEX(CS!$B$1:$B$15026,MATCH($A128,CS!$B:$B,0)+COLUMN(E$1),1),""))</f>
        <v>縮地改</v>
      </c>
      <c r="BL128" s="37" t="str">
        <f t="array" ref="BL128">IF($A128="","",IFERROR(INDEX(CS!$B$1:$B$15026,MATCH($A128,CS!$B:$B,0)+COLUMN(F$1),1),""))</f>
        <v/>
      </c>
      <c r="BM128" s="37" t="str">
        <f t="array" ref="BM128">IF($A128="","",IFERROR(INDEX(CS!$B$1:$B$15026,MATCH($A128,CS!$B:$B,0)+COLUMN(G$1),1),""))</f>
        <v>刺突の極み</v>
      </c>
      <c r="BN128" s="37" t="str">
        <f t="array" ref="BN128">IF($A128="","",IFERROR(INDEX(CS!$B$1:$B$15026,MATCH($A128,CS!$B:$B,0)+COLUMN(H$1),1),""))</f>
        <v/>
      </c>
      <c r="BO128" s="37" t="str">
        <f t="array" ref="BO128">IF($A128="","",IFERROR(INDEX(CS!$B$1:$B$15026,MATCH($A128,CS!$B:$B,0)+COLUMN(I$1),1),""))</f>
        <v>渦突き</v>
      </c>
      <c r="BP128" s="37" t="str">
        <f t="array" ref="BP128">IF($A128="","",IFERROR(INDEX(CS!$B$1:$B$15026,MATCH($A128,CS!$B:$B,0)+COLUMN(J$1),1),""))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IF($A129="","",IFERROR(INDEX(CS!$B$1:$B$15026,MATCH($A129,CS!$B:$B,0)+COLUMN(A$1),1),""))</f>
        <v>神穿</v>
      </c>
      <c r="BH129" s="37" t="str">
        <f t="array" ref="BH129">IF($A129="","",IFERROR(INDEX(CS!$B$1:$B$15026,MATCH($A129,CS!$B:$B,0)+COLUMN(B$1),1),""))</f>
        <v/>
      </c>
      <c r="BI129" s="37" t="str">
        <f t="array" ref="BI129">IF($A129="","",IFERROR(INDEX(CS!$B$1:$B$15026,MATCH($A129,CS!$B:$B,0)+COLUMN(C$1),1),""))</f>
        <v>極刺</v>
      </c>
      <c r="BJ129" s="37" t="str">
        <f t="array" ref="BJ129">IF($A129="","",IFERROR(INDEX(CS!$B$1:$B$15026,MATCH($A129,CS!$B:$B,0)+COLUMN(D$1),1),""))</f>
        <v/>
      </c>
      <c r="BK129" s="37" t="str">
        <f t="array" ref="BK129">IF($A129="","",IFERROR(INDEX(CS!$B$1:$B$15026,MATCH($A129,CS!$B:$B,0)+COLUMN(E$1),1),""))</f>
        <v>縮地・空</v>
      </c>
      <c r="BL129" s="37" t="str">
        <f t="array" ref="BL129">IF($A129="","",IFERROR(INDEX(CS!$B$1:$B$15026,MATCH($A129,CS!$B:$B,0)+COLUMN(F$1),1),""))</f>
        <v/>
      </c>
      <c r="BM129" s="37" t="str">
        <f t="array" ref="BM129">IF($A129="","",IFERROR(INDEX(CS!$B$1:$B$15026,MATCH($A129,CS!$B:$B,0)+COLUMN(G$1),1),""))</f>
        <v>神眼</v>
      </c>
      <c r="BN129" s="37" t="str">
        <f t="array" ref="BN129">IF($A129="","",IFERROR(INDEX(CS!$B$1:$B$15026,MATCH($A129,CS!$B:$B,0)+COLUMN(H$1),1),""))</f>
        <v/>
      </c>
      <c r="BO129" s="37" t="str">
        <f t="array" ref="BO129">IF($A129="","",IFERROR(INDEX(CS!$B$1:$B$15026,MATCH($A129,CS!$B:$B,0)+COLUMN(I$1),1),""))</f>
        <v>見極</v>
      </c>
      <c r="BP129" s="37" t="str">
        <f t="array" ref="BP129">IF($A129="","",IFERROR(INDEX(CS!$B$1:$B$15026,MATCH($A129,CS!$B:$B,0)+COLUMN(J$1),1),""))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IF($A130="","",IFERROR(INDEX(CS!$B$1:$B$15026,MATCH($A130,CS!$B:$B,0)+COLUMN(A$1),1),""))</f>
        <v>粉砕撃</v>
      </c>
      <c r="BH130" s="37" t="str">
        <f t="array" ref="BH130">IF($A130="","",IFERROR(INDEX(CS!$B$1:$B$15026,MATCH($A130,CS!$B:$B,0)+COLUMN(B$1),1),""))</f>
        <v/>
      </c>
      <c r="BI130" s="37" t="str">
        <f t="array" ref="BI130">IF($A130="","",IFERROR(INDEX(CS!$B$1:$B$15026,MATCH($A130,CS!$B:$B,0)+COLUMN(C$1),1),""))</f>
        <v>打撃武器の扱い</v>
      </c>
      <c r="BJ130" s="37" t="str">
        <f t="array" ref="BJ130">IF($A130="","",IFERROR(INDEX(CS!$B$1:$B$15026,MATCH($A130,CS!$B:$B,0)+COLUMN(D$1),1),""))</f>
        <v/>
      </c>
      <c r="BK130" s="37" t="str">
        <f t="array" ref="BK130">IF($A130="","",IFERROR(INDEX(CS!$B$1:$B$15026,MATCH($A130,CS!$B:$B,0)+COLUMN(E$1),1),""))</f>
        <v>崩し撃</v>
      </c>
      <c r="BL130" s="37" t="str">
        <f t="array" ref="BL130">IF($A130="","",IFERROR(INDEX(CS!$B$1:$B$15026,MATCH($A130,CS!$B:$B,0)+COLUMN(F$1),1),""))</f>
        <v/>
      </c>
      <c r="BM130" s="37" t="str">
        <f t="array" ref="BM130">IF($A130="","",IFERROR(INDEX(CS!$B$1:$B$15026,MATCH($A130,CS!$B:$B,0)+COLUMN(G$1),1),""))</f>
        <v>重打</v>
      </c>
      <c r="BN130" s="37" t="str">
        <f t="array" ref="BN130">IF($A130="","",IFERROR(INDEX(CS!$B$1:$B$15026,MATCH($A130,CS!$B:$B,0)+COLUMN(H$1),1),""))</f>
        <v/>
      </c>
      <c r="BO130" s="37" t="str">
        <f t="array" ref="BO130">IF($A130="","",IFERROR(INDEX(CS!$B$1:$B$15026,MATCH($A130,CS!$B:$B,0)+COLUMN(I$1),1),""))</f>
        <v>打撃の極み</v>
      </c>
      <c r="BP130" s="37" t="str">
        <f t="array" ref="BP130">IF($A130="","",IFERROR(INDEX(CS!$B$1:$B$15026,MATCH($A130,CS!$B:$B,0)+COLUMN(J$1),1),""))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IF($A131="","",IFERROR(INDEX(CS!$B$1:$B$15026,MATCH($A131,CS!$B:$B,0)+COLUMN(A$1),1),""))</f>
        <v>盾構え</v>
      </c>
      <c r="BH131" s="37" t="str">
        <f t="array" ref="BH131">IF($A131="","",IFERROR(INDEX(CS!$B$1:$B$15026,MATCH($A131,CS!$B:$B,0)+COLUMN(B$1),1),""))</f>
        <v/>
      </c>
      <c r="BI131" s="37" t="str">
        <f t="array" ref="BI131">IF($A131="","",IFERROR(INDEX(CS!$B$1:$B$15026,MATCH($A131,CS!$B:$B,0)+COLUMN(C$1),1),""))</f>
        <v>盾の扱い</v>
      </c>
      <c r="BJ131" s="37" t="str">
        <f t="array" ref="BJ131">IF($A131="","",IFERROR(INDEX(CS!$B$1:$B$15026,MATCH($A131,CS!$B:$B,0)+COLUMN(D$1),1),""))</f>
        <v/>
      </c>
      <c r="BK131" s="37" t="str">
        <f t="array" ref="BK131">IF($A131="","",IFERROR(INDEX(CS!$B$1:$B$15026,MATCH($A131,CS!$B:$B,0)+COLUMN(E$1),1),""))</f>
        <v>盾打ち</v>
      </c>
      <c r="BL131" s="37" t="str">
        <f t="array" ref="BL131">IF($A131="","",IFERROR(INDEX(CS!$B$1:$B$15026,MATCH($A131,CS!$B:$B,0)+COLUMN(F$1),1),""))</f>
        <v/>
      </c>
      <c r="BM131" s="37" t="str">
        <f t="array" ref="BM131">IF($A131="","",IFERROR(INDEX(CS!$B$1:$B$15026,MATCH($A131,CS!$B:$B,0)+COLUMN(G$1),1),""))</f>
        <v>受け流し</v>
      </c>
      <c r="BN131" s="37" t="str">
        <f t="array" ref="BN131">IF($A131="","",IFERROR(INDEX(CS!$B$1:$B$15026,MATCH($A131,CS!$B:$B,0)+COLUMN(H$1),1),""))</f>
        <v/>
      </c>
      <c r="BO131" s="37" t="str">
        <f t="array" ref="BO131">IF($A131="","",IFERROR(INDEX(CS!$B$1:$B$15026,MATCH($A131,CS!$B:$B,0)+COLUMN(I$1),1),""))</f>
        <v>鉄壁</v>
      </c>
      <c r="BP131" s="37" t="str">
        <f t="array" ref="BP131">IF($A131="","",IFERROR(INDEX(CS!$B$1:$B$15026,MATCH($A131,CS!$B:$B,0)+COLUMN(J$1),1),""))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INDEX(CS!$B$1:$B$15026,MATCH($A132,CS!$B:$B,0)+COLUMN(A$1),1))</f>
        <v/>
      </c>
      <c r="BH132" s="37" t="str">
        <f t="array" ref="BH132">IF($A132="","", INDEX(CS!$B$1:$B$15026,MATCH($A132,CS!$B:$B,0)+COLUMN(B$1),1))</f>
        <v/>
      </c>
      <c r="BI132" s="37" t="str">
        <f t="array" ref="BI132">IF($A132="","", INDEX(CS!$B$1:$B$15026,MATCH($A132,CS!$B:$B,0)+COLUMN(C$1),1))</f>
        <v/>
      </c>
      <c r="BJ132" s="37" t="str">
        <f t="array" ref="BJ132">IF($A132="","", INDEX(CS!$B$1:$B$15026,MATCH($A132,CS!$B:$B,0)+COLUMN(D$1),1))</f>
        <v/>
      </c>
      <c r="BK132" s="37" t="str">
        <f t="array" ref="BK132">IF($A132="","", INDEX(CS!$B$1:$B$15026,MATCH($A132,CS!$B:$B,0)+COLUMN(E$1),1))</f>
        <v/>
      </c>
      <c r="BL132" s="37" t="str">
        <f t="array" ref="BL132">IF($A132="","", INDEX(CS!$B$1:$B$15026,MATCH($A132,CS!$B:$B,0)+COLUMN(F$1),1))</f>
        <v/>
      </c>
      <c r="BM132" s="37" t="str">
        <f t="array" ref="BM132">IF($A132="","", INDEX(CS!$B$1:$B$15026,MATCH($A132,CS!$B:$B,0)+COLUMN(G$1),1))</f>
        <v/>
      </c>
      <c r="BN132" s="37" t="str">
        <f t="array" ref="BN132">IF($A132="","", INDEX(CS!$B$1:$B$15026,MATCH($A132,CS!$B:$B,0)+COLUMN(H$1),1))</f>
        <v/>
      </c>
      <c r="BO132" s="37" t="str">
        <f t="array" ref="BO132">IF($A132="","", INDEX(CS!$B$1:$B$15026,MATCH($A132,CS!$B:$B,0)+COLUMN(I$1),1))</f>
        <v/>
      </c>
      <c r="BP132" s="37" t="str">
        <f t="array" ref="BP132">IF($A132="","", INDEX(CS!$B$1:$B$15026,MATCH($A132,CS!$B:$B,0)+COLUMN(J$1),1))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INDEX(CS!$B$1:$B$15026,MATCH($A133,CS!$B:$B,0)+COLUMN(A$1),1))</f>
        <v/>
      </c>
      <c r="BH133" s="37" t="str">
        <f t="array" ref="BH133">IF($A133="","", INDEX(CS!$B$1:$B$15026,MATCH($A133,CS!$B:$B,0)+COLUMN(B$1),1))</f>
        <v/>
      </c>
      <c r="BI133" s="37" t="str">
        <f t="array" ref="BI133">IF($A133="","", INDEX(CS!$B$1:$B$15026,MATCH($A133,CS!$B:$B,0)+COLUMN(C$1),1))</f>
        <v/>
      </c>
      <c r="BJ133" s="37" t="str">
        <f t="array" ref="BJ133">IF($A133="","", INDEX(CS!$B$1:$B$15026,MATCH($A133,CS!$B:$B,0)+COLUMN(D$1),1))</f>
        <v/>
      </c>
      <c r="BK133" s="37" t="str">
        <f t="array" ref="BK133">IF($A133="","", INDEX(CS!$B$1:$B$15026,MATCH($A133,CS!$B:$B,0)+COLUMN(E$1),1))</f>
        <v/>
      </c>
      <c r="BL133" s="37" t="str">
        <f t="array" ref="BL133">IF($A133="","", INDEX(CS!$B$1:$B$15026,MATCH($A133,CS!$B:$B,0)+COLUMN(F$1),1))</f>
        <v/>
      </c>
      <c r="BM133" s="37" t="str">
        <f t="array" ref="BM133">IF($A133="","", INDEX(CS!$B$1:$B$15026,MATCH($A133,CS!$B:$B,0)+COLUMN(G$1),1))</f>
        <v/>
      </c>
      <c r="BN133" s="37" t="str">
        <f t="array" ref="BN133">IF($A133="","", INDEX(CS!$B$1:$B$15026,MATCH($A133,CS!$B:$B,0)+COLUMN(H$1),1))</f>
        <v/>
      </c>
      <c r="BO133" s="37" t="str">
        <f t="array" ref="BO133">IF($A133="","", INDEX(CS!$B$1:$B$15026,MATCH($A133,CS!$B:$B,0)+COLUMN(I$1),1))</f>
        <v/>
      </c>
      <c r="BP133" s="37" t="str">
        <f t="array" ref="BP133">IF($A133="","", INDEX(CS!$B$1:$B$15026,MATCH($A133,CS!$B:$B,0)+COLUMN(J$1),1))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IF($A134="","",IFERROR(INDEX(CS!$B$1:$B$15026,MATCH($A134,CS!$B:$B,0)+COLUMN(A$1),1),""))</f>
        <v>炎の武器</v>
      </c>
      <c r="BH134" s="37" t="str">
        <f t="array" ref="BH134">IF($A134="","",IFERROR(INDEX(CS!$B$1:$B$15026,MATCH($A134,CS!$B:$B,0)+COLUMN(B$1),1),""))</f>
        <v/>
      </c>
      <c r="BI134" s="37" t="str">
        <f t="array" ref="BI134">IF($A134="","",IFERROR(INDEX(CS!$B$1:$B$15026,MATCH($A134,CS!$B:$B,0)+COLUMN(C$1),1),""))</f>
        <v>火炎</v>
      </c>
      <c r="BJ134" s="37" t="str">
        <f t="array" ref="BJ134">IF($A134="","",IFERROR(INDEX(CS!$B$1:$B$15026,MATCH($A134,CS!$B:$B,0)+COLUMN(D$1),1),""))</f>
        <v/>
      </c>
      <c r="BK134" s="37" t="str">
        <f t="array" ref="BK134">IF($A134="","",IFERROR(INDEX(CS!$B$1:$B$15026,MATCH($A134,CS!$B:$B,0)+COLUMN(E$1),1),""))</f>
        <v>炎の適用</v>
      </c>
      <c r="BL134" s="37" t="str">
        <f t="array" ref="BL134">IF($A134="","",IFERROR(INDEX(CS!$B$1:$B$15026,MATCH($A134,CS!$B:$B,0)+COLUMN(F$1),1),""))</f>
        <v/>
      </c>
      <c r="BM134" s="37" t="str">
        <f t="array" ref="BM134">IF($A134="","",IFERROR(INDEX(CS!$B$1:$B$15026,MATCH($A134,CS!$B:$B,0)+COLUMN(G$1),1),""))</f>
        <v>火球</v>
      </c>
      <c r="BN134" s="37" t="str">
        <f t="array" ref="BN134">IF($A134="","",IFERROR(INDEX(CS!$B$1:$B$15026,MATCH($A134,CS!$B:$B,0)+COLUMN(H$1),1),""))</f>
        <v/>
      </c>
      <c r="BO134" s="37" t="str">
        <f t="array" ref="BO134">IF($A134="","",IFERROR(INDEX(CS!$B$1:$B$15026,MATCH($A134,CS!$B:$B,0)+COLUMN(I$1),1),""))</f>
        <v>炎強化</v>
      </c>
      <c r="BP134" s="37" t="str">
        <f t="array" ref="BP134">IF($A134="","",IFERROR(INDEX(CS!$B$1:$B$15026,MATCH($A134,CS!$B:$B,0)+COLUMN(J$1),1),""))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IF($A135="","",IFERROR(INDEX(CS!$B$1:$B$15026,MATCH($A135,CS!$B:$B,0)+COLUMN(A$1),1),""))</f>
        <v>氷の武器</v>
      </c>
      <c r="BH135" s="37" t="str">
        <f t="array" ref="BH135">IF($A135="","",IFERROR(INDEX(CS!$B$1:$B$15026,MATCH($A135,CS!$B:$B,0)+COLUMN(B$1),1),""))</f>
        <v/>
      </c>
      <c r="BI135" s="37" t="str">
        <f t="array" ref="BI135">IF($A135="","",IFERROR(INDEX(CS!$B$1:$B$15026,MATCH($A135,CS!$B:$B,0)+COLUMN(C$1),1),""))</f>
        <v>冷気の光線</v>
      </c>
      <c r="BJ135" s="37" t="str">
        <f t="array" ref="BJ135">IF($A135="","",IFERROR(INDEX(CS!$B$1:$B$15026,MATCH($A135,CS!$B:$B,0)+COLUMN(D$1),1),""))</f>
        <v/>
      </c>
      <c r="BK135" s="37" t="str">
        <f t="array" ref="BK135">IF($A135="","",IFERROR(INDEX(CS!$B$1:$B$15026,MATCH($A135,CS!$B:$B,0)+COLUMN(E$1),1),""))</f>
        <v>氷の適用</v>
      </c>
      <c r="BL135" s="37" t="str">
        <f t="array" ref="BL135">IF($A135="","",IFERROR(INDEX(CS!$B$1:$B$15026,MATCH($A135,CS!$B:$B,0)+COLUMN(F$1),1),""))</f>
        <v/>
      </c>
      <c r="BM135" s="37" t="str">
        <f t="array" ref="BM135">IF($A135="","",IFERROR(INDEX(CS!$B$1:$B$15026,MATCH($A135,CS!$B:$B,0)+COLUMN(G$1),1),""))</f>
        <v>氷柱弾</v>
      </c>
      <c r="BN135" s="37" t="str">
        <f t="array" ref="BN135">IF($A135="","",IFERROR(INDEX(CS!$B$1:$B$15026,MATCH($A135,CS!$B:$B,0)+COLUMN(H$1),1),""))</f>
        <v/>
      </c>
      <c r="BO135" s="37" t="str">
        <f t="array" ref="BO135">IF($A135="","",IFERROR(INDEX(CS!$B$1:$B$15026,MATCH($A135,CS!$B:$B,0)+COLUMN(I$1),1),""))</f>
        <v>氷強化</v>
      </c>
      <c r="BP135" s="37" t="str">
        <f t="array" ref="BP135">IF($A135="","",IFERROR(INDEX(CS!$B$1:$B$15026,MATCH($A135,CS!$B:$B,0)+COLUMN(J$1),1),""))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IF($A136="","",IFERROR(INDEX(CS!$B$1:$B$15026,MATCH($A136,CS!$B:$B,0)+COLUMN(A$1),1),""))</f>
        <v>雷の武器</v>
      </c>
      <c r="BH136" s="37" t="str">
        <f t="array" ref="BH136">IF($A136="","",IFERROR(INDEX(CS!$B$1:$B$15026,MATCH($A136,CS!$B:$B,0)+COLUMN(B$1),1),""))</f>
        <v/>
      </c>
      <c r="BI136" s="37" t="str">
        <f t="array" ref="BI136">IF($A136="","",IFERROR(INDEX(CS!$B$1:$B$15026,MATCH($A136,CS!$B:$B,0)+COLUMN(C$1),1),""))</f>
        <v>放電</v>
      </c>
      <c r="BJ136" s="37" t="str">
        <f t="array" ref="BJ136">IF($A136="","",IFERROR(INDEX(CS!$B$1:$B$15026,MATCH($A136,CS!$B:$B,0)+COLUMN(D$1),1),""))</f>
        <v/>
      </c>
      <c r="BK136" s="37" t="str">
        <f t="array" ref="BK136">IF($A136="","",IFERROR(INDEX(CS!$B$1:$B$15026,MATCH($A136,CS!$B:$B,0)+COLUMN(E$1),1),""))</f>
        <v>雷の適用</v>
      </c>
      <c r="BL136" s="37" t="str">
        <f t="array" ref="BL136">IF($A136="","",IFERROR(INDEX(CS!$B$1:$B$15026,MATCH($A136,CS!$B:$B,0)+COLUMN(F$1),1),""))</f>
        <v/>
      </c>
      <c r="BM136" s="37" t="str">
        <f t="array" ref="BM136">IF($A136="","",IFERROR(INDEX(CS!$B$1:$B$15026,MATCH($A136,CS!$B:$B,0)+COLUMN(G$1),1),""))</f>
        <v>電弧放電</v>
      </c>
      <c r="BN136" s="37" t="str">
        <f t="array" ref="BN136">IF($A136="","",IFERROR(INDEX(CS!$B$1:$B$15026,MATCH($A136,CS!$B:$B,0)+COLUMN(H$1),1),""))</f>
        <v/>
      </c>
      <c r="BO136" s="37" t="str">
        <f t="array" ref="BO136">IF($A136="","",IFERROR(INDEX(CS!$B$1:$B$15026,MATCH($A136,CS!$B:$B,0)+COLUMN(I$1),1),""))</f>
        <v>雷強化</v>
      </c>
      <c r="BP136" s="37" t="str">
        <f t="array" ref="BP136">IF($A136="","",IFERROR(INDEX(CS!$B$1:$B$15026,MATCH($A136,CS!$B:$B,0)+COLUMN(J$1),1),""))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IF($A137="","",IFERROR(INDEX(CS!$B$1:$B$15026,MATCH($A137,CS!$B:$B,0)+COLUMN(A$1),1),""))</f>
        <v>酸の武器</v>
      </c>
      <c r="BH137" s="37" t="str">
        <f t="array" ref="BH137">IF($A137="","",IFERROR(INDEX(CS!$B$1:$B$15026,MATCH($A137,CS!$B:$B,0)+COLUMN(B$1),1),""))</f>
        <v/>
      </c>
      <c r="BI137" s="37" t="str">
        <f t="array" ref="BI137">IF($A137="","",IFERROR(INDEX(CS!$B$1:$B$15026,MATCH($A137,CS!$B:$B,0)+COLUMN(C$1),1),""))</f>
        <v>酸滴</v>
      </c>
      <c r="BJ137" s="37" t="str">
        <f t="array" ref="BJ137">IF($A137="","",IFERROR(INDEX(CS!$B$1:$B$15026,MATCH($A137,CS!$B:$B,0)+COLUMN(D$1),1),""))</f>
        <v/>
      </c>
      <c r="BK137" s="37" t="str">
        <f t="array" ref="BK137">IF($A137="","",IFERROR(INDEX(CS!$B$1:$B$15026,MATCH($A137,CS!$B:$B,0)+COLUMN(E$1),1),""))</f>
        <v>毒の適用</v>
      </c>
      <c r="BL137" s="37" t="str">
        <f t="array" ref="BL137">IF($A137="","",IFERROR(INDEX(CS!$B$1:$B$15026,MATCH($A137,CS!$B:$B,0)+COLUMN(F$1),1),""))</f>
        <v/>
      </c>
      <c r="BM137" s="37" t="str">
        <f t="array" ref="BM137">IF($A137="","",IFERROR(INDEX(CS!$B$1:$B$15026,MATCH($A137,CS!$B:$B,0)+COLUMN(G$1),1),""))</f>
        <v>酸の落流</v>
      </c>
      <c r="BN137" s="37" t="str">
        <f t="array" ref="BN137">IF($A137="","",IFERROR(INDEX(CS!$B$1:$B$15026,MATCH($A137,CS!$B:$B,0)+COLUMN(H$1),1),""))</f>
        <v/>
      </c>
      <c r="BO137" s="37" t="str">
        <f t="array" ref="BO137">IF($A137="","",IFERROR(INDEX(CS!$B$1:$B$15026,MATCH($A137,CS!$B:$B,0)+COLUMN(I$1),1),""))</f>
        <v>毒強化</v>
      </c>
      <c r="BP137" s="37" t="str">
        <f t="array" ref="BP137">IF($A137="","",IFERROR(INDEX(CS!$B$1:$B$15026,MATCH($A137,CS!$B:$B,0)+COLUMN(J$1),1),""))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IF($A138="","",IFERROR(INDEX(CS!$B$1:$B$15026,MATCH($A138,CS!$B:$B,0)+COLUMN(A$1),1),""))</f>
        <v>風の武器</v>
      </c>
      <c r="BH138" s="37" t="str">
        <f t="array" ref="BH138">IF($A138="","",IFERROR(INDEX(CS!$B$1:$B$15026,MATCH($A138,CS!$B:$B,0)+COLUMN(B$1),1),""))</f>
        <v/>
      </c>
      <c r="BI138" s="37" t="str">
        <f t="array" ref="BI138">IF($A138="","",IFERROR(INDEX(CS!$B$1:$B$15026,MATCH($A138,CS!$B:$B,0)+COLUMN(C$1),1),""))</f>
        <v>突風</v>
      </c>
      <c r="BJ138" s="37" t="str">
        <f t="array" ref="BJ138">IF($A138="","",IFERROR(INDEX(CS!$B$1:$B$15026,MATCH($A138,CS!$B:$B,0)+COLUMN(D$1),1),""))</f>
        <v/>
      </c>
      <c r="BK138" s="37" t="str">
        <f t="array" ref="BK138">IF($A138="","",IFERROR(INDEX(CS!$B$1:$B$15026,MATCH($A138,CS!$B:$B,0)+COLUMN(E$1),1),""))</f>
        <v>風の適用</v>
      </c>
      <c r="BL138" s="37" t="str">
        <f t="array" ref="BL138">IF($A138="","",IFERROR(INDEX(CS!$B$1:$B$15026,MATCH($A138,CS!$B:$B,0)+COLUMN(F$1),1),""))</f>
        <v/>
      </c>
      <c r="BM138" s="37" t="str">
        <f t="array" ref="BM138">IF($A138="","",IFERROR(INDEX(CS!$B$1:$B$15026,MATCH($A138,CS!$B:$B,0)+COLUMN(G$1),1),""))</f>
        <v>上昇烈風</v>
      </c>
      <c r="BN138" s="37" t="str">
        <f t="array" ref="BN138">IF($A138="","",IFERROR(INDEX(CS!$B$1:$B$15026,MATCH($A138,CS!$B:$B,0)+COLUMN(H$1),1),""))</f>
        <v/>
      </c>
      <c r="BO138" s="37" t="str">
        <f t="array" ref="BO138">IF($A138="","",IFERROR(INDEX(CS!$B$1:$B$15026,MATCH($A138,CS!$B:$B,0)+COLUMN(I$1),1),""))</f>
        <v>風強化</v>
      </c>
      <c r="BP138" s="37" t="str">
        <f t="array" ref="BP138">IF($A138="","",IFERROR(INDEX(CS!$B$1:$B$15026,MATCH($A138,CS!$B:$B,0)+COLUMN(J$1),1),""))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IF($A139="","",IFERROR(INDEX(CS!$B$1:$B$15026,MATCH($A139,CS!$B:$B,0)+COLUMN(A$1),1),""))</f>
        <v>岩の武器</v>
      </c>
      <c r="BH139" s="37" t="str">
        <f t="array" ref="BH139">IF($A139="","",IFERROR(INDEX(CS!$B$1:$B$15026,MATCH($A139,CS!$B:$B,0)+COLUMN(B$1),1),""))</f>
        <v/>
      </c>
      <c r="BI139" s="37" t="str">
        <f t="array" ref="BI139">IF($A139="","",IFERROR(INDEX(CS!$B$1:$B$15026,MATCH($A139,CS!$B:$B,0)+COLUMN(C$1),1),""))</f>
        <v>魔法の石</v>
      </c>
      <c r="BJ139" s="37" t="str">
        <f t="array" ref="BJ139">IF($A139="","",IFERROR(INDEX(CS!$B$1:$B$15026,MATCH($A139,CS!$B:$B,0)+COLUMN(D$1),1),""))</f>
        <v/>
      </c>
      <c r="BK139" s="37" t="str">
        <f t="array" ref="BK139">IF($A139="","",IFERROR(INDEX(CS!$B$1:$B$15026,MATCH($A139,CS!$B:$B,0)+COLUMN(E$1),1),""))</f>
        <v>石の適用</v>
      </c>
      <c r="BL139" s="37" t="str">
        <f t="array" ref="BL139">IF($A139="","",IFERROR(INDEX(CS!$B$1:$B$15026,MATCH($A139,CS!$B:$B,0)+COLUMN(F$1),1),""))</f>
        <v/>
      </c>
      <c r="BM139" s="37" t="str">
        <f t="array" ref="BM139">IF($A139="","",IFERROR(INDEX(CS!$B$1:$B$15026,MATCH($A139,CS!$B:$B,0)+COLUMN(G$1),1),""))</f>
        <v>水晶片</v>
      </c>
      <c r="BN139" s="37" t="str">
        <f t="array" ref="BN139">IF($A139="","",IFERROR(INDEX(CS!$B$1:$B$15026,MATCH($A139,CS!$B:$B,0)+COLUMN(H$1),1),""))</f>
        <v/>
      </c>
      <c r="BO139" s="37" t="str">
        <f t="array" ref="BO139">IF($A139="","",IFERROR(INDEX(CS!$B$1:$B$15026,MATCH($A139,CS!$B:$B,0)+COLUMN(I$1),1),""))</f>
        <v>地強化</v>
      </c>
      <c r="BP139" s="37" t="str">
        <f t="array" ref="BP139">IF($A139="","",IFERROR(INDEX(CS!$B$1:$B$15026,MATCH($A139,CS!$B:$B,0)+COLUMN(J$1),1),""))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INDEX(CS!$B$1:$B$15026,MATCH($A140,CS!$B:$B,0)+COLUMN(A$1),1))</f>
        <v/>
      </c>
      <c r="BH140" s="37" t="str">
        <f t="array" ref="BH140">IF($A140="","", INDEX(CS!$B$1:$B$15026,MATCH($A140,CS!$B:$B,0)+COLUMN(B$1),1))</f>
        <v/>
      </c>
      <c r="BI140" s="37" t="str">
        <f t="array" ref="BI140">IF($A140="","", INDEX(CS!$B$1:$B$15026,MATCH($A140,CS!$B:$B,0)+COLUMN(C$1),1))</f>
        <v/>
      </c>
      <c r="BJ140" s="37" t="str">
        <f t="array" ref="BJ140">IF($A140="","", INDEX(CS!$B$1:$B$15026,MATCH($A140,CS!$B:$B,0)+COLUMN(D$1),1))</f>
        <v/>
      </c>
      <c r="BK140" s="37" t="str">
        <f t="array" ref="BK140">IF($A140="","", INDEX(CS!$B$1:$B$15026,MATCH($A140,CS!$B:$B,0)+COLUMN(E$1),1))</f>
        <v/>
      </c>
      <c r="BL140" s="37" t="str">
        <f t="array" ref="BL140">IF($A140="","", INDEX(CS!$B$1:$B$15026,MATCH($A140,CS!$B:$B,0)+COLUMN(F$1),1))</f>
        <v/>
      </c>
      <c r="BM140" s="37" t="str">
        <f t="array" ref="BM140">IF($A140="","", INDEX(CS!$B$1:$B$15026,MATCH($A140,CS!$B:$B,0)+COLUMN(G$1),1))</f>
        <v/>
      </c>
      <c r="BN140" s="37" t="str">
        <f t="array" ref="BN140">IF($A140="","", INDEX(CS!$B$1:$B$15026,MATCH($A140,CS!$B:$B,0)+COLUMN(H$1),1))</f>
        <v/>
      </c>
      <c r="BO140" s="37" t="str">
        <f t="array" ref="BO140">IF($A140="","", INDEX(CS!$B$1:$B$15026,MATCH($A140,CS!$B:$B,0)+COLUMN(I$1),1))</f>
        <v/>
      </c>
      <c r="BP140" s="37" t="str">
        <f t="array" ref="BP140">IF($A140="","", INDEX(CS!$B$1:$B$15026,MATCH($A140,CS!$B:$B,0)+COLUMN(J$1),1))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INDEX(CS!$B$1:$B$15026,MATCH($A141,CS!$B:$B,0)+COLUMN(A$1),1))</f>
        <v/>
      </c>
      <c r="BH141" s="37" t="str">
        <f t="array" ref="BH141">IF($A141="","", INDEX(CS!$B$1:$B$15026,MATCH($A141,CS!$B:$B,0)+COLUMN(B$1),1))</f>
        <v/>
      </c>
      <c r="BI141" s="37" t="str">
        <f t="array" ref="BI141">IF($A141="","", INDEX(CS!$B$1:$B$15026,MATCH($A141,CS!$B:$B,0)+COLUMN(C$1),1))</f>
        <v/>
      </c>
      <c r="BJ141" s="37" t="str">
        <f t="array" ref="BJ141">IF($A141="","", INDEX(CS!$B$1:$B$15026,MATCH($A141,CS!$B:$B,0)+COLUMN(D$1),1))</f>
        <v/>
      </c>
      <c r="BK141" s="37" t="str">
        <f t="array" ref="BK141">IF($A141="","", INDEX(CS!$B$1:$B$15026,MATCH($A141,CS!$B:$B,0)+COLUMN(E$1),1))</f>
        <v/>
      </c>
      <c r="BL141" s="37" t="str">
        <f t="array" ref="BL141">IF($A141="","", INDEX(CS!$B$1:$B$15026,MATCH($A141,CS!$B:$B,0)+COLUMN(F$1),1))</f>
        <v/>
      </c>
      <c r="BM141" s="37" t="str">
        <f t="array" ref="BM141">IF($A141="","", INDEX(CS!$B$1:$B$15026,MATCH($A141,CS!$B:$B,0)+COLUMN(G$1),1))</f>
        <v/>
      </c>
      <c r="BN141" s="37" t="str">
        <f t="array" ref="BN141">IF($A141="","", INDEX(CS!$B$1:$B$15026,MATCH($A141,CS!$B:$B,0)+COLUMN(H$1),1))</f>
        <v/>
      </c>
      <c r="BO141" s="37" t="str">
        <f t="array" ref="BO141">IF($A141="","", INDEX(CS!$B$1:$B$15026,MATCH($A141,CS!$B:$B,0)+COLUMN(I$1),1))</f>
        <v/>
      </c>
      <c r="BP141" s="37" t="str">
        <f t="array" ref="BP141">IF($A141="","", INDEX(CS!$B$1:$B$15026,MATCH($A141,CS!$B:$B,0)+COLUMN(J$1),1))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INDEX(CS!$B$1:$B$15026,MATCH($A142,CS!$B:$B,0)+COLUMN(A$1),1))</f>
        <v>急所撃</v>
      </c>
      <c r="BH142" s="37" t="str">
        <f t="array" ref="BH142">IF($A142="","", INDEX(CS!$B$1:$B$15026,MATCH($A142,CS!$B:$B,0)+COLUMN(B$1),1))</f>
        <v>狙い</v>
      </c>
      <c r="BI142" s="37" t="str">
        <f t="array" ref="BI142">IF($A142="","", INDEX(CS!$B$1:$B$15026,MATCH($A142,CS!$B:$B,0)+COLUMN(C$1),1))</f>
        <v>隠密</v>
      </c>
      <c r="BJ142" s="37" t="str">
        <f t="array" ref="BJ142">IF($A142="","", INDEX(CS!$B$1:$B$15026,MATCH($A142,CS!$B:$B,0)+COLUMN(D$1),1))</f>
        <v>痛撃</v>
      </c>
      <c r="BK142" s="37" t="str">
        <f t="array" ref="BK142">IF($A142="","", INDEX(CS!$B$1:$B$15026,MATCH($A142,CS!$B:$B,0)+COLUMN(E$1),1))</f>
        <v>野生感覚</v>
      </c>
      <c r="BL142" s="37" t="str">
        <f t="array" ref="BL142">IF($A142="","", INDEX(CS!$B$1:$B$15026,MATCH($A142,CS!$B:$B,0)+COLUMN(F$1),1))</f>
        <v/>
      </c>
      <c r="BM142" s="37" t="str">
        <f t="array" ref="BM142">IF($A142="","", INDEX(CS!$B$1:$B$15026,MATCH($A142,CS!$B:$B,0)+COLUMN(G$1),1))</f>
        <v>空撃</v>
      </c>
      <c r="BN142" s="37" t="str">
        <f t="array" ref="BN142">IF($A142="","", INDEX(CS!$B$1:$B$15026,MATCH($A142,CS!$B:$B,0)+COLUMN(H$1),1))</f>
        <v/>
      </c>
      <c r="BO142" s="37" t="str">
        <f t="array" ref="BO142">IF($A142="","", INDEX(CS!$B$1:$B$15026,MATCH($A142,CS!$B:$B,0)+COLUMN(I$1),1))</f>
        <v/>
      </c>
      <c r="BP142" s="37" t="str">
        <f t="array" ref="BP142">IF($A142="","", INDEX(CS!$B$1:$B$15026,MATCH($A142,CS!$B:$B,0)+COLUMN(J$1),1))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IF($A143="","",IFERROR(INDEX(CS!$B$1:$B$15026,MATCH($A143,CS!$B:$B,0)+COLUMN(A$1),1),""))</f>
        <v>潜伏</v>
      </c>
      <c r="BH143" s="37" t="str">
        <f t="array" ref="BH143">IF($A143="","",IFERROR(INDEX(CS!$B$1:$B$15026,MATCH($A143,CS!$B:$B,0)+COLUMN(B$1),1),""))</f>
        <v/>
      </c>
      <c r="BI143" s="37" t="str">
        <f t="array" ref="BI143">IF($A143="","",IFERROR(INDEX(CS!$B$1:$B$15026,MATCH($A143,CS!$B:$B,0)+COLUMN(C$1),1),""))</f>
        <v>悪知恵</v>
      </c>
      <c r="BJ143" s="37" t="str">
        <f t="array" ref="BJ143">IF($A143="","",IFERROR(INDEX(CS!$B$1:$B$15026,MATCH($A143,CS!$B:$B,0)+COLUMN(D$1),1),""))</f>
        <v/>
      </c>
      <c r="BK143" s="37" t="str">
        <f t="array" ref="BK143">IF($A143="","",IFERROR(INDEX(CS!$B$1:$B$15026,MATCH($A143,CS!$B:$B,0)+COLUMN(E$1),1),""))</f>
        <v>狙い</v>
      </c>
      <c r="BL143" s="37" t="str">
        <f t="array" ref="BL143">IF($A143="","",IFERROR(INDEX(CS!$B$1:$B$15026,MATCH($A143,CS!$B:$B,0)+COLUMN(F$1),1),""))</f>
        <v/>
      </c>
      <c r="BM143" s="37" t="str">
        <f t="array" ref="BM143">IF($A143="","",IFERROR(INDEX(CS!$B$1:$B$15026,MATCH($A143,CS!$B:$B,0)+COLUMN(G$1),1),""))</f>
        <v>奇襲</v>
      </c>
      <c r="BN143" s="37" t="str">
        <f t="array" ref="BN143">IF($A143="","",IFERROR(INDEX(CS!$B$1:$B$15026,MATCH($A143,CS!$B:$B,0)+COLUMN(H$1),1),""))</f>
        <v/>
      </c>
      <c r="BO143" s="37" t="str">
        <f t="array" ref="BO143">IF($A143="","",IFERROR(INDEX(CS!$B$1:$B$15026,MATCH($A143,CS!$B:$B,0)+COLUMN(I$1),1),""))</f>
        <v>痛撃</v>
      </c>
      <c r="BP143" s="37" t="str">
        <f t="array" ref="BP143">IF($A143="","",IFERROR(INDEX(CS!$B$1:$B$15026,MATCH($A143,CS!$B:$B,0)+COLUMN(J$1),1),""))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IF($A144="","",IFERROR(INDEX(CS!$B$1:$B$15026,MATCH($A144,CS!$B:$B,0)+COLUMN(A$1),1),""))</f>
        <v>急所撃</v>
      </c>
      <c r="BH144" s="37" t="str">
        <f t="array" ref="BH144">IF($A144="","",IFERROR(INDEX(CS!$B$1:$B$15026,MATCH($A144,CS!$B:$B,0)+COLUMN(B$1),1),""))</f>
        <v/>
      </c>
      <c r="BI144" s="37" t="str">
        <f t="array" ref="BI144">IF($A144="","",IFERROR(INDEX(CS!$B$1:$B$15026,MATCH($A144,CS!$B:$B,0)+COLUMN(C$1),1),""))</f>
        <v>潜伏</v>
      </c>
      <c r="BJ144" s="37" t="str">
        <f t="array" ref="BJ144">IF($A144="","",IFERROR(INDEX(CS!$B$1:$B$15026,MATCH($A144,CS!$B:$B,0)+COLUMN(D$1),1),""))</f>
        <v/>
      </c>
      <c r="BK144" s="37" t="str">
        <f t="array" ref="BK144">IF($A144="","",IFERROR(INDEX(CS!$B$1:$B$15026,MATCH($A144,CS!$B:$B,0)+COLUMN(E$1),1),""))</f>
        <v>痛撃</v>
      </c>
      <c r="BL144" s="37" t="str">
        <f t="array" ref="BL144">IF($A144="","",IFERROR(INDEX(CS!$B$1:$B$15026,MATCH($A144,CS!$B:$B,0)+COLUMN(F$1),1),""))</f>
        <v/>
      </c>
      <c r="BM144" s="37" t="str">
        <f t="array" ref="BM144">IF($A144="","",IFERROR(INDEX(CS!$B$1:$B$15026,MATCH($A144,CS!$B:$B,0)+COLUMN(G$1),1),""))</f>
        <v>奇襲</v>
      </c>
      <c r="BN144" s="37" t="str">
        <f t="array" ref="BN144">IF($A144="","",IFERROR(INDEX(CS!$B$1:$B$15026,MATCH($A144,CS!$B:$B,0)+COLUMN(H$1),1),""))</f>
        <v/>
      </c>
      <c r="BO144" s="37" t="str">
        <f t="array" ref="BO144">IF($A144="","",IFERROR(INDEX(CS!$B$1:$B$15026,MATCH($A144,CS!$B:$B,0)+COLUMN(I$1),1),""))</f>
        <v>狙い</v>
      </c>
      <c r="BP144" s="37" t="str">
        <f t="array" ref="BP144">IF($A144="","",IFERROR(INDEX(CS!$B$1:$B$15026,MATCH($A144,CS!$B:$B,0)+COLUMN(J$1),1),""))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IF($A145="","",IFERROR(INDEX(CS!$B$1:$B$15026,MATCH($A145,CS!$B:$B,0)+COLUMN(A$1),1),""))</f>
        <v>奇襲</v>
      </c>
      <c r="BH145" s="37" t="str">
        <f t="array" ref="BH145">IF($A145="","",IFERROR(INDEX(CS!$B$1:$B$15026,MATCH($A145,CS!$B:$B,0)+COLUMN(B$1),1),""))</f>
        <v/>
      </c>
      <c r="BI145" s="37" t="str">
        <f t="array" ref="BI145">IF($A145="","",IFERROR(INDEX(CS!$B$1:$B$15026,MATCH($A145,CS!$B:$B,0)+COLUMN(C$1),1),""))</f>
        <v>暗殺術</v>
      </c>
      <c r="BJ145" s="37" t="str">
        <f t="array" ref="BJ145">IF($A145="","",IFERROR(INDEX(CS!$B$1:$B$15026,MATCH($A145,CS!$B:$B,0)+COLUMN(D$1),1),""))</f>
        <v/>
      </c>
      <c r="BK145" s="37" t="str">
        <f t="array" ref="BK145">IF($A145="","",IFERROR(INDEX(CS!$B$1:$B$15026,MATCH($A145,CS!$B:$B,0)+COLUMN(E$1),1),""))</f>
        <v>狙い</v>
      </c>
      <c r="BL145" s="37" t="str">
        <f t="array" ref="BL145">IF($A145="","",IFERROR(INDEX(CS!$B$1:$B$15026,MATCH($A145,CS!$B:$B,0)+COLUMN(F$1),1),""))</f>
        <v/>
      </c>
      <c r="BM145" s="37" t="str">
        <f t="array" ref="BM145">IF($A145="","",IFERROR(INDEX(CS!$B$1:$B$15026,MATCH($A145,CS!$B:$B,0)+COLUMN(G$1),1),""))</f>
        <v>急所撃</v>
      </c>
      <c r="BN145" s="37" t="str">
        <f t="array" ref="BN145">IF($A145="","",IFERROR(INDEX(CS!$B$1:$B$15026,MATCH($A145,CS!$B:$B,0)+COLUMN(H$1),1),""))</f>
        <v/>
      </c>
      <c r="BO145" s="37" t="str">
        <f t="array" ref="BO145">IF($A145="","",IFERROR(INDEX(CS!$B$1:$B$15026,MATCH($A145,CS!$B:$B,0)+COLUMN(I$1),1),""))</f>
        <v>見極</v>
      </c>
      <c r="BP145" s="37" t="str">
        <f t="array" ref="BP145">IF($A145="","",IFERROR(INDEX(CS!$B$1:$B$15026,MATCH($A145,CS!$B:$B,0)+COLUMN(J$1),1),""))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IF($A146="","",IFERROR(INDEX(CS!$B$1:$B$15026,MATCH($A146,CS!$B:$B,0)+COLUMN(A$1),1),""))</f>
        <v>狙い</v>
      </c>
      <c r="BH146" s="37" t="str">
        <f t="array" ref="BH146">IF($A146="","",IFERROR(INDEX(CS!$B$1:$B$15026,MATCH($A146,CS!$B:$B,0)+COLUMN(B$1),1),""))</f>
        <v/>
      </c>
      <c r="BI146" s="37" t="str">
        <f t="array" ref="BI146">IF($A146="","",IFERROR(INDEX(CS!$B$1:$B$15026,MATCH($A146,CS!$B:$B,0)+COLUMN(C$1),1),""))</f>
        <v>野生感覚</v>
      </c>
      <c r="BJ146" s="37" t="str">
        <f t="array" ref="BJ146">IF($A146="","",IFERROR(INDEX(CS!$B$1:$B$15026,MATCH($A146,CS!$B:$B,0)+COLUMN(D$1),1),""))</f>
        <v/>
      </c>
      <c r="BK146" s="37" t="str">
        <f t="array" ref="BK146">IF($A146="","",IFERROR(INDEX(CS!$B$1:$B$15026,MATCH($A146,CS!$B:$B,0)+COLUMN(E$1),1),""))</f>
        <v>痛撃</v>
      </c>
      <c r="BL146" s="37" t="str">
        <f t="array" ref="BL146">IF($A146="","",IFERROR(INDEX(CS!$B$1:$B$15026,MATCH($A146,CS!$B:$B,0)+COLUMN(F$1),1),""))</f>
        <v/>
      </c>
      <c r="BM146" s="37" t="str">
        <f t="array" ref="BM146">IF($A146="","",IFERROR(INDEX(CS!$B$1:$B$15026,MATCH($A146,CS!$B:$B,0)+COLUMN(G$1),1),""))</f>
        <v>罠師</v>
      </c>
      <c r="BN146" s="37" t="str">
        <f t="array" ref="BN146">IF($A146="","",IFERROR(INDEX(CS!$B$1:$B$15026,MATCH($A146,CS!$B:$B,0)+COLUMN(H$1),1),""))</f>
        <v/>
      </c>
      <c r="BO146" s="37" t="str">
        <f t="array" ref="BO146">IF($A146="","",IFERROR(INDEX(CS!$B$1:$B$15026,MATCH($A146,CS!$B:$B,0)+COLUMN(I$1),1),""))</f>
        <v>空撃</v>
      </c>
      <c r="BP146" s="37" t="str">
        <f t="array" ref="BP146">IF($A146="","",IFERROR(INDEX(CS!$B$1:$B$15026,MATCH($A146,CS!$B:$B,0)+COLUMN(J$1),1),""))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IF($A147="","",IFERROR(INDEX(CS!$B$1:$B$15026,MATCH($A147,CS!$B:$B,0)+COLUMN(A$1),1),""))</f>
        <v>狙い</v>
      </c>
      <c r="BH147" s="37" t="str">
        <f t="array" ref="BH147">IF($A147="","",IFERROR(INDEX(CS!$B$1:$B$15026,MATCH($A147,CS!$B:$B,0)+COLUMN(B$1),1),""))</f>
        <v/>
      </c>
      <c r="BI147" s="37" t="str">
        <f t="array" ref="BI147">IF($A147="","",IFERROR(INDEX(CS!$B$1:$B$15026,MATCH($A147,CS!$B:$B,0)+COLUMN(C$1),1),""))</f>
        <v>追跡術</v>
      </c>
      <c r="BJ147" s="37" t="str">
        <f t="array" ref="BJ147">IF($A147="","",IFERROR(INDEX(CS!$B$1:$B$15026,MATCH($A147,CS!$B:$B,0)+COLUMN(D$1),1),""))</f>
        <v/>
      </c>
      <c r="BK147" s="37" t="str">
        <f t="array" ref="BK147">IF($A147="","",IFERROR(INDEX(CS!$B$1:$B$15026,MATCH($A147,CS!$B:$B,0)+COLUMN(E$1),1),""))</f>
        <v>奇襲</v>
      </c>
      <c r="BL147" s="37" t="str">
        <f t="array" ref="BL147">IF($A147="","",IFERROR(INDEX(CS!$B$1:$B$15026,MATCH($A147,CS!$B:$B,0)+COLUMN(F$1),1),""))</f>
        <v/>
      </c>
      <c r="BM147" s="37" t="str">
        <f t="array" ref="BM147">IF($A147="","",IFERROR(INDEX(CS!$B$1:$B$15026,MATCH($A147,CS!$B:$B,0)+COLUMN(G$1),1),""))</f>
        <v>空撃</v>
      </c>
      <c r="BN147" s="37" t="str">
        <f t="array" ref="BN147">IF($A147="","",IFERROR(INDEX(CS!$B$1:$B$15026,MATCH($A147,CS!$B:$B,0)+COLUMN(H$1),1),""))</f>
        <v/>
      </c>
      <c r="BO147" s="37" t="str">
        <f t="array" ref="BO147">IF($A147="","",IFERROR(INDEX(CS!$B$1:$B$15026,MATCH($A147,CS!$B:$B,0)+COLUMN(I$1),1),""))</f>
        <v>罠師</v>
      </c>
      <c r="BP147" s="37" t="str">
        <f t="array" ref="BP147">IF($A147="","",IFERROR(INDEX(CS!$B$1:$B$15026,MATCH($A147,CS!$B:$B,0)+COLUMN(J$1),1),""))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IF($A148="","",IFERROR(INDEX(CS!$B$1:$B$15026,MATCH($A148,CS!$B:$B,0)+COLUMN(A$1),1),""))</f>
        <v>狙い</v>
      </c>
      <c r="BH148" s="37" t="str">
        <f t="array" ref="BH148">IF($A148="","",IFERROR(INDEX(CS!$B$1:$B$15026,MATCH($A148,CS!$B:$B,0)+COLUMN(B$1),1),""))</f>
        <v/>
      </c>
      <c r="BI148" s="37" t="str">
        <f t="array" ref="BI148">IF($A148="","",IFERROR(INDEX(CS!$B$1:$B$15026,MATCH($A148,CS!$B:$B,0)+COLUMN(C$1),1),""))</f>
        <v>野生感覚</v>
      </c>
      <c r="BJ148" s="37" t="str">
        <f t="array" ref="BJ148">IF($A148="","",IFERROR(INDEX(CS!$B$1:$B$15026,MATCH($A148,CS!$B:$B,0)+COLUMN(D$1),1),""))</f>
        <v/>
      </c>
      <c r="BK148" s="37" t="str">
        <f t="array" ref="BK148">IF($A148="","",IFERROR(INDEX(CS!$B$1:$B$15026,MATCH($A148,CS!$B:$B,0)+COLUMN(E$1),1),""))</f>
        <v>奇襲</v>
      </c>
      <c r="BL148" s="37" t="str">
        <f t="array" ref="BL148">IF($A148="","",IFERROR(INDEX(CS!$B$1:$B$15026,MATCH($A148,CS!$B:$B,0)+COLUMN(F$1),1),""))</f>
        <v/>
      </c>
      <c r="BM148" s="37" t="str">
        <f t="array" ref="BM148">IF($A148="","",IFERROR(INDEX(CS!$B$1:$B$15026,MATCH($A148,CS!$B:$B,0)+COLUMN(G$1),1),""))</f>
        <v>空撃</v>
      </c>
      <c r="BN148" s="37" t="str">
        <f t="array" ref="BN148">IF($A148="","",IFERROR(INDEX(CS!$B$1:$B$15026,MATCH($A148,CS!$B:$B,0)+COLUMN(H$1),1),""))</f>
        <v/>
      </c>
      <c r="BO148" s="37" t="str">
        <f t="array" ref="BO148">IF($A148="","",IFERROR(INDEX(CS!$B$1:$B$15026,MATCH($A148,CS!$B:$B,0)+COLUMN(I$1),1),""))</f>
        <v>反応</v>
      </c>
      <c r="BP148" s="37" t="str">
        <f t="array" ref="BP148">IF($A148="","",IFERROR(INDEX(CS!$B$1:$B$15026,MATCH($A148,CS!$B:$B,0)+COLUMN(J$1),1),""))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IF($A149="","",IFERROR(INDEX(CS!$B$1:$B$15026,MATCH($A149,CS!$B:$B,0)+COLUMN(A$1),1),""))</f>
        <v>狙い</v>
      </c>
      <c r="BH149" s="37" t="str">
        <f t="array" ref="BH149">IF($A149="","",IFERROR(INDEX(CS!$B$1:$B$15026,MATCH($A149,CS!$B:$B,0)+COLUMN(B$1),1),""))</f>
        <v/>
      </c>
      <c r="BI149" s="37" t="str">
        <f t="array" ref="BI149">IF($A149="","",IFERROR(INDEX(CS!$B$1:$B$15026,MATCH($A149,CS!$B:$B,0)+COLUMN(C$1),1),""))</f>
        <v>見極</v>
      </c>
      <c r="BJ149" s="37" t="str">
        <f t="array" ref="BJ149">IF($A149="","",IFERROR(INDEX(CS!$B$1:$B$15026,MATCH($A149,CS!$B:$B,0)+COLUMN(D$1),1),""))</f>
        <v/>
      </c>
      <c r="BK149" s="37" t="str">
        <f t="array" ref="BK149">IF($A149="","",IFERROR(INDEX(CS!$B$1:$B$15026,MATCH($A149,CS!$B:$B,0)+COLUMN(E$1),1),""))</f>
        <v>神眼</v>
      </c>
      <c r="BL149" s="37" t="str">
        <f t="array" ref="BL149">IF($A149="","",IFERROR(INDEX(CS!$B$1:$B$15026,MATCH($A149,CS!$B:$B,0)+COLUMN(F$1),1),""))</f>
        <v/>
      </c>
      <c r="BM149" s="37" t="str">
        <f t="array" ref="BM149">IF($A149="","",IFERROR(INDEX(CS!$B$1:$B$15026,MATCH($A149,CS!$B:$B,0)+COLUMN(G$1),1),""))</f>
        <v>空撃</v>
      </c>
      <c r="BN149" s="37" t="str">
        <f t="array" ref="BN149">IF($A149="","",IFERROR(INDEX(CS!$B$1:$B$15026,MATCH($A149,CS!$B:$B,0)+COLUMN(H$1),1),""))</f>
        <v/>
      </c>
      <c r="BO149" s="37" t="str">
        <f t="array" ref="BO149">IF($A149="","",IFERROR(INDEX(CS!$B$1:$B$15026,MATCH($A149,CS!$B:$B,0)+COLUMN(I$1),1),""))</f>
        <v>野生感覚</v>
      </c>
      <c r="BP149" s="37" t="str">
        <f t="array" ref="BP149">IF($A149="","",IFERROR(INDEX(CS!$B$1:$B$15026,MATCH($A149,CS!$B:$B,0)+COLUMN(J$1),1),""))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IF($A150="","",IFERROR(INDEX(CS!$B$1:$B$15026,MATCH($A150,CS!$B:$B,0)+COLUMN(A$1),1),""))</f>
        <v>潜伏</v>
      </c>
      <c r="BH150" s="37" t="str">
        <f t="array" ref="BH150">IF($A150="","",IFERROR(INDEX(CS!$B$1:$B$15026,MATCH($A150,CS!$B:$B,0)+COLUMN(B$1),1),""))</f>
        <v/>
      </c>
      <c r="BI150" s="37" t="str">
        <f t="array" ref="BI150">IF($A150="","",IFERROR(INDEX(CS!$B$1:$B$15026,MATCH($A150,CS!$B:$B,0)+COLUMN(C$1),1),""))</f>
        <v>執念の追跡</v>
      </c>
      <c r="BJ150" s="37" t="str">
        <f t="array" ref="BJ150">IF($A150="","",IFERROR(INDEX(CS!$B$1:$B$15026,MATCH($A150,CS!$B:$B,0)+COLUMN(D$1),1),""))</f>
        <v/>
      </c>
      <c r="BK150" s="37" t="str">
        <f t="array" ref="BK150">IF($A150="","",IFERROR(INDEX(CS!$B$1:$B$15026,MATCH($A150,CS!$B:$B,0)+COLUMN(E$1),1),""))</f>
        <v>奇襲</v>
      </c>
      <c r="BL150" s="37" t="str">
        <f t="array" ref="BL150">IF($A150="","",IFERROR(INDEX(CS!$B$1:$B$15026,MATCH($A150,CS!$B:$B,0)+COLUMN(F$1),1),""))</f>
        <v/>
      </c>
      <c r="BM150" s="37" t="str">
        <f t="array" ref="BM150">IF($A150="","",IFERROR(INDEX(CS!$B$1:$B$15026,MATCH($A150,CS!$B:$B,0)+COLUMN(G$1),1),""))</f>
        <v>痛撃</v>
      </c>
      <c r="BN150" s="37" t="str">
        <f t="array" ref="BN150">IF($A150="","",IFERROR(INDEX(CS!$B$1:$B$15026,MATCH($A150,CS!$B:$B,0)+COLUMN(H$1),1),""))</f>
        <v/>
      </c>
      <c r="BO150" s="37" t="str">
        <f t="array" ref="BO150">IF($A150="","",IFERROR(INDEX(CS!$B$1:$B$15026,MATCH($A150,CS!$B:$B,0)+COLUMN(I$1),1),""))</f>
        <v>狙い</v>
      </c>
      <c r="BP150" s="37" t="str">
        <f t="array" ref="BP150">IF($A150="","",IFERROR(INDEX(CS!$B$1:$B$15026,MATCH($A150,CS!$B:$B,0)+COLUMN(J$1),1),""))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IF($A151="","",IFERROR(INDEX(CS!$B$1:$B$15026,MATCH($A151,CS!$B:$B,0)+COLUMN(A$1),1),""))</f>
        <v>急所撃</v>
      </c>
      <c r="BH151" s="37" t="str">
        <f t="array" ref="BH151">IF($A151="","",IFERROR(INDEX(CS!$B$1:$B$15026,MATCH($A151,CS!$B:$B,0)+COLUMN(B$1),1),""))</f>
        <v/>
      </c>
      <c r="BI151" s="37" t="str">
        <f t="array" ref="BI151">IF($A151="","",IFERROR(INDEX(CS!$B$1:$B$15026,MATCH($A151,CS!$B:$B,0)+COLUMN(C$1),1),""))</f>
        <v>追跡者</v>
      </c>
      <c r="BJ151" s="37" t="str">
        <f t="array" ref="BJ151">IF($A151="","",IFERROR(INDEX(CS!$B$1:$B$15026,MATCH($A151,CS!$B:$B,0)+COLUMN(D$1),1),""))</f>
        <v/>
      </c>
      <c r="BK151" s="37" t="str">
        <f t="array" ref="BK151">IF($A151="","",IFERROR(INDEX(CS!$B$1:$B$15026,MATCH($A151,CS!$B:$B,0)+COLUMN(E$1),1),""))</f>
        <v>奇襲</v>
      </c>
      <c r="BL151" s="37" t="str">
        <f t="array" ref="BL151">IF($A151="","",IFERROR(INDEX(CS!$B$1:$B$15026,MATCH($A151,CS!$B:$B,0)+COLUMN(F$1),1),""))</f>
        <v/>
      </c>
      <c r="BM151" s="37" t="str">
        <f t="array" ref="BM151">IF($A151="","",IFERROR(INDEX(CS!$B$1:$B$15026,MATCH($A151,CS!$B:$B,0)+COLUMN(G$1),1),""))</f>
        <v>痛撃</v>
      </c>
      <c r="BN151" s="37" t="str">
        <f t="array" ref="BN151">IF($A151="","",IFERROR(INDEX(CS!$B$1:$B$15026,MATCH($A151,CS!$B:$B,0)+COLUMN(H$1),1),""))</f>
        <v/>
      </c>
      <c r="BO151" s="37" t="str">
        <f t="array" ref="BO151">IF($A151="","",IFERROR(INDEX(CS!$B$1:$B$15026,MATCH($A151,CS!$B:$B,0)+COLUMN(I$1),1),""))</f>
        <v>狙い</v>
      </c>
      <c r="BP151" s="37" t="str">
        <f t="array" ref="BP151">IF($A151="","",IFERROR(INDEX(CS!$B$1:$B$15026,MATCH($A151,CS!$B:$B,0)+COLUMN(J$1),1),""))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INDEX(CS!$B$1:$B$15026,MATCH($A152,CS!$B:$B,0)+COLUMN(A$1),1))</f>
        <v/>
      </c>
      <c r="BH152" s="37" t="str">
        <f t="array" ref="BH152">IF($A152="","", INDEX(CS!$B$1:$B$15026,MATCH($A152,CS!$B:$B,0)+COLUMN(B$1),1))</f>
        <v/>
      </c>
      <c r="BI152" s="37" t="str">
        <f t="array" ref="BI152">IF($A152="","", INDEX(CS!$B$1:$B$15026,MATCH($A152,CS!$B:$B,0)+COLUMN(C$1),1))</f>
        <v/>
      </c>
      <c r="BJ152" s="37" t="str">
        <f t="array" ref="BJ152">IF($A152="","", INDEX(CS!$B$1:$B$15026,MATCH($A152,CS!$B:$B,0)+COLUMN(D$1),1))</f>
        <v/>
      </c>
      <c r="BK152" s="37" t="str">
        <f t="array" ref="BK152">IF($A152="","", INDEX(CS!$B$1:$B$15026,MATCH($A152,CS!$B:$B,0)+COLUMN(E$1),1))</f>
        <v/>
      </c>
      <c r="BL152" s="37" t="str">
        <f t="array" ref="BL152">IF($A152="","", INDEX(CS!$B$1:$B$15026,MATCH($A152,CS!$B:$B,0)+COLUMN(F$1),1))</f>
        <v/>
      </c>
      <c r="BM152" s="37" t="str">
        <f t="array" ref="BM152">IF($A152="","", INDEX(CS!$B$1:$B$15026,MATCH($A152,CS!$B:$B,0)+COLUMN(G$1),1))</f>
        <v/>
      </c>
      <c r="BN152" s="37" t="str">
        <f t="array" ref="BN152">IF($A152="","", INDEX(CS!$B$1:$B$15026,MATCH($A152,CS!$B:$B,0)+COLUMN(H$1),1))</f>
        <v/>
      </c>
      <c r="BO152" s="37" t="str">
        <f t="array" ref="BO152">IF($A152="","", INDEX(CS!$B$1:$B$15026,MATCH($A152,CS!$B:$B,0)+COLUMN(I$1),1))</f>
        <v/>
      </c>
      <c r="BP152" s="37" t="str">
        <f t="array" ref="BP152">IF($A152="","", INDEX(CS!$B$1:$B$15026,MATCH($A152,CS!$B:$B,0)+COLUMN(J$1),1))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INDEX(CS!$B$1:$B$15026,MATCH($A153,CS!$B:$B,0)+COLUMN(A$1),1))</f>
        <v/>
      </c>
      <c r="BH153" s="37" t="str">
        <f t="array" ref="BH153">IF($A153="","", INDEX(CS!$B$1:$B$15026,MATCH($A153,CS!$B:$B,0)+COLUMN(B$1),1))</f>
        <v/>
      </c>
      <c r="BI153" s="37" t="str">
        <f t="array" ref="BI153">IF($A153="","", INDEX(CS!$B$1:$B$15026,MATCH($A153,CS!$B:$B,0)+COLUMN(C$1),1))</f>
        <v/>
      </c>
      <c r="BJ153" s="37" t="str">
        <f t="array" ref="BJ153">IF($A153="","", INDEX(CS!$B$1:$B$15026,MATCH($A153,CS!$B:$B,0)+COLUMN(D$1),1))</f>
        <v/>
      </c>
      <c r="BK153" s="37" t="str">
        <f t="array" ref="BK153">IF($A153="","", INDEX(CS!$B$1:$B$15026,MATCH($A153,CS!$B:$B,0)+COLUMN(E$1),1))</f>
        <v/>
      </c>
      <c r="BL153" s="37" t="str">
        <f t="array" ref="BL153">IF($A153="","", INDEX(CS!$B$1:$B$15026,MATCH($A153,CS!$B:$B,0)+COLUMN(F$1),1))</f>
        <v/>
      </c>
      <c r="BM153" s="37" t="str">
        <f t="array" ref="BM153">IF($A153="","", INDEX(CS!$B$1:$B$15026,MATCH($A153,CS!$B:$B,0)+COLUMN(G$1),1))</f>
        <v/>
      </c>
      <c r="BN153" s="37" t="str">
        <f t="array" ref="BN153">IF($A153="","", INDEX(CS!$B$1:$B$15026,MATCH($A153,CS!$B:$B,0)+COLUMN(H$1),1))</f>
        <v/>
      </c>
      <c r="BO153" s="37" t="str">
        <f t="array" ref="BO153">IF($A153="","", INDEX(CS!$B$1:$B$15026,MATCH($A153,CS!$B:$B,0)+COLUMN(I$1),1))</f>
        <v/>
      </c>
      <c r="BP153" s="37" t="str">
        <f t="array" ref="BP153">IF($A153="","", INDEX(CS!$B$1:$B$15026,MATCH($A153,CS!$B:$B,0)+COLUMN(J$1),1))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IF($A154="","",IFERROR(INDEX(CS!$B$1:$B$15026,MATCH($A154,CS!$B:$B,0)+COLUMN(A$1),1),""))</f>
        <v>闘気撃</v>
      </c>
      <c r="BH154" s="37" t="str">
        <f t="array" ref="BH154">IF($A154="","",IFERROR(INDEX(CS!$B$1:$B$15026,MATCH($A154,CS!$B:$B,0)+COLUMN(B$1),1),""))</f>
        <v>素手の扱い</v>
      </c>
      <c r="BI154" s="37" t="str">
        <f t="array" ref="BI154">IF($A154="","",IFERROR(INDEX(CS!$B$1:$B$15026,MATCH($A154,CS!$B:$B,0)+COLUMN(C$1),1),""))</f>
        <v>闘気速</v>
      </c>
      <c r="BJ154" s="37" t="str">
        <f t="array" ref="BJ154">IF($A154="","",IFERROR(INDEX(CS!$B$1:$B$15026,MATCH($A154,CS!$B:$B,0)+COLUMN(D$1),1),""))</f>
        <v>雄叫び</v>
      </c>
      <c r="BK154" s="37" t="str">
        <f t="array" ref="BK154">IF($A154="","",IFERROR(INDEX(CS!$B$1:$B$15026,MATCH($A154,CS!$B:$B,0)+COLUMN(E$1),1),""))</f>
        <v>反応</v>
      </c>
      <c r="BL154" s="37" t="str">
        <f t="array" ref="BL154">IF($A154="","",IFERROR(INDEX(CS!$B$1:$B$15026,MATCH($A154,CS!$B:$B,0)+COLUMN(F$1),1),""))</f>
        <v/>
      </c>
      <c r="BM154" s="37" t="str">
        <f t="array" ref="BM154">IF($A154="","",IFERROR(INDEX(CS!$B$1:$B$15026,MATCH($A154,CS!$B:$B,0)+COLUMN(G$1),1),""))</f>
        <v>一閃撃</v>
      </c>
      <c r="BN154" s="37" t="str">
        <f t="array" ref="BN154">IF($A154="","",IFERROR(INDEX(CS!$B$1:$B$15026,MATCH($A154,CS!$B:$B,0)+COLUMN(H$1),1),""))</f>
        <v/>
      </c>
      <c r="BO154" s="37" t="str">
        <f t="array" ref="BO154">IF($A154="","",IFERROR(INDEX(CS!$B$1:$B$15026,MATCH($A154,CS!$B:$B,0)+COLUMN(I$1),1),""))</f>
        <v/>
      </c>
      <c r="BP154" s="37" t="str">
        <f t="array" ref="BP154">IF($A154="","",IFERROR(INDEX(CS!$B$1:$B$15026,MATCH($A154,CS!$B:$B,0)+COLUMN(J$1),1),""))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IF($A155="","",IFERROR(INDEX(CS!$B$1:$B$15026,MATCH($A155,CS!$B:$B,0)+COLUMN(A$1),1),""))</f>
        <v>連打</v>
      </c>
      <c r="BH155" s="37" t="str">
        <f t="array" ref="BH155">IF($A155="","",IFERROR(INDEX(CS!$B$1:$B$15026,MATCH($A155,CS!$B:$B,0)+COLUMN(B$1),1),""))</f>
        <v/>
      </c>
      <c r="BI155" s="37" t="str">
        <f t="array" ref="BI155">IF($A155="","",IFERROR(INDEX(CS!$B$1:$B$15026,MATCH($A155,CS!$B:$B,0)+COLUMN(C$1),1),""))</f>
        <v>打撃姿勢</v>
      </c>
      <c r="BJ155" s="37" t="str">
        <f t="array" ref="BJ155">IF($A155="","",IFERROR(INDEX(CS!$B$1:$B$15026,MATCH($A155,CS!$B:$B,0)+COLUMN(D$1),1),""))</f>
        <v/>
      </c>
      <c r="BK155" s="37" t="str">
        <f t="array" ref="BK155">IF($A155="","",IFERROR(INDEX(CS!$B$1:$B$15026,MATCH($A155,CS!$B:$B,0)+COLUMN(E$1),1),""))</f>
        <v>強打</v>
      </c>
      <c r="BL155" s="37" t="str">
        <f t="array" ref="BL155">IF($A155="","",IFERROR(INDEX(CS!$B$1:$B$15026,MATCH($A155,CS!$B:$B,0)+COLUMN(F$1),1),""))</f>
        <v/>
      </c>
      <c r="BM155" s="37" t="str">
        <f t="array" ref="BM155">IF($A155="","",IFERROR(INDEX(CS!$B$1:$B$15026,MATCH($A155,CS!$B:$B,0)+COLUMN(G$1),1),""))</f>
        <v>踏み込み</v>
      </c>
      <c r="BN155" s="37" t="str">
        <f t="array" ref="BN155">IF($A155="","",IFERROR(INDEX(CS!$B$1:$B$15026,MATCH($A155,CS!$B:$B,0)+COLUMN(H$1),1),""))</f>
        <v/>
      </c>
      <c r="BO155" s="37" t="str">
        <f t="array" ref="BO155">IF($A155="","",IFERROR(INDEX(CS!$B$1:$B$15026,MATCH($A155,CS!$B:$B,0)+COLUMN(I$1),1),""))</f>
        <v>拳の極み</v>
      </c>
      <c r="BP155" s="37" t="str">
        <f t="array" ref="BP155">IF($A155="","",IFERROR(INDEX(CS!$B$1:$B$15026,MATCH($A155,CS!$B:$B,0)+COLUMN(J$1),1),""))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IF($A156="","",IFERROR(INDEX(CS!$B$1:$B$15026,MATCH($A156,CS!$B:$B,0)+COLUMN(A$1),1),""))</f>
        <v>掌打</v>
      </c>
      <c r="BH156" s="37" t="str">
        <f t="array" ref="BH156">IF($A156="","",IFERROR(INDEX(CS!$B$1:$B$15026,MATCH($A156,CS!$B:$B,0)+COLUMN(B$1),1),""))</f>
        <v/>
      </c>
      <c r="BI156" s="37" t="str">
        <f t="array" ref="BI156">IF($A156="","",IFERROR(INDEX(CS!$B$1:$B$15026,MATCH($A156,CS!$B:$B,0)+COLUMN(C$1),1),""))</f>
        <v>武術の構え</v>
      </c>
      <c r="BJ156" s="37" t="str">
        <f t="array" ref="BJ156">IF($A156="","",IFERROR(INDEX(CS!$B$1:$B$15026,MATCH($A156,CS!$B:$B,0)+COLUMN(D$1),1),""))</f>
        <v/>
      </c>
      <c r="BK156" s="37" t="str">
        <f t="array" ref="BK156">IF($A156="","",IFERROR(INDEX(CS!$B$1:$B$15026,MATCH($A156,CS!$B:$B,0)+COLUMN(E$1),1),""))</f>
        <v>崩拳</v>
      </c>
      <c r="BL156" s="37" t="str">
        <f t="array" ref="BL156">IF($A156="","",IFERROR(INDEX(CS!$B$1:$B$15026,MATCH($A156,CS!$B:$B,0)+COLUMN(F$1),1),""))</f>
        <v/>
      </c>
      <c r="BM156" s="37" t="str">
        <f t="array" ref="BM156">IF($A156="","",IFERROR(INDEX(CS!$B$1:$B$15026,MATCH($A156,CS!$B:$B,0)+COLUMN(G$1),1),""))</f>
        <v>回し蹴り</v>
      </c>
      <c r="BN156" s="37" t="str">
        <f t="array" ref="BN156">IF($A156="","",IFERROR(INDEX(CS!$B$1:$B$15026,MATCH($A156,CS!$B:$B,0)+COLUMN(H$1),1),""))</f>
        <v/>
      </c>
      <c r="BO156" s="37" t="str">
        <f t="array" ref="BO156">IF($A156="","",IFERROR(INDEX(CS!$B$1:$B$15026,MATCH($A156,CS!$B:$B,0)+COLUMN(I$1),1),""))</f>
        <v>武術の心得</v>
      </c>
      <c r="BP156" s="37" t="str">
        <f t="array" ref="BP156">IF($A156="","",IFERROR(INDEX(CS!$B$1:$B$15026,MATCH($A156,CS!$B:$B,0)+COLUMN(J$1),1),""))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IF($A157="","",IFERROR(INDEX(CS!$B$1:$B$15026,MATCH($A157,CS!$B:$B,0)+COLUMN(A$1),1),""))</f>
        <v>崩拳</v>
      </c>
      <c r="BH157" s="37" t="str">
        <f t="array" ref="BH157">IF($A157="","",IFERROR(INDEX(CS!$B$1:$B$15026,MATCH($A157,CS!$B:$B,0)+COLUMN(B$1),1),""))</f>
        <v/>
      </c>
      <c r="BI157" s="37" t="str">
        <f t="array" ref="BI157">IF($A157="","",IFERROR(INDEX(CS!$B$1:$B$15026,MATCH($A157,CS!$B:$B,0)+COLUMN(C$1),1),""))</f>
        <v>達人の構え</v>
      </c>
      <c r="BJ157" s="37" t="str">
        <f t="array" ref="BJ157">IF($A157="","",IFERROR(INDEX(CS!$B$1:$B$15026,MATCH($A157,CS!$B:$B,0)+COLUMN(D$1),1),""))</f>
        <v/>
      </c>
      <c r="BK157" s="37" t="str">
        <f t="array" ref="BK157">IF($A157="","",IFERROR(INDEX(CS!$B$1:$B$15026,MATCH($A157,CS!$B:$B,0)+COLUMN(E$1),1),""))</f>
        <v>連環撃</v>
      </c>
      <c r="BL157" s="37" t="str">
        <f t="array" ref="BL157">IF($A157="","",IFERROR(INDEX(CS!$B$1:$B$15026,MATCH($A157,CS!$B:$B,0)+COLUMN(F$1),1),""))</f>
        <v/>
      </c>
      <c r="BM157" s="37" t="str">
        <f t="array" ref="BM157">IF($A157="","",IFERROR(INDEX(CS!$B$1:$B$15026,MATCH($A157,CS!$B:$B,0)+COLUMN(G$1),1),""))</f>
        <v>縮地</v>
      </c>
      <c r="BN157" s="37" t="str">
        <f t="array" ref="BN157">IF($A157="","",IFERROR(INDEX(CS!$B$1:$B$15026,MATCH($A157,CS!$B:$B,0)+COLUMN(H$1),1),""))</f>
        <v/>
      </c>
      <c r="BO157" s="37" t="str">
        <f t="array" ref="BO157">IF($A157="","",IFERROR(INDEX(CS!$B$1:$B$15026,MATCH($A157,CS!$B:$B,0)+COLUMN(I$1),1),""))</f>
        <v>見極</v>
      </c>
      <c r="BP157" s="37" t="str">
        <f t="array" ref="BP157">IF($A157="","",IFERROR(INDEX(CS!$B$1:$B$15026,MATCH($A157,CS!$B:$B,0)+COLUMN(J$1),1),""))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IF($A158="","",IFERROR(INDEX(CS!$B$1:$B$15026,MATCH($A158,CS!$B:$B,0)+COLUMN(A$1),1),""))</f>
        <v>無拍子</v>
      </c>
      <c r="BH158" s="37" t="str">
        <f t="array" ref="BH158">IF($A158="","",IFERROR(INDEX(CS!$B$1:$B$15026,MATCH($A158,CS!$B:$B,0)+COLUMN(B$1),1),""))</f>
        <v/>
      </c>
      <c r="BI158" s="37" t="str">
        <f t="array" ref="BI158">IF($A158="","",IFERROR(INDEX(CS!$B$1:$B$15026,MATCH($A158,CS!$B:$B,0)+COLUMN(C$1),1),""))</f>
        <v>達人の構え</v>
      </c>
      <c r="BJ158" s="37" t="str">
        <f t="array" ref="BJ158">IF($A158="","",IFERROR(INDEX(CS!$B$1:$B$15026,MATCH($A158,CS!$B:$B,0)+COLUMN(D$1),1),""))</f>
        <v/>
      </c>
      <c r="BK158" s="37" t="str">
        <f t="array" ref="BK158">IF($A158="","",IFERROR(INDEX(CS!$B$1:$B$15026,MATCH($A158,CS!$B:$B,0)+COLUMN(E$1),1),""))</f>
        <v>縮地・空</v>
      </c>
      <c r="BL158" s="37" t="str">
        <f t="array" ref="BL158">IF($A158="","",IFERROR(INDEX(CS!$B$1:$B$15026,MATCH($A158,CS!$B:$B,0)+COLUMN(F$1),1),""))</f>
        <v/>
      </c>
      <c r="BM158" s="37" t="str">
        <f t="array" ref="BM158">IF($A158="","",IFERROR(INDEX(CS!$B$1:$B$15026,MATCH($A158,CS!$B:$B,0)+COLUMN(G$1),1),""))</f>
        <v>神眼</v>
      </c>
      <c r="BN158" s="37" t="str">
        <f t="array" ref="BN158">IF($A158="","",IFERROR(INDEX(CS!$B$1:$B$15026,MATCH($A158,CS!$B:$B,0)+COLUMN(H$1),1),""))</f>
        <v/>
      </c>
      <c r="BO158" s="37" t="str">
        <f t="array" ref="BO158">IF($A158="","",IFERROR(INDEX(CS!$B$1:$B$15026,MATCH($A158,CS!$B:$B,0)+COLUMN(I$1),1),""))</f>
        <v>見極</v>
      </c>
      <c r="BP158" s="37" t="str">
        <f t="array" ref="BP158">IF($A158="","",IFERROR(INDEX(CS!$B$1:$B$15026,MATCH($A158,CS!$B:$B,0)+COLUMN(J$1),1),""))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IF($A159="","",IFERROR(INDEX(CS!$B$1:$B$15026,MATCH($A159,CS!$B:$B,0)+COLUMN(A$1),1),""))</f>
        <v>潜伏</v>
      </c>
      <c r="BH159" s="37" t="str">
        <f t="array" ref="BH159">IF($A159="","",IFERROR(INDEX(CS!$B$1:$B$15026,MATCH($A159,CS!$B:$B,0)+COLUMN(B$1),1),""))</f>
        <v/>
      </c>
      <c r="BI159" s="37" t="str">
        <f t="array" ref="BI159">IF($A159="","",IFERROR(INDEX(CS!$B$1:$B$15026,MATCH($A159,CS!$B:$B,0)+COLUMN(C$1),1),""))</f>
        <v>奇襲</v>
      </c>
      <c r="BJ159" s="37" t="str">
        <f t="array" ref="BJ159">IF($A159="","",IFERROR(INDEX(CS!$B$1:$B$15026,MATCH($A159,CS!$B:$B,0)+COLUMN(D$1),1),""))</f>
        <v/>
      </c>
      <c r="BK159" s="37" t="str">
        <f t="array" ref="BK159">IF($A159="","",IFERROR(INDEX(CS!$B$1:$B$15026,MATCH($A159,CS!$B:$B,0)+COLUMN(E$1),1),""))</f>
        <v>縮地</v>
      </c>
      <c r="BL159" s="37" t="str">
        <f t="array" ref="BL159">IF($A159="","",IFERROR(INDEX(CS!$B$1:$B$15026,MATCH($A159,CS!$B:$B,0)+COLUMN(F$1),1),""))</f>
        <v/>
      </c>
      <c r="BM159" s="37" t="str">
        <f t="array" ref="BM159">IF($A159="","",IFERROR(INDEX(CS!$B$1:$B$15026,MATCH($A159,CS!$B:$B,0)+COLUMN(G$1),1),""))</f>
        <v>手裏剣</v>
      </c>
      <c r="BN159" s="37" t="str">
        <f t="array" ref="BN159">IF($A159="","",IFERROR(INDEX(CS!$B$1:$B$15026,MATCH($A159,CS!$B:$B,0)+COLUMN(H$1),1),""))</f>
        <v/>
      </c>
      <c r="BO159" s="37" t="str">
        <f t="array" ref="BO159">IF($A159="","",IFERROR(INDEX(CS!$B$1:$B$15026,MATCH($A159,CS!$B:$B,0)+COLUMN(I$1),1),""))</f>
        <v>反応</v>
      </c>
      <c r="BP159" s="37" t="str">
        <f t="array" ref="BP159">IF($A159="","",IFERROR(INDEX(CS!$B$1:$B$15026,MATCH($A159,CS!$B:$B,0)+COLUMN(J$1),1),""))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IF($A160="","",IFERROR(INDEX(CS!$B$1:$B$15026,MATCH($A160,CS!$B:$B,0)+COLUMN(A$1),1),""))</f>
        <v>潜伏</v>
      </c>
      <c r="BH160" s="37" t="str">
        <f t="array" ref="BH160">IF($A160="","",IFERROR(INDEX(CS!$B$1:$B$15026,MATCH($A160,CS!$B:$B,0)+COLUMN(B$1),1),""))</f>
        <v/>
      </c>
      <c r="BI160" s="37" t="str">
        <f t="array" ref="BI160">IF($A160="","",IFERROR(INDEX(CS!$B$1:$B$15026,MATCH($A160,CS!$B:$B,0)+COLUMN(C$1),1),""))</f>
        <v>手裏剣</v>
      </c>
      <c r="BJ160" s="37" t="str">
        <f t="array" ref="BJ160">IF($A160="","",IFERROR(INDEX(CS!$B$1:$B$15026,MATCH($A160,CS!$B:$B,0)+COLUMN(D$1),1),""))</f>
        <v/>
      </c>
      <c r="BK160" s="37" t="str">
        <f t="array" ref="BK160">IF($A160="","",IFERROR(INDEX(CS!$B$1:$B$15026,MATCH($A160,CS!$B:$B,0)+COLUMN(E$1),1),""))</f>
        <v>影潜り</v>
      </c>
      <c r="BL160" s="37" t="str">
        <f t="array" ref="BL160">IF($A160="","",IFERROR(INDEX(CS!$B$1:$B$15026,MATCH($A160,CS!$B:$B,0)+COLUMN(F$1),1),""))</f>
        <v/>
      </c>
      <c r="BM160" s="37" t="str">
        <f t="array" ref="BM160">IF($A160="","",IFERROR(INDEX(CS!$B$1:$B$15026,MATCH($A160,CS!$B:$B,0)+COLUMN(G$1),1),""))</f>
        <v>神眼</v>
      </c>
      <c r="BN160" s="37" t="str">
        <f t="array" ref="BN160">IF($A160="","",IFERROR(INDEX(CS!$B$1:$B$15026,MATCH($A160,CS!$B:$B,0)+COLUMN(H$1),1),""))</f>
        <v/>
      </c>
      <c r="BO160" s="37" t="str">
        <f t="array" ref="BO160">IF($A160="","",IFERROR(INDEX(CS!$B$1:$B$15026,MATCH($A160,CS!$B:$B,0)+COLUMN(I$1),1),""))</f>
        <v>狡猾</v>
      </c>
      <c r="BP160" s="37" t="str">
        <f t="array" ref="BP160">IF($A160="","",IFERROR(INDEX(CS!$B$1:$B$15026,MATCH($A160,CS!$B:$B,0)+COLUMN(J$1),1),""))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IF($A161="","",IFERROR(INDEX(CS!$B$1:$B$15026,MATCH($A161,CS!$B:$B,0)+COLUMN(A$1),1),""))</f>
        <v>炎の拳</v>
      </c>
      <c r="BH161" s="37" t="str">
        <f t="array" ref="BH161">IF($A161="","",IFERROR(INDEX(CS!$B$1:$B$15026,MATCH($A161,CS!$B:$B,0)+COLUMN(B$1),1),""))</f>
        <v/>
      </c>
      <c r="BI161" s="37" t="str">
        <f t="array" ref="BI161">IF($A161="","",IFERROR(INDEX(CS!$B$1:$B$15026,MATCH($A161,CS!$B:$B,0)+COLUMN(C$1),1),""))</f>
        <v>火炎</v>
      </c>
      <c r="BJ161" s="37" t="str">
        <f t="array" ref="BJ161">IF($A161="","",IFERROR(INDEX(CS!$B$1:$B$15026,MATCH($A161,CS!$B:$B,0)+COLUMN(D$1),1),""))</f>
        <v/>
      </c>
      <c r="BK161" s="37" t="str">
        <f t="array" ref="BK161">IF($A161="","",IFERROR(INDEX(CS!$B$1:$B$15026,MATCH($A161,CS!$B:$B,0)+COLUMN(E$1),1),""))</f>
        <v>炎の適用</v>
      </c>
      <c r="BL161" s="37" t="str">
        <f t="array" ref="BL161">IF($A161="","",IFERROR(INDEX(CS!$B$1:$B$15026,MATCH($A161,CS!$B:$B,0)+COLUMN(F$1),1),""))</f>
        <v/>
      </c>
      <c r="BM161" s="37" t="str">
        <f t="array" ref="BM161">IF($A161="","",IFERROR(INDEX(CS!$B$1:$B$15026,MATCH($A161,CS!$B:$B,0)+COLUMN(G$1),1),""))</f>
        <v>火球</v>
      </c>
      <c r="BN161" s="37" t="str">
        <f t="array" ref="BN161">IF($A161="","",IFERROR(INDEX(CS!$B$1:$B$15026,MATCH($A161,CS!$B:$B,0)+COLUMN(H$1),1),""))</f>
        <v/>
      </c>
      <c r="BO161" s="37" t="str">
        <f t="array" ref="BO161">IF($A161="","",IFERROR(INDEX(CS!$B$1:$B$15026,MATCH($A161,CS!$B:$B,0)+COLUMN(I$1),1),""))</f>
        <v>炎強化</v>
      </c>
      <c r="BP161" s="37" t="str">
        <f t="array" ref="BP161">IF($A161="","",IFERROR(INDEX(CS!$B$1:$B$15026,MATCH($A161,CS!$B:$B,0)+COLUMN(J$1),1),""))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IF($A162="","",IFERROR(INDEX(CS!$B$1:$B$15026,MATCH($A162,CS!$B:$B,0)+COLUMN(A$1),1),""))</f>
        <v>氷の拳</v>
      </c>
      <c r="BH162" s="37" t="str">
        <f t="array" ref="BH162">IF($A162="","",IFERROR(INDEX(CS!$B$1:$B$15026,MATCH($A162,CS!$B:$B,0)+COLUMN(B$1),1),""))</f>
        <v/>
      </c>
      <c r="BI162" s="37" t="str">
        <f t="array" ref="BI162">IF($A162="","",IFERROR(INDEX(CS!$B$1:$B$15026,MATCH($A162,CS!$B:$B,0)+COLUMN(C$1),1),""))</f>
        <v>冷気の光線</v>
      </c>
      <c r="BJ162" s="37" t="str">
        <f t="array" ref="BJ162">IF($A162="","",IFERROR(INDEX(CS!$B$1:$B$15026,MATCH($A162,CS!$B:$B,0)+COLUMN(D$1),1),""))</f>
        <v/>
      </c>
      <c r="BK162" s="37" t="str">
        <f t="array" ref="BK162">IF($A162="","",IFERROR(INDEX(CS!$B$1:$B$15026,MATCH($A162,CS!$B:$B,0)+COLUMN(E$1),1),""))</f>
        <v>氷の適用</v>
      </c>
      <c r="BL162" s="37" t="str">
        <f t="array" ref="BL162">IF($A162="","",IFERROR(INDEX(CS!$B$1:$B$15026,MATCH($A162,CS!$B:$B,0)+COLUMN(F$1),1),""))</f>
        <v/>
      </c>
      <c r="BM162" s="37" t="str">
        <f t="array" ref="BM162">IF($A162="","",IFERROR(INDEX(CS!$B$1:$B$15026,MATCH($A162,CS!$B:$B,0)+COLUMN(G$1),1),""))</f>
        <v>氷柱弾</v>
      </c>
      <c r="BN162" s="37" t="str">
        <f t="array" ref="BN162">IF($A162="","",IFERROR(INDEX(CS!$B$1:$B$15026,MATCH($A162,CS!$B:$B,0)+COLUMN(H$1),1),""))</f>
        <v/>
      </c>
      <c r="BO162" s="37" t="str">
        <f t="array" ref="BO162">IF($A162="","",IFERROR(INDEX(CS!$B$1:$B$15026,MATCH($A162,CS!$B:$B,0)+COLUMN(I$1),1),""))</f>
        <v>氷強化</v>
      </c>
      <c r="BP162" s="37" t="str">
        <f t="array" ref="BP162">IF($A162="","",IFERROR(INDEX(CS!$B$1:$B$15026,MATCH($A162,CS!$B:$B,0)+COLUMN(J$1),1),""))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IF($A163="","",IFERROR(INDEX(CS!$B$1:$B$15026,MATCH($A163,CS!$B:$B,0)+COLUMN(A$1),1),""))</f>
        <v>雷の拳</v>
      </c>
      <c r="BH163" s="37" t="str">
        <f t="array" ref="BH163">IF($A163="","",IFERROR(INDEX(CS!$B$1:$B$15026,MATCH($A163,CS!$B:$B,0)+COLUMN(B$1),1),""))</f>
        <v/>
      </c>
      <c r="BI163" s="37" t="str">
        <f t="array" ref="BI163">IF($A163="","",IFERROR(INDEX(CS!$B$1:$B$15026,MATCH($A163,CS!$B:$B,0)+COLUMN(C$1),1),""))</f>
        <v>放電</v>
      </c>
      <c r="BJ163" s="37" t="str">
        <f t="array" ref="BJ163">IF($A163="","",IFERROR(INDEX(CS!$B$1:$B$15026,MATCH($A163,CS!$B:$B,0)+COLUMN(D$1),1),""))</f>
        <v/>
      </c>
      <c r="BK163" s="37" t="str">
        <f t="array" ref="BK163">IF($A163="","",IFERROR(INDEX(CS!$B$1:$B$15026,MATCH($A163,CS!$B:$B,0)+COLUMN(E$1),1),""))</f>
        <v>雷の適用</v>
      </c>
      <c r="BL163" s="37" t="str">
        <f t="array" ref="BL163">IF($A163="","",IFERROR(INDEX(CS!$B$1:$B$15026,MATCH($A163,CS!$B:$B,0)+COLUMN(F$1),1),""))</f>
        <v/>
      </c>
      <c r="BM163" s="37" t="str">
        <f t="array" ref="BM163">IF($A163="","",IFERROR(INDEX(CS!$B$1:$B$15026,MATCH($A163,CS!$B:$B,0)+COLUMN(G$1),1),""))</f>
        <v>電弧放電</v>
      </c>
      <c r="BN163" s="37" t="str">
        <f t="array" ref="BN163">IF($A163="","",IFERROR(INDEX(CS!$B$1:$B$15026,MATCH($A163,CS!$B:$B,0)+COLUMN(H$1),1),""))</f>
        <v/>
      </c>
      <c r="BO163" s="37" t="str">
        <f t="array" ref="BO163">IF($A163="","",IFERROR(INDEX(CS!$B$1:$B$15026,MATCH($A163,CS!$B:$B,0)+COLUMN(I$1),1),""))</f>
        <v>雷強化</v>
      </c>
      <c r="BP163" s="37" t="str">
        <f t="array" ref="BP163">IF($A163="","",IFERROR(INDEX(CS!$B$1:$B$15026,MATCH($A163,CS!$B:$B,0)+COLUMN(J$1),1),""))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IF($A164="","",IFERROR(INDEX(CS!$B$1:$B$15026,MATCH($A164,CS!$B:$B,0)+COLUMN(A$1),1),""))</f>
        <v>酸の拳</v>
      </c>
      <c r="BH164" s="37" t="str">
        <f t="array" ref="BH164">IF($A164="","",IFERROR(INDEX(CS!$B$1:$B$15026,MATCH($A164,CS!$B:$B,0)+COLUMN(B$1),1),""))</f>
        <v/>
      </c>
      <c r="BI164" s="37" t="str">
        <f t="array" ref="BI164">IF($A164="","",IFERROR(INDEX(CS!$B$1:$B$15026,MATCH($A164,CS!$B:$B,0)+COLUMN(C$1),1),""))</f>
        <v>酸滴</v>
      </c>
      <c r="BJ164" s="37" t="str">
        <f t="array" ref="BJ164">IF($A164="","",IFERROR(INDEX(CS!$B$1:$B$15026,MATCH($A164,CS!$B:$B,0)+COLUMN(D$1),1),""))</f>
        <v/>
      </c>
      <c r="BK164" s="37" t="str">
        <f t="array" ref="BK164">IF($A164="","",IFERROR(INDEX(CS!$B$1:$B$15026,MATCH($A164,CS!$B:$B,0)+COLUMN(E$1),1),""))</f>
        <v>毒の適用</v>
      </c>
      <c r="BL164" s="37" t="str">
        <f t="array" ref="BL164">IF($A164="","",IFERROR(INDEX(CS!$B$1:$B$15026,MATCH($A164,CS!$B:$B,0)+COLUMN(F$1),1),""))</f>
        <v/>
      </c>
      <c r="BM164" s="37" t="str">
        <f t="array" ref="BM164">IF($A164="","",IFERROR(INDEX(CS!$B$1:$B$15026,MATCH($A164,CS!$B:$B,0)+COLUMN(G$1),1),""))</f>
        <v>酸の落流</v>
      </c>
      <c r="BN164" s="37" t="str">
        <f t="array" ref="BN164">IF($A164="","",IFERROR(INDEX(CS!$B$1:$B$15026,MATCH($A164,CS!$B:$B,0)+COLUMN(H$1),1),""))</f>
        <v/>
      </c>
      <c r="BO164" s="37" t="str">
        <f t="array" ref="BO164">IF($A164="","",IFERROR(INDEX(CS!$B$1:$B$15026,MATCH($A164,CS!$B:$B,0)+COLUMN(I$1),1),""))</f>
        <v>毒強化</v>
      </c>
      <c r="BP164" s="37" t="str">
        <f t="array" ref="BP164">IF($A164="","",IFERROR(INDEX(CS!$B$1:$B$15026,MATCH($A164,CS!$B:$B,0)+COLUMN(J$1),1),""))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IF($A165="","",IFERROR(INDEX(CS!$B$1:$B$15026,MATCH($A165,CS!$B:$B,0)+COLUMN(A$1),1),""))</f>
        <v>烈風の拳</v>
      </c>
      <c r="BH165" s="37" t="str">
        <f t="array" ref="BH165">IF($A165="","",IFERROR(INDEX(CS!$B$1:$B$15026,MATCH($A165,CS!$B:$B,0)+COLUMN(B$1),1),""))</f>
        <v/>
      </c>
      <c r="BI165" s="37" t="str">
        <f t="array" ref="BI165">IF($A165="","",IFERROR(INDEX(CS!$B$1:$B$15026,MATCH($A165,CS!$B:$B,0)+COLUMN(C$1),1),""))</f>
        <v>突風</v>
      </c>
      <c r="BJ165" s="37" t="str">
        <f t="array" ref="BJ165">IF($A165="","",IFERROR(INDEX(CS!$B$1:$B$15026,MATCH($A165,CS!$B:$B,0)+COLUMN(D$1),1),""))</f>
        <v/>
      </c>
      <c r="BK165" s="37" t="str">
        <f t="array" ref="BK165">IF($A165="","",IFERROR(INDEX(CS!$B$1:$B$15026,MATCH($A165,CS!$B:$B,0)+COLUMN(E$1),1),""))</f>
        <v>風の適用</v>
      </c>
      <c r="BL165" s="37" t="str">
        <f t="array" ref="BL165">IF($A165="","",IFERROR(INDEX(CS!$B$1:$B$15026,MATCH($A165,CS!$B:$B,0)+COLUMN(F$1),1),""))</f>
        <v/>
      </c>
      <c r="BM165" s="37" t="str">
        <f t="array" ref="BM165">IF($A165="","",IFERROR(INDEX(CS!$B$1:$B$15026,MATCH($A165,CS!$B:$B,0)+COLUMN(G$1),1),""))</f>
        <v>上昇烈風</v>
      </c>
      <c r="BN165" s="37" t="str">
        <f t="array" ref="BN165">IF($A165="","",IFERROR(INDEX(CS!$B$1:$B$15026,MATCH($A165,CS!$B:$B,0)+COLUMN(H$1),1),""))</f>
        <v/>
      </c>
      <c r="BO165" s="37" t="str">
        <f t="array" ref="BO165">IF($A165="","",IFERROR(INDEX(CS!$B$1:$B$15026,MATCH($A165,CS!$B:$B,0)+COLUMN(I$1),1),""))</f>
        <v>風強化</v>
      </c>
      <c r="BP165" s="37" t="str">
        <f t="array" ref="BP165">IF($A165="","",IFERROR(INDEX(CS!$B$1:$B$15026,MATCH($A165,CS!$B:$B,0)+COLUMN(J$1),1),""))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IF($A166="","",IFERROR(INDEX(CS!$B$1:$B$15026,MATCH($A166,CS!$B:$B,0)+COLUMN(A$1),1),""))</f>
        <v>岩の拳</v>
      </c>
      <c r="BH166" s="37" t="str">
        <f t="array" ref="BH166">IF($A166="","",IFERROR(INDEX(CS!$B$1:$B$15026,MATCH($A166,CS!$B:$B,0)+COLUMN(B$1),1),""))</f>
        <v/>
      </c>
      <c r="BI166" s="37" t="str">
        <f t="array" ref="BI166">IF($A166="","",IFERROR(INDEX(CS!$B$1:$B$15026,MATCH($A166,CS!$B:$B,0)+COLUMN(C$1),1),""))</f>
        <v>魔法の石</v>
      </c>
      <c r="BJ166" s="37" t="str">
        <f t="array" ref="BJ166">IF($A166="","",IFERROR(INDEX(CS!$B$1:$B$15026,MATCH($A166,CS!$B:$B,0)+COLUMN(D$1),1),""))</f>
        <v/>
      </c>
      <c r="BK166" s="37" t="str">
        <f t="array" ref="BK166">IF($A166="","",IFERROR(INDEX(CS!$B$1:$B$15026,MATCH($A166,CS!$B:$B,0)+COLUMN(E$1),1),""))</f>
        <v>石の適用</v>
      </c>
      <c r="BL166" s="37" t="str">
        <f t="array" ref="BL166">IF($A166="","",IFERROR(INDEX(CS!$B$1:$B$15026,MATCH($A166,CS!$B:$B,0)+COLUMN(F$1),1),""))</f>
        <v/>
      </c>
      <c r="BM166" s="37" t="str">
        <f t="array" ref="BM166">IF($A166="","",IFERROR(INDEX(CS!$B$1:$B$15026,MATCH($A166,CS!$B:$B,0)+COLUMN(G$1),1),""))</f>
        <v>水晶片</v>
      </c>
      <c r="BN166" s="37" t="str">
        <f t="array" ref="BN166">IF($A166="","",IFERROR(INDEX(CS!$B$1:$B$15026,MATCH($A166,CS!$B:$B,0)+COLUMN(H$1),1),""))</f>
        <v/>
      </c>
      <c r="BO166" s="37" t="str">
        <f t="array" ref="BO166">IF($A166="","",IFERROR(INDEX(CS!$B$1:$B$15026,MATCH($A166,CS!$B:$B,0)+COLUMN(I$1),1),""))</f>
        <v>地強化</v>
      </c>
      <c r="BP166" s="37" t="str">
        <f t="array" ref="BP166">IF($A166="","",IFERROR(INDEX(CS!$B$1:$B$15026,MATCH($A166,CS!$B:$B,0)+COLUMN(J$1),1),""))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INDEX(CS!$B$1:$B$15026,MATCH($A167,CS!$B:$B,0)+COLUMN(A$1),1))</f>
        <v/>
      </c>
      <c r="BH167" s="37" t="str">
        <f t="array" ref="BH167">IF($A167="","", INDEX(CS!$B$1:$B$15026,MATCH($A167,CS!$B:$B,0)+COLUMN(B$1),1))</f>
        <v/>
      </c>
      <c r="BI167" s="37" t="str">
        <f t="array" ref="BI167">IF($A167="","", INDEX(CS!$B$1:$B$15026,MATCH($A167,CS!$B:$B,0)+COLUMN(C$1),1))</f>
        <v/>
      </c>
      <c r="BJ167" s="37" t="str">
        <f t="array" ref="BJ167">IF($A167="","", INDEX(CS!$B$1:$B$15026,MATCH($A167,CS!$B:$B,0)+COLUMN(D$1),1))</f>
        <v/>
      </c>
      <c r="BK167" s="37" t="str">
        <f t="array" ref="BK167">IF($A167="","", INDEX(CS!$B$1:$B$15026,MATCH($A167,CS!$B:$B,0)+COLUMN(E$1),1))</f>
        <v/>
      </c>
      <c r="BL167" s="37" t="str">
        <f t="array" ref="BL167">IF($A167="","", INDEX(CS!$B$1:$B$15026,MATCH($A167,CS!$B:$B,0)+COLUMN(F$1),1))</f>
        <v/>
      </c>
      <c r="BM167" s="37" t="str">
        <f t="array" ref="BM167">IF($A167="","", INDEX(CS!$B$1:$B$15026,MATCH($A167,CS!$B:$B,0)+COLUMN(G$1),1))</f>
        <v/>
      </c>
      <c r="BN167" s="37" t="str">
        <f t="array" ref="BN167">IF($A167="","", INDEX(CS!$B$1:$B$15026,MATCH($A167,CS!$B:$B,0)+COLUMN(H$1),1))</f>
        <v/>
      </c>
      <c r="BO167" s="37" t="str">
        <f t="array" ref="BO167">IF($A167="","", INDEX(CS!$B$1:$B$15026,MATCH($A167,CS!$B:$B,0)+COLUMN(I$1),1))</f>
        <v/>
      </c>
      <c r="BP167" s="37" t="str">
        <f t="array" ref="BP167">IF($A167="","", INDEX(CS!$B$1:$B$15026,MATCH($A167,CS!$B:$B,0)+COLUMN(J$1),1))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INDEX(CS!$B$1:$B$15026,MATCH($A168,CS!$B:$B,0)+COLUMN(A$1),1))</f>
        <v/>
      </c>
      <c r="BH168" s="37" t="str">
        <f t="array" ref="BH168">IF($A168="","", INDEX(CS!$B$1:$B$15026,MATCH($A168,CS!$B:$B,0)+COLUMN(B$1),1))</f>
        <v/>
      </c>
      <c r="BI168" s="37" t="str">
        <f t="array" ref="BI168">IF($A168="","", INDEX(CS!$B$1:$B$15026,MATCH($A168,CS!$B:$B,0)+COLUMN(C$1),1))</f>
        <v/>
      </c>
      <c r="BJ168" s="37" t="str">
        <f t="array" ref="BJ168">IF($A168="","", INDEX(CS!$B$1:$B$15026,MATCH($A168,CS!$B:$B,0)+COLUMN(D$1),1))</f>
        <v/>
      </c>
      <c r="BK168" s="37" t="str">
        <f t="array" ref="BK168">IF($A168="","", INDEX(CS!$B$1:$B$15026,MATCH($A168,CS!$B:$B,0)+COLUMN(E$1),1))</f>
        <v/>
      </c>
      <c r="BL168" s="37" t="str">
        <f t="array" ref="BL168">IF($A168="","", INDEX(CS!$B$1:$B$15026,MATCH($A168,CS!$B:$B,0)+COLUMN(F$1),1))</f>
        <v/>
      </c>
      <c r="BM168" s="37" t="str">
        <f t="array" ref="BM168">IF($A168="","", INDEX(CS!$B$1:$B$15026,MATCH($A168,CS!$B:$B,0)+COLUMN(G$1),1))</f>
        <v/>
      </c>
      <c r="BN168" s="37" t="str">
        <f t="array" ref="BN168">IF($A168="","", INDEX(CS!$B$1:$B$15026,MATCH($A168,CS!$B:$B,0)+COLUMN(H$1),1))</f>
        <v/>
      </c>
      <c r="BO168" s="37" t="str">
        <f t="array" ref="BO168">IF($A168="","", INDEX(CS!$B$1:$B$15026,MATCH($A168,CS!$B:$B,0)+COLUMN(I$1),1))</f>
        <v/>
      </c>
      <c r="BP168" s="37" t="str">
        <f t="array" ref="BP168">IF($A168="","", INDEX(CS!$B$1:$B$15026,MATCH($A168,CS!$B:$B,0)+COLUMN(J$1),1))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INDEX(CS!$B$1:$B$15026,MATCH($A169,CS!$B:$B,0)+COLUMN(A$1),1))</f>
        <v>火球</v>
      </c>
      <c r="BH169" s="37" t="str">
        <f t="array" ref="BH169">IF($A169="","", INDEX(CS!$B$1:$B$15026,MATCH($A169,CS!$B:$B,0)+COLUMN(B$1),1))</f>
        <v>氷柱弾</v>
      </c>
      <c r="BI169" s="37" t="str">
        <f t="array" ref="BI169">IF($A169="","", INDEX(CS!$B$1:$B$15026,MATCH($A169,CS!$B:$B,0)+COLUMN(C$1),1))</f>
        <v>川の鞭</v>
      </c>
      <c r="BJ169" s="37" t="str">
        <f t="array" ref="BJ169">IF($A169="","", INDEX(CS!$B$1:$B$15026,MATCH($A169,CS!$B:$B,0)+COLUMN(D$1),1))</f>
        <v>電弧放電</v>
      </c>
      <c r="BK169" s="37" t="str">
        <f t="array" ref="BK169">IF($A169="","", INDEX(CS!$B$1:$B$15026,MATCH($A169,CS!$B:$B,0)+COLUMN(E$1),1))</f>
        <v>上昇烈風</v>
      </c>
      <c r="BL169" s="37" t="str">
        <f t="array" ref="BL169">IF($A169="","", INDEX(CS!$B$1:$B$15026,MATCH($A169,CS!$B:$B,0)+COLUMN(F$1),1))</f>
        <v/>
      </c>
      <c r="BM169" s="37" t="str">
        <f t="array" ref="BM169">IF($A169="","", INDEX(CS!$B$1:$B$15026,MATCH($A169,CS!$B:$B,0)+COLUMN(G$1),1))</f>
        <v>水晶片</v>
      </c>
      <c r="BN169" s="37" t="str">
        <f t="array" ref="BN169">IF($A169="","", INDEX(CS!$B$1:$B$15026,MATCH($A169,CS!$B:$B,0)+COLUMN(H$1),1))</f>
        <v/>
      </c>
      <c r="BO169" s="37" t="str">
        <f t="array" ref="BO169">IF($A169="","", INDEX(CS!$B$1:$B$15026,MATCH($A169,CS!$B:$B,0)+COLUMN(I$1),1))</f>
        <v>光線</v>
      </c>
      <c r="BP169" s="37" t="str">
        <f t="array" ref="BP169">IF($A169="","", INDEX(CS!$B$1:$B$15026,MATCH($A169,CS!$B:$B,0)+COLUMN(J$1),1))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IF($A170="","",IFERROR(INDEX(CS!$B$1:$B$15026,MATCH($A170,CS!$B:$B,0)+COLUMN(A$1),1),""))</f>
        <v>平地化</v>
      </c>
      <c r="BH170" s="37" t="str">
        <f t="array" ref="BH170">IF($A170="","",IFERROR(INDEX(CS!$B$1:$B$15026,MATCH($A170,CS!$B:$B,0)+COLUMN(B$1),1),""))</f>
        <v>森化</v>
      </c>
      <c r="BI170" s="37" t="str">
        <f t="array" ref="BI170">IF($A170="","",IFERROR(INDEX(CS!$B$1:$B$15026,MATCH($A170,CS!$B:$B,0)+COLUMN(C$1),1),""))</f>
        <v>山岳化</v>
      </c>
      <c r="BJ170" s="37" t="str">
        <f t="array" ref="BJ170">IF($A170="","",IFERROR(INDEX(CS!$B$1:$B$15026,MATCH($A170,CS!$B:$B,0)+COLUMN(D$1),1),""))</f>
        <v>丘陵化</v>
      </c>
      <c r="BK170" s="37" t="str">
        <f t="array" ref="BK170">IF($A170="","",IFERROR(INDEX(CS!$B$1:$B$15026,MATCH($A170,CS!$B:$B,0)+COLUMN(E$1),1),""))</f>
        <v>河川化</v>
      </c>
      <c r="BL170" s="37" t="str">
        <f t="array" ref="BL170">IF($A170="","",IFERROR(INDEX(CS!$B$1:$B$15026,MATCH($A170,CS!$B:$B,0)+COLUMN(F$1),1),""))</f>
        <v>湖化</v>
      </c>
      <c r="BM170" s="37" t="str">
        <f t="array" ref="BM170">IF($A170="","",IFERROR(INDEX(CS!$B$1:$B$15026,MATCH($A170,CS!$B:$B,0)+COLUMN(G$1),1),""))</f>
        <v>海化</v>
      </c>
      <c r="BN170" s="37" t="str">
        <f t="array" ref="BN170">IF($A170="","",IFERROR(INDEX(CS!$B$1:$B$15026,MATCH($A170,CS!$B:$B,0)+COLUMN(H$1),1),""))</f>
        <v>砂漠化</v>
      </c>
      <c r="BO170" s="37" t="str">
        <f t="array" ref="BO170">IF($A170="","",IFERROR(INDEX(CS!$B$1:$B$15026,MATCH($A170,CS!$B:$B,0)+COLUMN(I$1),1),""))</f>
        <v>沼地化</v>
      </c>
      <c r="BP170" s="37" t="str">
        <f t="array" ref="BP170">IF($A170="","",IFERROR(INDEX(CS!$B$1:$B$15026,MATCH($A170,CS!$B:$B,0)+COLUMN(J$1),1),""))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IF($A171="","",IFERROR(INDEX(CS!$B$1:$B$15026,MATCH($A171,CS!$B:$B,0)+COLUMN(A$1),1),""))</f>
        <v>落下火球</v>
      </c>
      <c r="BH171" s="37" t="str">
        <f t="array" ref="BH171">IF($A171="","",IFERROR(INDEX(CS!$B$1:$B$15026,MATCH($A171,CS!$B:$B,0)+COLUMN(B$1),1),""))</f>
        <v>氷柱の拡散</v>
      </c>
      <c r="BI171" s="37" t="str">
        <f t="array" ref="BI171">IF($A171="","",IFERROR(INDEX(CS!$B$1:$B$15026,MATCH($A171,CS!$B:$B,0)+COLUMN(C$1),1),""))</f>
        <v>落雷</v>
      </c>
      <c r="BJ171" s="37" t="str">
        <f t="array" ref="BJ171">IF($A171="","",IFERROR(INDEX(CS!$B$1:$B$15026,MATCH($A171,CS!$B:$B,0)+COLUMN(D$1),1),""))</f>
        <v/>
      </c>
      <c r="BK171" s="37" t="str">
        <f t="array" ref="BK171">IF($A171="","",IFERROR(INDEX(CS!$B$1:$B$15026,MATCH($A171,CS!$B:$B,0)+COLUMN(E$1),1),""))</f>
        <v>腐蝕の雨</v>
      </c>
      <c r="BL171" s="37" t="str">
        <f t="array" ref="BL171">IF($A171="","",IFERROR(INDEX(CS!$B$1:$B$15026,MATCH($A171,CS!$B:$B,0)+COLUMN(F$1),1),""))</f>
        <v/>
      </c>
      <c r="BM171" s="37" t="str">
        <f t="array" ref="BM171">IF($A171="","",IFERROR(INDEX(CS!$B$1:$B$15026,MATCH($A171,CS!$B:$B,0)+COLUMN(G$1),1),""))</f>
        <v>塵旋風</v>
      </c>
      <c r="BN171" s="37" t="str">
        <f t="array" ref="BN171">IF($A171="","",IFERROR(INDEX(CS!$B$1:$B$15026,MATCH($A171,CS!$B:$B,0)+COLUMN(H$1),1),""))</f>
        <v/>
      </c>
      <c r="BO171" s="37" t="str">
        <f t="array" ref="BO171">IF($A171="","",IFERROR(INDEX(CS!$B$1:$B$15026,MATCH($A171,CS!$B:$B,0)+COLUMN(I$1),1),""))</f>
        <v>水晶槍</v>
      </c>
      <c r="BP171" s="37" t="str">
        <f t="array" ref="BP171">IF($A171="","",IFERROR(INDEX(CS!$B$1:$B$15026,MATCH($A171,CS!$B:$B,0)+COLUMN(J$1),1),""))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IF($A172="","",IFERROR(INDEX(CS!$B$1:$B$15026,MATCH($A172,CS!$B:$B,0)+COLUMN(A$1),1),""))</f>
        <v>魔力強化</v>
      </c>
      <c r="BH172" s="37" t="str">
        <f t="array" ref="BH172">IF($A172="","",IFERROR(INDEX(CS!$B$1:$B$15026,MATCH($A172,CS!$B:$B,0)+COLUMN(B$1),1),""))</f>
        <v/>
      </c>
      <c r="BI172" s="37" t="str">
        <f t="array" ref="BI172">IF($A172="","",IFERROR(INDEX(CS!$B$1:$B$15026,MATCH($A172,CS!$B:$B,0)+COLUMN(C$1),1),""))</f>
        <v>魔法陣</v>
      </c>
      <c r="BJ172" s="37" t="str">
        <f t="array" ref="BJ172">IF($A172="","",IFERROR(INDEX(CS!$B$1:$B$15026,MATCH($A172,CS!$B:$B,0)+COLUMN(D$1),1),""))</f>
        <v/>
      </c>
      <c r="BK172" s="37" t="str">
        <f t="array" ref="BK172">IF($A172="","",IFERROR(INDEX(CS!$B$1:$B$15026,MATCH($A172,CS!$B:$B,0)+COLUMN(E$1),1),""))</f>
        <v>呪文杖</v>
      </c>
      <c r="BL172" s="37" t="str">
        <f t="array" ref="BL172">IF($A172="","",IFERROR(INDEX(CS!$B$1:$B$15026,MATCH($A172,CS!$B:$B,0)+COLUMN(F$1),1),""))</f>
        <v/>
      </c>
      <c r="BM172" s="37" t="str">
        <f t="array" ref="BM172">IF($A172="","",IFERROR(INDEX(CS!$B$1:$B$15026,MATCH($A172,CS!$B:$B,0)+COLUMN(G$1),1),""))</f>
        <v>強化破り</v>
      </c>
      <c r="BN172" s="37" t="str">
        <f t="array" ref="BN172">IF($A172="","",IFERROR(INDEX(CS!$B$1:$B$15026,MATCH($A172,CS!$B:$B,0)+COLUMN(H$1),1),""))</f>
        <v/>
      </c>
      <c r="BO172" s="37" t="str">
        <f t="array" ref="BO172">IF($A172="","",IFERROR(INDEX(CS!$B$1:$B$15026,MATCH($A172,CS!$B:$B,0)+COLUMN(I$1),1),""))</f>
        <v>魔力増幅</v>
      </c>
      <c r="BP172" s="37" t="str">
        <f t="array" ref="BP172">IF($A172="","",IFERROR(INDEX(CS!$B$1:$B$15026,MATCH($A172,CS!$B:$B,0)+COLUMN(J$1),1),""))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IF($A173="","",IFERROR(INDEX(CS!$B$1:$B$15026,MATCH($A173,CS!$B:$B,0)+COLUMN(A$1),1),""))</f>
        <v>魔法陣</v>
      </c>
      <c r="BH173" s="37" t="str">
        <f t="array" ref="BH173">IF($A173="","",IFERROR(INDEX(CS!$B$1:$B$15026,MATCH($A173,CS!$B:$B,0)+COLUMN(B$1),1),""))</f>
        <v/>
      </c>
      <c r="BI173" s="37" t="str">
        <f t="array" ref="BI173">IF($A173="","",IFERROR(INDEX(CS!$B$1:$B$15026,MATCH($A173,CS!$B:$B,0)+COLUMN(C$1),1),""))</f>
        <v>魔力強化</v>
      </c>
      <c r="BJ173" s="37" t="str">
        <f t="array" ref="BJ173">IF($A173="","",IFERROR(INDEX(CS!$B$1:$B$15026,MATCH($A173,CS!$B:$B,0)+COLUMN(D$1),1),""))</f>
        <v/>
      </c>
      <c r="BK173" s="37" t="str">
        <f t="array" ref="BK173">IF($A173="","",IFERROR(INDEX(CS!$B$1:$B$15026,MATCH($A173,CS!$B:$B,0)+COLUMN(E$1),1),""))</f>
        <v>賢者の知識</v>
      </c>
      <c r="BL173" s="37" t="str">
        <f t="array" ref="BL173">IF($A173="","",IFERROR(INDEX(CS!$B$1:$B$15026,MATCH($A173,CS!$B:$B,0)+COLUMN(F$1),1),""))</f>
        <v/>
      </c>
      <c r="BM173" s="37" t="str">
        <f t="array" ref="BM173">IF($A173="","",IFERROR(INDEX(CS!$B$1:$B$15026,MATCH($A173,CS!$B:$B,0)+COLUMN(G$1),1),""))</f>
        <v>魔法無効化</v>
      </c>
      <c r="BN173" s="37" t="str">
        <f t="array" ref="BN173">IF($A173="","",IFERROR(INDEX(CS!$B$1:$B$15026,MATCH($A173,CS!$B:$B,0)+COLUMN(H$1),1),""))</f>
        <v/>
      </c>
      <c r="BO173" s="37" t="str">
        <f t="array" ref="BO173">IF($A173="","",IFERROR(INDEX(CS!$B$1:$B$15026,MATCH($A173,CS!$B:$B,0)+COLUMN(I$1),1),""))</f>
        <v>魔力増幅</v>
      </c>
      <c r="BP173" s="37" t="str">
        <f t="array" ref="BP173">IF($A173="","",IFERROR(INDEX(CS!$B$1:$B$15026,MATCH($A173,CS!$B:$B,0)+COLUMN(J$1),1),""))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IF($A174="","",IFERROR(INDEX(CS!$B$1:$B$15026,MATCH($A174,CS!$B:$B,0)+COLUMN(A$1),1),""))</f>
        <v>言霊・命</v>
      </c>
      <c r="BH174" s="37" t="str">
        <f t="array" ref="BH174">IF($A174="","",IFERROR(INDEX(CS!$B$1:$B$15026,MATCH($A174,CS!$B:$B,0)+COLUMN(B$1),1),""))</f>
        <v/>
      </c>
      <c r="BI174" s="37" t="str">
        <f t="array" ref="BI174">IF($A174="","",IFERROR(INDEX(CS!$B$1:$B$15026,MATCH($A174,CS!$B:$B,0)+COLUMN(C$1),1),""))</f>
        <v>言霊・縛</v>
      </c>
      <c r="BJ174" s="37" t="str">
        <f t="array" ref="BJ174">IF($A174="","",IFERROR(INDEX(CS!$B$1:$B$15026,MATCH($A174,CS!$B:$B,0)+COLUMN(D$1),1),""))</f>
        <v/>
      </c>
      <c r="BK174" s="37" t="str">
        <f t="array" ref="BK174">IF($A174="","",IFERROR(INDEX(CS!$B$1:$B$15026,MATCH($A174,CS!$B:$B,0)+COLUMN(E$1),1),""))</f>
        <v>言霊・黙</v>
      </c>
      <c r="BL174" s="37" t="str">
        <f t="array" ref="BL174">IF($A174="","",IFERROR(INDEX(CS!$B$1:$B$15026,MATCH($A174,CS!$B:$B,0)+COLUMN(F$1),1),""))</f>
        <v/>
      </c>
      <c r="BM174" s="37" t="str">
        <f t="array" ref="BM174">IF($A174="","",IFERROR(INDEX(CS!$B$1:$B$15026,MATCH($A174,CS!$B:$B,0)+COLUMN(G$1),1),""))</f>
        <v>言霊・退</v>
      </c>
      <c r="BN174" s="37" t="str">
        <f t="array" ref="BN174">IF($A174="","",IFERROR(INDEX(CS!$B$1:$B$15026,MATCH($A174,CS!$B:$B,0)+COLUMN(H$1),1),""))</f>
        <v/>
      </c>
      <c r="BO174" s="37" t="str">
        <f t="array" ref="BO174">IF($A174="","",IFERROR(INDEX(CS!$B$1:$B$15026,MATCH($A174,CS!$B:$B,0)+COLUMN(I$1),1),""))</f>
        <v>言霊の極意</v>
      </c>
      <c r="BP174" s="37" t="str">
        <f t="array" ref="BP174">IF($A174="","",IFERROR(INDEX(CS!$B$1:$B$15026,MATCH($A174,CS!$B:$B,0)+COLUMN(J$1),1),""))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IF($A175="","",IFERROR(INDEX(CS!$B$1:$B$15026,MATCH($A175,CS!$B:$B,0)+COLUMN(A$1),1),""))</f>
        <v>場断裂</v>
      </c>
      <c r="BH175" s="37" t="str">
        <f t="array" ref="BH175">IF($A175="","",IFERROR(INDEX(CS!$B$1:$B$15026,MATCH($A175,CS!$B:$B,0)+COLUMN(B$1),1),""))</f>
        <v/>
      </c>
      <c r="BI175" s="37" t="str">
        <f t="array" ref="BI175">IF($A175="","",IFERROR(INDEX(CS!$B$1:$B$15026,MATCH($A175,CS!$B:$B,0)+COLUMN(C$1),1),""))</f>
        <v>偏向膜</v>
      </c>
      <c r="BJ175" s="37" t="str">
        <f t="array" ref="BJ175">IF($A175="","",IFERROR(INDEX(CS!$B$1:$B$15026,MATCH($A175,CS!$B:$B,0)+COLUMN(D$1),1),""))</f>
        <v/>
      </c>
      <c r="BK175" s="37" t="str">
        <f t="array" ref="BK175">IF($A175="","",IFERROR(INDEX(CS!$B$1:$B$15026,MATCH($A175,CS!$B:$B,0)+COLUMN(E$1),1),""))</f>
        <v>衝圧</v>
      </c>
      <c r="BL175" s="37" t="str">
        <f t="array" ref="BL175">IF($A175="","",IFERROR(INDEX(CS!$B$1:$B$15026,MATCH($A175,CS!$B:$B,0)+COLUMN(F$1),1),""))</f>
        <v/>
      </c>
      <c r="BM175" s="37" t="str">
        <f t="array" ref="BM175">IF($A175="","",IFERROR(INDEX(CS!$B$1:$B$15026,MATCH($A175,CS!$B:$B,0)+COLUMN(G$1),1),""))</f>
        <v>拘束界</v>
      </c>
      <c r="BN175" s="37" t="str">
        <f t="array" ref="BN175">IF($A175="","",IFERROR(INDEX(CS!$B$1:$B$15026,MATCH($A175,CS!$B:$B,0)+COLUMN(H$1),1),""))</f>
        <v/>
      </c>
      <c r="BO175" s="37" t="str">
        <f t="array" ref="BO175">IF($A175="","",IFERROR(INDEX(CS!$B$1:$B$15026,MATCH($A175,CS!$B:$B,0)+COLUMN(I$1),1),""))</f>
        <v>分解</v>
      </c>
      <c r="BP175" s="37" t="str">
        <f t="array" ref="BP175">IF($A175="","",IFERROR(INDEX(CS!$B$1:$B$15026,MATCH($A175,CS!$B:$B,0)+COLUMN(J$1),1),""))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IF($A176="","",IFERROR(INDEX(CS!$B$1:$B$15026,MATCH($A176,CS!$B:$B,0)+COLUMN(A$1),1),""))</f>
        <v>分解</v>
      </c>
      <c r="BH176" s="37" t="str">
        <f t="array" ref="BH176">IF($A176="","",IFERROR(INDEX(CS!$B$1:$B$15026,MATCH($A176,CS!$B:$B,0)+COLUMN(B$1),1),""))</f>
        <v/>
      </c>
      <c r="BI176" s="37" t="str">
        <f t="array" ref="BI176">IF($A176="","",IFERROR(INDEX(CS!$B$1:$B$15026,MATCH($A176,CS!$B:$B,0)+COLUMN(C$1),1),""))</f>
        <v>圧縮界</v>
      </c>
      <c r="BJ176" s="37" t="str">
        <f t="array" ref="BJ176">IF($A176="","",IFERROR(INDEX(CS!$B$1:$B$15026,MATCH($A176,CS!$B:$B,0)+COLUMN(D$1),1),""))</f>
        <v/>
      </c>
      <c r="BK176" s="37" t="str">
        <f t="array" ref="BK176">IF($A176="","",IFERROR(INDEX(CS!$B$1:$B$15026,MATCH($A176,CS!$B:$B,0)+COLUMN(E$1),1),""))</f>
        <v>圧壊掌</v>
      </c>
      <c r="BL176" s="37" t="str">
        <f t="array" ref="BL176">IF($A176="","",IFERROR(INDEX(CS!$B$1:$B$15026,MATCH($A176,CS!$B:$B,0)+COLUMN(F$1),1),""))</f>
        <v/>
      </c>
      <c r="BM176" s="37" t="str">
        <f t="array" ref="BM176">IF($A176="","",IFERROR(INDEX(CS!$B$1:$B$15026,MATCH($A176,CS!$B:$B,0)+COLUMN(G$1),1),""))</f>
        <v>衝圧</v>
      </c>
      <c r="BN176" s="37" t="str">
        <f t="array" ref="BN176">IF($A176="","",IFERROR(INDEX(CS!$B$1:$B$15026,MATCH($A176,CS!$B:$B,0)+COLUMN(H$1),1),""))</f>
        <v/>
      </c>
      <c r="BO176" s="37" t="str">
        <f t="array" ref="BO176">IF($A176="","",IFERROR(INDEX(CS!$B$1:$B$15026,MATCH($A176,CS!$B:$B,0)+COLUMN(I$1),1),""))</f>
        <v>偏向膜</v>
      </c>
      <c r="BP176" s="37" t="str">
        <f t="array" ref="BP176">IF($A176="","",IFERROR(INDEX(CS!$B$1:$B$15026,MATCH($A176,CS!$B:$B,0)+COLUMN(J$1),1),""))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INDEX(CS!$B$1:$B$15026,MATCH($A177,CS!$B:$B,0)+COLUMN(A$1),1))</f>
        <v/>
      </c>
      <c r="BH177" s="37" t="str">
        <f t="array" ref="BH177">IF($A177="","", INDEX(CS!$B$1:$B$15026,MATCH($A177,CS!$B:$B,0)+COLUMN(B$1),1))</f>
        <v/>
      </c>
      <c r="BI177" s="37" t="str">
        <f t="array" ref="BI177">IF($A177="","", INDEX(CS!$B$1:$B$15026,MATCH($A177,CS!$B:$B,0)+COLUMN(C$1),1))</f>
        <v/>
      </c>
      <c r="BJ177" s="37" t="str">
        <f t="array" ref="BJ177">IF($A177="","", INDEX(CS!$B$1:$B$15026,MATCH($A177,CS!$B:$B,0)+COLUMN(D$1),1))</f>
        <v/>
      </c>
      <c r="BK177" s="37" t="str">
        <f t="array" ref="BK177">IF($A177="","", INDEX(CS!$B$1:$B$15026,MATCH($A177,CS!$B:$B,0)+COLUMN(E$1),1))</f>
        <v/>
      </c>
      <c r="BL177" s="37" t="str">
        <f t="array" ref="BL177">IF($A177="","", INDEX(CS!$B$1:$B$15026,MATCH($A177,CS!$B:$B,0)+COLUMN(F$1),1))</f>
        <v/>
      </c>
      <c r="BM177" s="37" t="str">
        <f t="array" ref="BM177">IF($A177="","", INDEX(CS!$B$1:$B$15026,MATCH($A177,CS!$B:$B,0)+COLUMN(G$1),1))</f>
        <v/>
      </c>
      <c r="BN177" s="37" t="str">
        <f t="array" ref="BN177">IF($A177="","", INDEX(CS!$B$1:$B$15026,MATCH($A177,CS!$B:$B,0)+COLUMN(H$1),1))</f>
        <v/>
      </c>
      <c r="BO177" s="37" t="str">
        <f t="array" ref="BO177">IF($A177="","", INDEX(CS!$B$1:$B$15026,MATCH($A177,CS!$B:$B,0)+COLUMN(I$1),1))</f>
        <v/>
      </c>
      <c r="BP177" s="37" t="str">
        <f t="array" ref="BP177">IF($A177="","", INDEX(CS!$B$1:$B$15026,MATCH($A177,CS!$B:$B,0)+COLUMN(J$1),1))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INDEX(CS!$B$1:$B$15026,MATCH($A178,CS!$B:$B,0)+COLUMN(A$1),1))</f>
        <v/>
      </c>
      <c r="BH178" s="37" t="str">
        <f t="array" ref="BH178">IF($A178="","", INDEX(CS!$B$1:$B$15026,MATCH($A178,CS!$B:$B,0)+COLUMN(B$1),1))</f>
        <v/>
      </c>
      <c r="BI178" s="37" t="str">
        <f t="array" ref="BI178">IF($A178="","", INDEX(CS!$B$1:$B$15026,MATCH($A178,CS!$B:$B,0)+COLUMN(C$1),1))</f>
        <v/>
      </c>
      <c r="BJ178" s="37" t="str">
        <f t="array" ref="BJ178">IF($A178="","", INDEX(CS!$B$1:$B$15026,MATCH($A178,CS!$B:$B,0)+COLUMN(D$1),1))</f>
        <v/>
      </c>
      <c r="BK178" s="37" t="str">
        <f t="array" ref="BK178">IF($A178="","", INDEX(CS!$B$1:$B$15026,MATCH($A178,CS!$B:$B,0)+COLUMN(E$1),1))</f>
        <v/>
      </c>
      <c r="BL178" s="37" t="str">
        <f t="array" ref="BL178">IF($A178="","", INDEX(CS!$B$1:$B$15026,MATCH($A178,CS!$B:$B,0)+COLUMN(F$1),1))</f>
        <v/>
      </c>
      <c r="BM178" s="37" t="str">
        <f t="array" ref="BM178">IF($A178="","", INDEX(CS!$B$1:$B$15026,MATCH($A178,CS!$B:$B,0)+COLUMN(G$1),1))</f>
        <v/>
      </c>
      <c r="BN178" s="37" t="str">
        <f t="array" ref="BN178">IF($A178="","", INDEX(CS!$B$1:$B$15026,MATCH($A178,CS!$B:$B,0)+COLUMN(H$1),1))</f>
        <v/>
      </c>
      <c r="BO178" s="37" t="str">
        <f t="array" ref="BO178">IF($A178="","", INDEX(CS!$B$1:$B$15026,MATCH($A178,CS!$B:$B,0)+COLUMN(I$1),1))</f>
        <v/>
      </c>
      <c r="BP178" s="37" t="str">
        <f t="array" ref="BP178">IF($A178="","", INDEX(CS!$B$1:$B$15026,MATCH($A178,CS!$B:$B,0)+COLUMN(J$1),1))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IF($A179="","",IFERROR(INDEX(CS!$B$1:$B$15026,MATCH($A179,CS!$B:$B,0)+COLUMN(A$1),1),""))</f>
        <v>光線</v>
      </c>
      <c r="BH179" s="37" t="str">
        <f t="array" ref="BH179">IF($A179="","",IFERROR(INDEX(CS!$B$1:$B$15026,MATCH($A179,CS!$B:$B,0)+COLUMN(B$1),1),""))</f>
        <v>中傷治癒</v>
      </c>
      <c r="BI179" s="37" t="str">
        <f t="array" ref="BI179">IF($A179="","",IFERROR(INDEX(CS!$B$1:$B$15026,MATCH($A179,CS!$B:$B,0)+COLUMN(C$1),1),""))</f>
        <v>毒治癒</v>
      </c>
      <c r="BJ179" s="37" t="str">
        <f t="array" ref="BJ179">IF($A179="","",IFERROR(INDEX(CS!$B$1:$B$15026,MATCH($A179,CS!$B:$B,0)+COLUMN(D$1),1),""))</f>
        <v>麻痺治癒</v>
      </c>
      <c r="BK179" s="37" t="str">
        <f t="array" ref="BK179">IF($A179="","",IFERROR(INDEX(CS!$B$1:$B$15026,MATCH($A179,CS!$B:$B,0)+COLUMN(E$1),1),""))</f>
        <v>重傷治癒</v>
      </c>
      <c r="BL179" s="37" t="str">
        <f t="array" ref="BL179">IF($A179="","",IFERROR(INDEX(CS!$B$1:$B$15026,MATCH($A179,CS!$B:$B,0)+COLUMN(F$1),1),""))</f>
        <v/>
      </c>
      <c r="BM179" s="37" t="str">
        <f t="array" ref="BM179">IF($A179="","",IFERROR(INDEX(CS!$B$1:$B$15026,MATCH($A179,CS!$B:$B,0)+COLUMN(G$1),1),""))</f>
        <v>軽傷治癒・範囲</v>
      </c>
      <c r="BN179" s="37" t="str">
        <f t="array" ref="BN179">IF($A179="","",IFERROR(INDEX(CS!$B$1:$B$15026,MATCH($A179,CS!$B:$B,0)+COLUMN(H$1),1),""))</f>
        <v/>
      </c>
      <c r="BO179" s="37" t="str">
        <f t="array" ref="BO179">IF($A179="","",IFERROR(INDEX(CS!$B$1:$B$15026,MATCH($A179,CS!$B:$B,0)+COLUMN(I$1),1),""))</f>
        <v>焼け付く光</v>
      </c>
      <c r="BP179" s="37" t="str">
        <f t="array" ref="BP179">IF($A179="","",IFERROR(INDEX(CS!$B$1:$B$15026,MATCH($A179,CS!$B:$B,0)+COLUMN(J$1),1),""))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IF($A180="","",IFERROR(INDEX(CS!$B$1:$B$15026,MATCH($A180,CS!$B:$B,0)+COLUMN(A$1),1),""))</f>
        <v>信仰の盾</v>
      </c>
      <c r="BH180" s="37" t="str">
        <f t="array" ref="BH180">IF($A180="","",IFERROR(INDEX(CS!$B$1:$B$15026,MATCH($A180,CS!$B:$B,0)+COLUMN(B$1),1),""))</f>
        <v/>
      </c>
      <c r="BI180" s="37" t="str">
        <f t="array" ref="BI180">IF($A180="","",IFERROR(INDEX(CS!$B$1:$B$15026,MATCH($A180,CS!$B:$B,0)+COLUMN(C$1),1),""))</f>
        <v>盾構え</v>
      </c>
      <c r="BJ180" s="37" t="str">
        <f t="array" ref="BJ180">IF($A180="","",IFERROR(INDEX(CS!$B$1:$B$15026,MATCH($A180,CS!$B:$B,0)+COLUMN(D$1),1),""))</f>
        <v/>
      </c>
      <c r="BK180" s="37" t="str">
        <f t="array" ref="BK180">IF($A180="","",IFERROR(INDEX(CS!$B$1:$B$15026,MATCH($A180,CS!$B:$B,0)+COLUMN(E$1),1),""))</f>
        <v>信仰の聖域</v>
      </c>
      <c r="BL180" s="37" t="str">
        <f t="array" ref="BL180">IF($A180="","",IFERROR(INDEX(CS!$B$1:$B$15026,MATCH($A180,CS!$B:$B,0)+COLUMN(F$1),1),""))</f>
        <v/>
      </c>
      <c r="BM180" s="37" t="str">
        <f t="array" ref="BM180">IF($A180="","",IFERROR(INDEX(CS!$B$1:$B$15026,MATCH($A180,CS!$B:$B,0)+COLUMN(G$1),1),""))</f>
        <v>完全防御</v>
      </c>
      <c r="BN180" s="37" t="str">
        <f t="array" ref="BN180">IF($A180="","",IFERROR(INDEX(CS!$B$1:$B$15026,MATCH($A180,CS!$B:$B,0)+COLUMN(H$1),1),""))</f>
        <v/>
      </c>
      <c r="BO180" s="37" t="str">
        <f t="array" ref="BO180">IF($A180="","",IFERROR(INDEX(CS!$B$1:$B$15026,MATCH($A180,CS!$B:$B,0)+COLUMN(I$1),1),""))</f>
        <v>奇跡の護り</v>
      </c>
      <c r="BP180" s="37" t="str">
        <f t="array" ref="BP180">IF($A180="","",IFERROR(INDEX(CS!$B$1:$B$15026,MATCH($A180,CS!$B:$B,0)+COLUMN(J$1),1),""))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IF($A181="","",IFERROR(INDEX(CS!$B$1:$B$15026,MATCH($A181,CS!$B:$B,0)+COLUMN(A$1),1),""))</f>
        <v>沈黙</v>
      </c>
      <c r="BH181" s="37" t="str">
        <f t="array" ref="BH181">IF($A181="","",IFERROR(INDEX(CS!$B$1:$B$15026,MATCH($A181,CS!$B:$B,0)+COLUMN(B$1),1),""))</f>
        <v/>
      </c>
      <c r="BI181" s="37" t="str">
        <f t="array" ref="BI181">IF($A181="","",IFERROR(INDEX(CS!$B$1:$B$15026,MATCH($A181,CS!$B:$B,0)+COLUMN(C$1),1),""))</f>
        <v>正しき天秤</v>
      </c>
      <c r="BJ181" s="37" t="str">
        <f t="array" ref="BJ181">IF($A181="","",IFERROR(INDEX(CS!$B$1:$B$15026,MATCH($A181,CS!$B:$B,0)+COLUMN(D$1),1),""))</f>
        <v/>
      </c>
      <c r="BK181" s="37" t="str">
        <f t="array" ref="BK181">IF($A181="","",IFERROR(INDEX(CS!$B$1:$B$15026,MATCH($A181,CS!$B:$B,0)+COLUMN(E$1),1),""))</f>
        <v>光線</v>
      </c>
      <c r="BL181" s="37" t="str">
        <f t="array" ref="BL181">IF($A181="","",IFERROR(INDEX(CS!$B$1:$B$15026,MATCH($A181,CS!$B:$B,0)+COLUMN(F$1),1),""))</f>
        <v/>
      </c>
      <c r="BM181" s="37" t="str">
        <f t="array" ref="BM181">IF($A181="","",IFERROR(INDEX(CS!$B$1:$B$15026,MATCH($A181,CS!$B:$B,0)+COLUMN(G$1),1),""))</f>
        <v>信仰の魂</v>
      </c>
      <c r="BN181" s="37" t="str">
        <f t="array" ref="BN181">IF($A181="","",IFERROR(INDEX(CS!$B$1:$B$15026,MATCH($A181,CS!$B:$B,0)+COLUMN(H$1),1),""))</f>
        <v/>
      </c>
      <c r="BO181" s="37" t="str">
        <f t="array" ref="BO181">IF($A181="","",IFERROR(INDEX(CS!$B$1:$B$15026,MATCH($A181,CS!$B:$B,0)+COLUMN(I$1),1),""))</f>
        <v>強化破り</v>
      </c>
      <c r="BP181" s="37" t="str">
        <f t="array" ref="BP181">IF($A181="","",IFERROR(INDEX(CS!$B$1:$B$15026,MATCH($A181,CS!$B:$B,0)+COLUMN(J$1),1),""))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IF($A182="","",IFERROR(INDEX(CS!$B$1:$B$15026,MATCH($A182,CS!$B:$B,0)+COLUMN(A$1),1),""))</f>
        <v>毒治癒</v>
      </c>
      <c r="BH182" s="37" t="str">
        <f t="array" ref="BH182">IF($A182="","",IFERROR(INDEX(CS!$B$1:$B$15026,MATCH($A182,CS!$B:$B,0)+COLUMN(B$1),1),""))</f>
        <v/>
      </c>
      <c r="BI182" s="37" t="str">
        <f t="array" ref="BI182">IF($A182="","",IFERROR(INDEX(CS!$B$1:$B$15026,MATCH($A182,CS!$B:$B,0)+COLUMN(C$1),1),""))</f>
        <v>麻痺治癒</v>
      </c>
      <c r="BJ182" s="37" t="str">
        <f t="array" ref="BJ182">IF($A182="","",IFERROR(INDEX(CS!$B$1:$B$15026,MATCH($A182,CS!$B:$B,0)+COLUMN(D$1),1),""))</f>
        <v/>
      </c>
      <c r="BK182" s="37" t="str">
        <f t="array" ref="BK182">IF($A182="","",IFERROR(INDEX(CS!$B$1:$B$15026,MATCH($A182,CS!$B:$B,0)+COLUMN(E$1),1),""))</f>
        <v>回復術</v>
      </c>
      <c r="BL182" s="37" t="str">
        <f t="array" ref="BL182">IF($A182="","",IFERROR(INDEX(CS!$B$1:$B$15026,MATCH($A182,CS!$B:$B,0)+COLUMN(F$1),1),""))</f>
        <v/>
      </c>
      <c r="BM182" s="37" t="str">
        <f t="array" ref="BM182">IF($A182="","",IFERROR(INDEX(CS!$B$1:$B$15026,MATCH($A182,CS!$B:$B,0)+COLUMN(G$1),1),""))</f>
        <v>洗浄</v>
      </c>
      <c r="BN182" s="37" t="str">
        <f t="array" ref="BN182">IF($A182="","",IFERROR(INDEX(CS!$B$1:$B$15026,MATCH($A182,CS!$B:$B,0)+COLUMN(H$1),1),""))</f>
        <v/>
      </c>
      <c r="BO182" s="37" t="str">
        <f t="array" ref="BO182">IF($A182="","",IFERROR(INDEX(CS!$B$1:$B$15026,MATCH($A182,CS!$B:$B,0)+COLUMN(I$1),1),""))</f>
        <v>大回復術</v>
      </c>
      <c r="BP182" s="37" t="str">
        <f t="array" ref="BP182">IF($A182="","",IFERROR(INDEX(CS!$B$1:$B$15026,MATCH($A182,CS!$B:$B,0)+COLUMN(J$1),1),""))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IF($A183="","",IFERROR(INDEX(CS!$B$1:$B$15026,MATCH($A183,CS!$B:$B,0)+COLUMN(A$1),1),""))</f>
        <v>沈黙</v>
      </c>
      <c r="BH183" s="37" t="str">
        <f t="array" ref="BH183">IF($A183="","",IFERROR(INDEX(CS!$B$1:$B$15026,MATCH($A183,CS!$B:$B,0)+COLUMN(B$1),1),""))</f>
        <v/>
      </c>
      <c r="BI183" s="37" t="str">
        <f t="array" ref="BI183">IF($A183="","",IFERROR(INDEX(CS!$B$1:$B$15026,MATCH($A183,CS!$B:$B,0)+COLUMN(C$1),1),""))</f>
        <v>叱責</v>
      </c>
      <c r="BJ183" s="37" t="str">
        <f t="array" ref="BJ183">IF($A183="","",IFERROR(INDEX(CS!$B$1:$B$15026,MATCH($A183,CS!$B:$B,0)+COLUMN(D$1),1),""))</f>
        <v/>
      </c>
      <c r="BK183" s="37" t="str">
        <f t="array" ref="BK183">IF($A183="","",IFERROR(INDEX(CS!$B$1:$B$15026,MATCH($A183,CS!$B:$B,0)+COLUMN(E$1),1),""))</f>
        <v>弱体化</v>
      </c>
      <c r="BL183" s="37" t="str">
        <f t="array" ref="BL183">IF($A183="","",IFERROR(INDEX(CS!$B$1:$B$15026,MATCH($A183,CS!$B:$B,0)+COLUMN(F$1),1),""))</f>
        <v/>
      </c>
      <c r="BM183" s="37" t="str">
        <f t="array" ref="BM183">IF($A183="","",IFERROR(INDEX(CS!$B$1:$B$15026,MATCH($A183,CS!$B:$B,0)+COLUMN(G$1),1),""))</f>
        <v>正しき天秤</v>
      </c>
      <c r="BN183" s="37" t="str">
        <f t="array" ref="BN183">IF($A183="","",IFERROR(INDEX(CS!$B$1:$B$15026,MATCH($A183,CS!$B:$B,0)+COLUMN(H$1),1),""))</f>
        <v/>
      </c>
      <c r="BO183" s="37" t="str">
        <f t="array" ref="BO183">IF($A183="","",IFERROR(INDEX(CS!$B$1:$B$15026,MATCH($A183,CS!$B:$B,0)+COLUMN(I$1),1),""))</f>
        <v>強化破り</v>
      </c>
      <c r="BP183" s="37" t="str">
        <f t="array" ref="BP183">IF($A183="","",IFERROR(INDEX(CS!$B$1:$B$15026,MATCH($A183,CS!$B:$B,0)+COLUMN(J$1),1),""))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IF($A184="","",IFERROR(INDEX(CS!$B$1:$B$15026,MATCH($A184,CS!$B:$B,0)+COLUMN(A$1),1),""))</f>
        <v>焼け付く光</v>
      </c>
      <c r="BH184" s="37" t="str">
        <f t="array" ref="BH184">IF($A184="","",IFERROR(INDEX(CS!$B$1:$B$15026,MATCH($A184,CS!$B:$B,0)+COLUMN(B$1),1),""))</f>
        <v/>
      </c>
      <c r="BI184" s="37" t="str">
        <f t="array" ref="BI184">IF($A184="","",IFERROR(INDEX(CS!$B$1:$B$15026,MATCH($A184,CS!$B:$B,0)+COLUMN(C$1),1),""))</f>
        <v>光柱</v>
      </c>
      <c r="BJ184" s="37" t="str">
        <f t="array" ref="BJ184">IF($A184="","",IFERROR(INDEX(CS!$B$1:$B$15026,MATCH($A184,CS!$B:$B,0)+COLUMN(D$1),1),""))</f>
        <v/>
      </c>
      <c r="BK184" s="37" t="str">
        <f t="array" ref="BK184">IF($A184="","",IFERROR(INDEX(CS!$B$1:$B$15026,MATCH($A184,CS!$B:$B,0)+COLUMN(E$1),1),""))</f>
        <v>神聖武器</v>
      </c>
      <c r="BL184" s="37" t="str">
        <f t="array" ref="BL184">IF($A184="","",IFERROR(INDEX(CS!$B$1:$B$15026,MATCH($A184,CS!$B:$B,0)+COLUMN(F$1),1),""))</f>
        <v/>
      </c>
      <c r="BM184" s="37" t="str">
        <f t="array" ref="BM184">IF($A184="","",IFERROR(INDEX(CS!$B$1:$B$15026,MATCH($A184,CS!$B:$B,0)+COLUMN(G$1),1),""))</f>
        <v>光の奔流</v>
      </c>
      <c r="BN184" s="37" t="str">
        <f t="array" ref="BN184">IF($A184="","",IFERROR(INDEX(CS!$B$1:$B$15026,MATCH($A184,CS!$B:$B,0)+COLUMN(H$1),1),""))</f>
        <v/>
      </c>
      <c r="BO184" s="37" t="str">
        <f t="array" ref="BO184">IF($A184="","",IFERROR(INDEX(CS!$B$1:$B$15026,MATCH($A184,CS!$B:$B,0)+COLUMN(I$1),1),""))</f>
        <v>正しき天秤</v>
      </c>
      <c r="BP184" s="37" t="str">
        <f t="array" ref="BP184">IF($A184="","",IFERROR(INDEX(CS!$B$1:$B$15026,MATCH($A184,CS!$B:$B,0)+COLUMN(J$1),1),""))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IF($A185="","",IFERROR(INDEX(CS!$B$1:$B$15026,MATCH($A185,CS!$B:$B,0)+COLUMN(A$1),1),""))</f>
        <v>光の武器</v>
      </c>
      <c r="BH185" s="37" t="str">
        <f t="array" ref="BH185">IF($A185="","",IFERROR(INDEX(CS!$B$1:$B$15026,MATCH($A185,CS!$B:$B,0)+COLUMN(B$1),1),""))</f>
        <v/>
      </c>
      <c r="BI185" s="37" t="str">
        <f t="array" ref="BI185">IF($A185="","",IFERROR(INDEX(CS!$B$1:$B$15026,MATCH($A185,CS!$B:$B,0)+COLUMN(C$1),1),""))</f>
        <v>光刃撃</v>
      </c>
      <c r="BJ185" s="37" t="str">
        <f t="array" ref="BJ185">IF($A185="","",IFERROR(INDEX(CS!$B$1:$B$15026,MATCH($A185,CS!$B:$B,0)+COLUMN(D$1),1),""))</f>
        <v/>
      </c>
      <c r="BK185" s="37" t="str">
        <f t="array" ref="BK185">IF($A185="","",IFERROR(INDEX(CS!$B$1:$B$15026,MATCH($A185,CS!$B:$B,0)+COLUMN(E$1),1),""))</f>
        <v>武器の攻め</v>
      </c>
      <c r="BL185" s="37" t="str">
        <f t="array" ref="BL185">IF($A185="","",IFERROR(INDEX(CS!$B$1:$B$15026,MATCH($A185,CS!$B:$B,0)+COLUMN(F$1),1),""))</f>
        <v/>
      </c>
      <c r="BM185" s="37" t="str">
        <f t="array" ref="BM185">IF($A185="","",IFERROR(INDEX(CS!$B$1:$B$15026,MATCH($A185,CS!$B:$B,0)+COLUMN(G$1),1),""))</f>
        <v>反撃</v>
      </c>
      <c r="BN185" s="37" t="str">
        <f t="array" ref="BN185">IF($A185="","",IFERROR(INDEX(CS!$B$1:$B$15026,MATCH($A185,CS!$B:$B,0)+COLUMN(H$1),1),""))</f>
        <v/>
      </c>
      <c r="BO185" s="37" t="str">
        <f t="array" ref="BO185">IF($A185="","",IFERROR(INDEX(CS!$B$1:$B$15026,MATCH($A185,CS!$B:$B,0)+COLUMN(I$1),1),""))</f>
        <v>一閃撃</v>
      </c>
      <c r="BP185" s="37" t="str">
        <f t="array" ref="BP185">IF($A185="","",IFERROR(INDEX(CS!$B$1:$B$15026,MATCH($A185,CS!$B:$B,0)+COLUMN(J$1),1),""))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IF($A186="","",IFERROR(INDEX(CS!$B$1:$B$15026,MATCH($A186,CS!$B:$B,0)+COLUMN(A$1),1),""))</f>
        <v>聖戦撃</v>
      </c>
      <c r="BH186" s="37" t="str">
        <f t="array" ref="BH186">IF($A186="","",IFERROR(INDEX(CS!$B$1:$B$15026,MATCH($A186,CS!$B:$B,0)+COLUMN(B$1),1),""))</f>
        <v/>
      </c>
      <c r="BI186" s="37" t="str">
        <f t="array" ref="BI186">IF($A186="","",IFERROR(INDEX(CS!$B$1:$B$15026,MATCH($A186,CS!$B:$B,0)+COLUMN(C$1),1),""))</f>
        <v>聖戦士</v>
      </c>
      <c r="BJ186" s="37" t="str">
        <f t="array" ref="BJ186">IF($A186="","",IFERROR(INDEX(CS!$B$1:$B$15026,MATCH($A186,CS!$B:$B,0)+COLUMN(D$1),1),""))</f>
        <v/>
      </c>
      <c r="BK186" s="37" t="str">
        <f t="array" ref="BK186">IF($A186="","",IFERROR(INDEX(CS!$B$1:$B$15026,MATCH($A186,CS!$B:$B,0)+COLUMN(E$1),1),""))</f>
        <v>反撃</v>
      </c>
      <c r="BL186" s="37" t="str">
        <f t="array" ref="BL186">IF($A186="","",IFERROR(INDEX(CS!$B$1:$B$15026,MATCH($A186,CS!$B:$B,0)+COLUMN(F$1),1),""))</f>
        <v/>
      </c>
      <c r="BM186" s="37" t="str">
        <f t="array" ref="BM186">IF($A186="","",IFERROR(INDEX(CS!$B$1:$B$15026,MATCH($A186,CS!$B:$B,0)+COLUMN(G$1),1),""))</f>
        <v>信仰の護り</v>
      </c>
      <c r="BN186" s="37" t="str">
        <f t="array" ref="BN186">IF($A186="","",IFERROR(INDEX(CS!$B$1:$B$15026,MATCH($A186,CS!$B:$B,0)+COLUMN(H$1),1),""))</f>
        <v/>
      </c>
      <c r="BO186" s="37" t="str">
        <f t="array" ref="BO186">IF($A186="","",IFERROR(INDEX(CS!$B$1:$B$15026,MATCH($A186,CS!$B:$B,0)+COLUMN(I$1),1),""))</f>
        <v>十字斬</v>
      </c>
      <c r="BP186" s="37" t="str">
        <f t="array" ref="BP186">IF($A186="","",IFERROR(INDEX(CS!$B$1:$B$15026,MATCH($A186,CS!$B:$B,0)+COLUMN(J$1),1),""))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IF($A187="","",IFERROR(INDEX(CS!$B$1:$B$15026,MATCH($A187,CS!$B:$B,0)+COLUMN(A$1),1),""))</f>
        <v>守る者</v>
      </c>
      <c r="BH187" s="37" t="str">
        <f t="array" ref="BH187">IF($A187="","",IFERROR(INDEX(CS!$B$1:$B$15026,MATCH($A187,CS!$B:$B,0)+COLUMN(B$1),1),""))</f>
        <v/>
      </c>
      <c r="BI187" s="37" t="str">
        <f t="array" ref="BI187">IF($A187="","",IFERROR(INDEX(CS!$B$1:$B$15026,MATCH($A187,CS!$B:$B,0)+COLUMN(C$1),1),""))</f>
        <v>反撃</v>
      </c>
      <c r="BJ187" s="37" t="str">
        <f t="array" ref="BJ187">IF($A187="","",IFERROR(INDEX(CS!$B$1:$B$15026,MATCH($A187,CS!$B:$B,0)+COLUMN(D$1),1),""))</f>
        <v/>
      </c>
      <c r="BK187" s="37" t="str">
        <f t="array" ref="BK187">IF($A187="","",IFERROR(INDEX(CS!$B$1:$B$15026,MATCH($A187,CS!$B:$B,0)+COLUMN(E$1),1),""))</f>
        <v>信仰の盾</v>
      </c>
      <c r="BL187" s="37" t="str">
        <f t="array" ref="BL187">IF($A187="","",IFERROR(INDEX(CS!$B$1:$B$15026,MATCH($A187,CS!$B:$B,0)+COLUMN(F$1),1),""))</f>
        <v/>
      </c>
      <c r="BM187" s="37" t="str">
        <f t="array" ref="BM187">IF($A187="","",IFERROR(INDEX(CS!$B$1:$B$15026,MATCH($A187,CS!$B:$B,0)+COLUMN(G$1),1),""))</f>
        <v>聖騎士の守り</v>
      </c>
      <c r="BN187" s="37" t="str">
        <f t="array" ref="BN187">IF($A187="","",IFERROR(INDEX(CS!$B$1:$B$15026,MATCH($A187,CS!$B:$B,0)+COLUMN(H$1),1),""))</f>
        <v/>
      </c>
      <c r="BO187" s="37" t="str">
        <f t="array" ref="BO187">IF($A187="","",IFERROR(INDEX(CS!$B$1:$B$15026,MATCH($A187,CS!$B:$B,0)+COLUMN(I$1),1),""))</f>
        <v>信仰の護り</v>
      </c>
      <c r="BP187" s="37" t="str">
        <f t="array" ref="BP187">IF($A187="","",IFERROR(INDEX(CS!$B$1:$B$15026,MATCH($A187,CS!$B:$B,0)+COLUMN(J$1),1),""))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IF($A188="","",IFERROR(INDEX(CS!$B$1:$B$15026,MATCH($A188,CS!$B:$B,0)+COLUMN(A$1),1),""))</f>
        <v>真なる護り手</v>
      </c>
      <c r="BH188" s="37" t="str">
        <f t="array" ref="BH188">IF($A188="","",IFERROR(INDEX(CS!$B$1:$B$15026,MATCH($A188,CS!$B:$B,0)+COLUMN(B$1),1),""))</f>
        <v/>
      </c>
      <c r="BI188" s="37" t="str">
        <f t="array" ref="BI188">IF($A188="","",IFERROR(INDEX(CS!$B$1:$B$15026,MATCH($A188,CS!$B:$B,0)+COLUMN(C$1),1),""))</f>
        <v>盾の扱い</v>
      </c>
      <c r="BJ188" s="37" t="str">
        <f t="array" ref="BJ188">IF($A188="","",IFERROR(INDEX(CS!$B$1:$B$15026,MATCH($A188,CS!$B:$B,0)+COLUMN(D$1),1),""))</f>
        <v/>
      </c>
      <c r="BK188" s="37" t="str">
        <f t="array" ref="BK188">IF($A188="","",IFERROR(INDEX(CS!$B$1:$B$15026,MATCH($A188,CS!$B:$B,0)+COLUMN(E$1),1),""))</f>
        <v>完全防御</v>
      </c>
      <c r="BL188" s="37" t="str">
        <f t="array" ref="BL188">IF($A188="","",IFERROR(INDEX(CS!$B$1:$B$15026,MATCH($A188,CS!$B:$B,0)+COLUMN(F$1),1),""))</f>
        <v/>
      </c>
      <c r="BM188" s="37" t="str">
        <f t="array" ref="BM188">IF($A188="","",IFERROR(INDEX(CS!$B$1:$B$15026,MATCH($A188,CS!$B:$B,0)+COLUMN(G$1),1),""))</f>
        <v>奇跡の護り</v>
      </c>
      <c r="BN188" s="37" t="str">
        <f t="array" ref="BN188">IF($A188="","",IFERROR(INDEX(CS!$B$1:$B$15026,MATCH($A188,CS!$B:$B,0)+COLUMN(H$1),1),""))</f>
        <v/>
      </c>
      <c r="BO188" s="37" t="str">
        <f t="array" ref="BO188">IF($A188="","",IFERROR(INDEX(CS!$B$1:$B$15026,MATCH($A188,CS!$B:$B,0)+COLUMN(I$1),1),""))</f>
        <v>白き守護</v>
      </c>
      <c r="BP188" s="37" t="str">
        <f t="array" ref="BP188">IF($A188="","",IFERROR(INDEX(CS!$B$1:$B$15026,MATCH($A188,CS!$B:$B,0)+COLUMN(J$1),1),""))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IF($A189="","",IFERROR(INDEX(CS!$B$1:$B$15026,MATCH($A189,CS!$B:$B,0)+COLUMN(A$1),1),""))</f>
        <v>闇の武器</v>
      </c>
      <c r="BH189" s="37" t="str">
        <f t="array" ref="BH189">IF($A189="","",IFERROR(INDEX(CS!$B$1:$B$15026,MATCH($A189,CS!$B:$B,0)+COLUMN(B$1),1),""))</f>
        <v/>
      </c>
      <c r="BI189" s="37" t="str">
        <f t="array" ref="BI189">IF($A189="","",IFERROR(INDEX(CS!$B$1:$B$15026,MATCH($A189,CS!$B:$B,0)+COLUMN(C$1),1),""))</f>
        <v>闇刃撃</v>
      </c>
      <c r="BJ189" s="37" t="str">
        <f t="array" ref="BJ189">IF($A189="","",IFERROR(INDEX(CS!$B$1:$B$15026,MATCH($A189,CS!$B:$B,0)+COLUMN(D$1),1),""))</f>
        <v/>
      </c>
      <c r="BK189" s="37" t="str">
        <f t="array" ref="BK189">IF($A189="","",IFERROR(INDEX(CS!$B$1:$B$15026,MATCH($A189,CS!$B:$B,0)+COLUMN(E$1),1),""))</f>
        <v>武器の攻め</v>
      </c>
      <c r="BL189" s="37" t="str">
        <f t="array" ref="BL189">IF($A189="","",IFERROR(INDEX(CS!$B$1:$B$15026,MATCH($A189,CS!$B:$B,0)+COLUMN(F$1),1),""))</f>
        <v/>
      </c>
      <c r="BM189" s="37" t="str">
        <f t="array" ref="BM189">IF($A189="","",IFERROR(INDEX(CS!$B$1:$B$15026,MATCH($A189,CS!$B:$B,0)+COLUMN(G$1),1),""))</f>
        <v>反撃</v>
      </c>
      <c r="BN189" s="37" t="str">
        <f t="array" ref="BN189">IF($A189="","",IFERROR(INDEX(CS!$B$1:$B$15026,MATCH($A189,CS!$B:$B,0)+COLUMN(H$1),1),""))</f>
        <v/>
      </c>
      <c r="BO189" s="37" t="str">
        <f t="array" ref="BO189">IF($A189="","",IFERROR(INDEX(CS!$B$1:$B$15026,MATCH($A189,CS!$B:$B,0)+COLUMN(I$1),1),""))</f>
        <v>一閃撃</v>
      </c>
      <c r="BP189" s="37" t="str">
        <f t="array" ref="BP189">IF($A189="","",IFERROR(INDEX(CS!$B$1:$B$15026,MATCH($A189,CS!$B:$B,0)+COLUMN(J$1),1),""))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IF($A190="","",IFERROR(INDEX(CS!$B$1:$B$15026,MATCH($A190,CS!$B:$B,0)+COLUMN(A$1),1),""))</f>
        <v/>
      </c>
      <c r="BH190" s="37" t="str">
        <f t="array" ref="BH190">IF($A190="","",IFERROR(INDEX(CS!$B$1:$B$15026,MATCH($A190,CS!$B:$B,0)+COLUMN(B$1),1),""))</f>
        <v/>
      </c>
      <c r="BI190" s="37" t="str">
        <f t="array" ref="BI190">IF($A190="","",IFERROR(INDEX(CS!$B$1:$B$15026,MATCH($A190,CS!$B:$B,0)+COLUMN(C$1),1),""))</f>
        <v/>
      </c>
      <c r="BJ190" s="37" t="str">
        <f t="array" ref="BJ190">IF($A190="","",IFERROR(INDEX(CS!$B$1:$B$15026,MATCH($A190,CS!$B:$B,0)+COLUMN(D$1),1),""))</f>
        <v/>
      </c>
      <c r="BK190" s="37" t="str">
        <f t="array" ref="BK190">IF($A190="","",IFERROR(INDEX(CS!$B$1:$B$15026,MATCH($A190,CS!$B:$B,0)+COLUMN(E$1),1),""))</f>
        <v/>
      </c>
      <c r="BL190" s="37" t="str">
        <f t="array" ref="BL190">IF($A190="","",IFERROR(INDEX(CS!$B$1:$B$15026,MATCH($A190,CS!$B:$B,0)+COLUMN(F$1),1),""))</f>
        <v/>
      </c>
      <c r="BM190" s="37" t="str">
        <f t="array" ref="BM190">IF($A190="","",IFERROR(INDEX(CS!$B$1:$B$15026,MATCH($A190,CS!$B:$B,0)+COLUMN(G$1),1),""))</f>
        <v/>
      </c>
      <c r="BN190" s="37" t="str">
        <f t="array" ref="BN190">IF($A190="","",IFERROR(INDEX(CS!$B$1:$B$15026,MATCH($A190,CS!$B:$B,0)+COLUMN(H$1),1),""))</f>
        <v/>
      </c>
      <c r="BO190" s="37" t="str">
        <f t="array" ref="BO190">IF($A190="","",IFERROR(INDEX(CS!$B$1:$B$15026,MATCH($A190,CS!$B:$B,0)+COLUMN(I$1),1),""))</f>
        <v/>
      </c>
      <c r="BP190" s="37" t="str">
        <f t="array" ref="BP190">IF($A190="","",IFERROR(INDEX(CS!$B$1:$B$15026,MATCH($A190,CS!$B:$B,0)+COLUMN(J$1),1),""))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IF($A191="","",IFERROR(INDEX(CS!$B$1:$B$15026,MATCH($A191,CS!$B:$B,0)+COLUMN(A$1),1),""))</f>
        <v/>
      </c>
      <c r="BH191" s="37" t="str">
        <f t="array" ref="BH191">IF($A191="","",IFERROR(INDEX(CS!$B$1:$B$15026,MATCH($A191,CS!$B:$B,0)+COLUMN(B$1),1),""))</f>
        <v/>
      </c>
      <c r="BI191" s="37" t="str">
        <f t="array" ref="BI191">IF($A191="","",IFERROR(INDEX(CS!$B$1:$B$15026,MATCH($A191,CS!$B:$B,0)+COLUMN(C$1),1),""))</f>
        <v/>
      </c>
      <c r="BJ191" s="37" t="str">
        <f t="array" ref="BJ191">IF($A191="","",IFERROR(INDEX(CS!$B$1:$B$15026,MATCH($A191,CS!$B:$B,0)+COLUMN(D$1),1),""))</f>
        <v/>
      </c>
      <c r="BK191" s="37" t="str">
        <f t="array" ref="BK191">IF($A191="","",IFERROR(INDEX(CS!$B$1:$B$15026,MATCH($A191,CS!$B:$B,0)+COLUMN(E$1),1),""))</f>
        <v/>
      </c>
      <c r="BL191" s="37" t="str">
        <f t="array" ref="BL191">IF($A191="","",IFERROR(INDEX(CS!$B$1:$B$15026,MATCH($A191,CS!$B:$B,0)+COLUMN(F$1),1),""))</f>
        <v/>
      </c>
      <c r="BM191" s="37" t="str">
        <f t="array" ref="BM191">IF($A191="","",IFERROR(INDEX(CS!$B$1:$B$15026,MATCH($A191,CS!$B:$B,0)+COLUMN(G$1),1),""))</f>
        <v/>
      </c>
      <c r="BN191" s="37" t="str">
        <f t="array" ref="BN191">IF($A191="","",IFERROR(INDEX(CS!$B$1:$B$15026,MATCH($A191,CS!$B:$B,0)+COLUMN(H$1),1),""))</f>
        <v/>
      </c>
      <c r="BO191" s="37" t="str">
        <f t="array" ref="BO191">IF($A191="","",IFERROR(INDEX(CS!$B$1:$B$15026,MATCH($A191,CS!$B:$B,0)+COLUMN(I$1),1),""))</f>
        <v/>
      </c>
      <c r="BP191" s="37" t="str">
        <f t="array" ref="BP191">IF($A191="","",IFERROR(INDEX(CS!$B$1:$B$15026,MATCH($A191,CS!$B:$B,0)+COLUMN(J$1),1),""))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INDEX(CS!$B$1:$B$15026,MATCH($A192,CS!$B:$B,0)+COLUMN(A$1),1))</f>
        <v/>
      </c>
      <c r="BH192" s="37" t="str">
        <f t="array" ref="BH192">IF($A192="","", INDEX(CS!$B$1:$B$15026,MATCH($A192,CS!$B:$B,0)+COLUMN(B$1),1))</f>
        <v/>
      </c>
      <c r="BI192" s="37" t="str">
        <f t="array" ref="BI192">IF($A192="","", INDEX(CS!$B$1:$B$15026,MATCH($A192,CS!$B:$B,0)+COLUMN(C$1),1))</f>
        <v/>
      </c>
      <c r="BJ192" s="37" t="str">
        <f t="array" ref="BJ192">IF($A192="","", INDEX(CS!$B$1:$B$15026,MATCH($A192,CS!$B:$B,0)+COLUMN(D$1),1))</f>
        <v/>
      </c>
      <c r="BK192" s="37" t="str">
        <f t="array" ref="BK192">IF($A192="","", INDEX(CS!$B$1:$B$15026,MATCH($A192,CS!$B:$B,0)+COLUMN(E$1),1))</f>
        <v/>
      </c>
      <c r="BL192" s="37" t="str">
        <f t="array" ref="BL192">IF($A192="","", INDEX(CS!$B$1:$B$15026,MATCH($A192,CS!$B:$B,0)+COLUMN(F$1),1))</f>
        <v/>
      </c>
      <c r="BM192" s="37" t="str">
        <f t="array" ref="BM192">IF($A192="","", INDEX(CS!$B$1:$B$15026,MATCH($A192,CS!$B:$B,0)+COLUMN(G$1),1))</f>
        <v/>
      </c>
      <c r="BN192" s="37" t="str">
        <f t="array" ref="BN192">IF($A192="","", INDEX(CS!$B$1:$B$15026,MATCH($A192,CS!$B:$B,0)+COLUMN(H$1),1))</f>
        <v/>
      </c>
      <c r="BO192" s="37" t="str">
        <f t="array" ref="BO192">IF($A192="","", INDEX(CS!$B$1:$B$15026,MATCH($A192,CS!$B:$B,0)+COLUMN(I$1),1))</f>
        <v/>
      </c>
      <c r="BP192" s="37" t="str">
        <f t="array" ref="BP192">IF($A192="","", INDEX(CS!$B$1:$B$15026,MATCH($A192,CS!$B:$B,0)+COLUMN(J$1),1))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INDEX(CS!$B$1:$B$15026,MATCH($A193,CS!$B:$B,0)+COLUMN(A$1),1))</f>
        <v/>
      </c>
      <c r="BH193" s="37" t="str">
        <f t="array" ref="BH193">IF($A193="","", INDEX(CS!$B$1:$B$15026,MATCH($A193,CS!$B:$B,0)+COLUMN(B$1),1))</f>
        <v/>
      </c>
      <c r="BI193" s="37" t="str">
        <f t="array" ref="BI193">IF($A193="","", INDEX(CS!$B$1:$B$15026,MATCH($A193,CS!$B:$B,0)+COLUMN(C$1),1))</f>
        <v/>
      </c>
      <c r="BJ193" s="37" t="str">
        <f t="array" ref="BJ193">IF($A193="","", INDEX(CS!$B$1:$B$15026,MATCH($A193,CS!$B:$B,0)+COLUMN(D$1),1))</f>
        <v/>
      </c>
      <c r="BK193" s="37" t="str">
        <f t="array" ref="BK193">IF($A193="","", INDEX(CS!$B$1:$B$15026,MATCH($A193,CS!$B:$B,0)+COLUMN(E$1),1))</f>
        <v/>
      </c>
      <c r="BL193" s="37" t="str">
        <f t="array" ref="BL193">IF($A193="","", INDEX(CS!$B$1:$B$15026,MATCH($A193,CS!$B:$B,0)+COLUMN(F$1),1))</f>
        <v/>
      </c>
      <c r="BM193" s="37" t="str">
        <f t="array" ref="BM193">IF($A193="","", INDEX(CS!$B$1:$B$15026,MATCH($A193,CS!$B:$B,0)+COLUMN(G$1),1))</f>
        <v/>
      </c>
      <c r="BN193" s="37" t="str">
        <f t="array" ref="BN193">IF($A193="","", INDEX(CS!$B$1:$B$15026,MATCH($A193,CS!$B:$B,0)+COLUMN(H$1),1))</f>
        <v/>
      </c>
      <c r="BO193" s="37" t="str">
        <f t="array" ref="BO193">IF($A193="","", INDEX(CS!$B$1:$B$15026,MATCH($A193,CS!$B:$B,0)+COLUMN(I$1),1))</f>
        <v/>
      </c>
      <c r="BP193" s="37" t="str">
        <f t="array" ref="BP193">IF($A193="","", INDEX(CS!$B$1:$B$15026,MATCH($A193,CS!$B:$B,0)+COLUMN(J$1),1))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IF($A194="","",IFERROR(INDEX(CS!$B$1:$B$15026,MATCH($A194,CS!$B:$B,0)+COLUMN(A$1),1),""))</f>
        <v>上昇烈風</v>
      </c>
      <c r="BH194" s="37" t="str">
        <f t="array" ref="BH194">IF($A194="","",IFERROR(INDEX(CS!$B$1:$B$15026,MATCH($A194,CS!$B:$B,0)+COLUMN(B$1),1),""))</f>
        <v>川の鞭</v>
      </c>
      <c r="BI194" s="37" t="str">
        <f t="array" ref="BI194">IF($A194="","",IFERROR(INDEX(CS!$B$1:$B$15026,MATCH($A194,CS!$B:$B,0)+COLUMN(C$1),1),""))</f>
        <v>森の歩み</v>
      </c>
      <c r="BJ194" s="37" t="str">
        <f t="array" ref="BJ194">IF($A194="","",IFERROR(INDEX(CS!$B$1:$B$15026,MATCH($A194,CS!$B:$B,0)+COLUMN(D$1),1),""))</f>
        <v>水晶片</v>
      </c>
      <c r="BK194" s="37" t="str">
        <f t="array" ref="BK194">IF($A194="","",IFERROR(INDEX(CS!$B$1:$B$15026,MATCH($A194,CS!$B:$B,0)+COLUMN(E$1),1),""))</f>
        <v>風足</v>
      </c>
      <c r="BL194" s="37" t="str">
        <f t="array" ref="BL194">IF($A194="","",IFERROR(INDEX(CS!$B$1:$B$15026,MATCH($A194,CS!$B:$B,0)+COLUMN(F$1),1),""))</f>
        <v/>
      </c>
      <c r="BM194" s="37" t="str">
        <f t="array" ref="BM194">IF($A194="","",IFERROR(INDEX(CS!$B$1:$B$15026,MATCH($A194,CS!$B:$B,0)+COLUMN(G$1),1),""))</f>
        <v>波の盾</v>
      </c>
      <c r="BN194" s="37" t="str">
        <f t="array" ref="BN194">IF($A194="","",IFERROR(INDEX(CS!$B$1:$B$15026,MATCH($A194,CS!$B:$B,0)+COLUMN(H$1),1),""))</f>
        <v/>
      </c>
      <c r="BO194" s="37" t="str">
        <f t="array" ref="BO194">IF($A194="","",IFERROR(INDEX(CS!$B$1:$B$15026,MATCH($A194,CS!$B:$B,0)+COLUMN(I$1),1),""))</f>
        <v>冷気の風</v>
      </c>
      <c r="BP194" s="37" t="str">
        <f t="array" ref="BP194">IF($A194="","",IFERROR(INDEX(CS!$B$1:$B$15026,MATCH($A194,CS!$B:$B,0)+COLUMN(J$1),1),""))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IF($A195="","",IFERROR(INDEX(CS!$B$1:$B$15026,MATCH($A195,CS!$B:$B,0)+COLUMN(A$1),1),""))</f>
        <v/>
      </c>
      <c r="BH195" s="37" t="str">
        <f t="array" ref="BH195">IF($A195="","",IFERROR(INDEX(CS!$B$1:$B$15026,MATCH($A195,CS!$B:$B,0)+COLUMN(B$1),1),""))</f>
        <v/>
      </c>
      <c r="BI195" s="37" t="str">
        <f t="array" ref="BI195">IF($A195="","",IFERROR(INDEX(CS!$B$1:$B$15026,MATCH($A195,CS!$B:$B,0)+COLUMN(C$1),1),""))</f>
        <v/>
      </c>
      <c r="BJ195" s="37" t="str">
        <f t="array" ref="BJ195">IF($A195="","",IFERROR(INDEX(CS!$B$1:$B$15026,MATCH($A195,CS!$B:$B,0)+COLUMN(D$1),1),""))</f>
        <v/>
      </c>
      <c r="BK195" s="37" t="str">
        <f t="array" ref="BK195">IF($A195="","",IFERROR(INDEX(CS!$B$1:$B$15026,MATCH($A195,CS!$B:$B,0)+COLUMN(E$1),1),""))</f>
        <v/>
      </c>
      <c r="BL195" s="37" t="str">
        <f t="array" ref="BL195">IF($A195="","",IFERROR(INDEX(CS!$B$1:$B$15026,MATCH($A195,CS!$B:$B,0)+COLUMN(F$1),1),""))</f>
        <v/>
      </c>
      <c r="BM195" s="37" t="str">
        <f t="array" ref="BM195">IF($A195="","",IFERROR(INDEX(CS!$B$1:$B$15026,MATCH($A195,CS!$B:$B,0)+COLUMN(G$1),1),""))</f>
        <v/>
      </c>
      <c r="BN195" s="37" t="str">
        <f t="array" ref="BN195">IF($A195="","",IFERROR(INDEX(CS!$B$1:$B$15026,MATCH($A195,CS!$B:$B,0)+COLUMN(H$1),1),""))</f>
        <v/>
      </c>
      <c r="BO195" s="37" t="str">
        <f t="array" ref="BO195">IF($A195="","",IFERROR(INDEX(CS!$B$1:$B$15026,MATCH($A195,CS!$B:$B,0)+COLUMN(I$1),1),""))</f>
        <v/>
      </c>
      <c r="BP195" s="37" t="str">
        <f t="array" ref="BP195">IF($A195="","",IFERROR(INDEX(CS!$B$1:$B$15026,MATCH($A195,CS!$B:$B,0)+COLUMN(J$1),1),""))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IF($A196="","",IFERROR(INDEX(CS!$B$1:$B$15026,MATCH($A196,CS!$B:$B,0)+COLUMN(A$1),1),""))</f>
        <v/>
      </c>
      <c r="BH196" s="37" t="str">
        <f t="array" ref="BH196">IF($A196="","",IFERROR(INDEX(CS!$B$1:$B$15026,MATCH($A196,CS!$B:$B,0)+COLUMN(B$1),1),""))</f>
        <v/>
      </c>
      <c r="BI196" s="37" t="str">
        <f t="array" ref="BI196">IF($A196="","",IFERROR(INDEX(CS!$B$1:$B$15026,MATCH($A196,CS!$B:$B,0)+COLUMN(C$1),1),""))</f>
        <v/>
      </c>
      <c r="BJ196" s="37" t="str">
        <f t="array" ref="BJ196">IF($A196="","",IFERROR(INDEX(CS!$B$1:$B$15026,MATCH($A196,CS!$B:$B,0)+COLUMN(D$1),1),""))</f>
        <v/>
      </c>
      <c r="BK196" s="37" t="str">
        <f t="array" ref="BK196">IF($A196="","",IFERROR(INDEX(CS!$B$1:$B$15026,MATCH($A196,CS!$B:$B,0)+COLUMN(E$1),1),""))</f>
        <v/>
      </c>
      <c r="BL196" s="37" t="str">
        <f t="array" ref="BL196">IF($A196="","",IFERROR(INDEX(CS!$B$1:$B$15026,MATCH($A196,CS!$B:$B,0)+COLUMN(F$1),1),""))</f>
        <v/>
      </c>
      <c r="BM196" s="37" t="str">
        <f t="array" ref="BM196">IF($A196="","",IFERROR(INDEX(CS!$B$1:$B$15026,MATCH($A196,CS!$B:$B,0)+COLUMN(G$1),1),""))</f>
        <v/>
      </c>
      <c r="BN196" s="37" t="str">
        <f t="array" ref="BN196">IF($A196="","",IFERROR(INDEX(CS!$B$1:$B$15026,MATCH($A196,CS!$B:$B,0)+COLUMN(H$1),1),""))</f>
        <v/>
      </c>
      <c r="BO196" s="37" t="str">
        <f t="array" ref="BO196">IF($A196="","",IFERROR(INDEX(CS!$B$1:$B$15026,MATCH($A196,CS!$B:$B,0)+COLUMN(I$1),1),""))</f>
        <v/>
      </c>
      <c r="BP196" s="37" t="str">
        <f t="array" ref="BP196">IF($A196="","",IFERROR(INDEX(CS!$B$1:$B$15026,MATCH($A196,CS!$B:$B,0)+COLUMN(J$1),1),""))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IF($A197="","",IFERROR(INDEX(CS!$B$1:$B$15026,MATCH($A197,CS!$B:$B,0)+COLUMN(A$1),1),""))</f>
        <v/>
      </c>
      <c r="BH197" s="37" t="str">
        <f t="array" ref="BH197">IF($A197="","",IFERROR(INDEX(CS!$B$1:$B$15026,MATCH($A197,CS!$B:$B,0)+COLUMN(B$1),1),""))</f>
        <v/>
      </c>
      <c r="BI197" s="37" t="str">
        <f t="array" ref="BI197">IF($A197="","",IFERROR(INDEX(CS!$B$1:$B$15026,MATCH($A197,CS!$B:$B,0)+COLUMN(C$1),1),""))</f>
        <v/>
      </c>
      <c r="BJ197" s="37" t="str">
        <f t="array" ref="BJ197">IF($A197="","",IFERROR(INDEX(CS!$B$1:$B$15026,MATCH($A197,CS!$B:$B,0)+COLUMN(D$1),1),""))</f>
        <v/>
      </c>
      <c r="BK197" s="37" t="str">
        <f t="array" ref="BK197">IF($A197="","",IFERROR(INDEX(CS!$B$1:$B$15026,MATCH($A197,CS!$B:$B,0)+COLUMN(E$1),1),""))</f>
        <v/>
      </c>
      <c r="BL197" s="37" t="str">
        <f t="array" ref="BL197">IF($A197="","",IFERROR(INDEX(CS!$B$1:$B$15026,MATCH($A197,CS!$B:$B,0)+COLUMN(F$1),1),""))</f>
        <v/>
      </c>
      <c r="BM197" s="37" t="str">
        <f t="array" ref="BM197">IF($A197="","",IFERROR(INDEX(CS!$B$1:$B$15026,MATCH($A197,CS!$B:$B,0)+COLUMN(G$1),1),""))</f>
        <v/>
      </c>
      <c r="BN197" s="37" t="str">
        <f t="array" ref="BN197">IF($A197="","",IFERROR(INDEX(CS!$B$1:$B$15026,MATCH($A197,CS!$B:$B,0)+COLUMN(H$1),1),""))</f>
        <v/>
      </c>
      <c r="BO197" s="37" t="str">
        <f t="array" ref="BO197">IF($A197="","",IFERROR(INDEX(CS!$B$1:$B$15026,MATCH($A197,CS!$B:$B,0)+COLUMN(I$1),1),""))</f>
        <v/>
      </c>
      <c r="BP197" s="37" t="str">
        <f t="array" ref="BP197">IF($A197="","",IFERROR(INDEX(CS!$B$1:$B$15026,MATCH($A197,CS!$B:$B,0)+COLUMN(J$1),1),""))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IF($A198="","",IFERROR(INDEX(CS!$B$1:$B$15026,MATCH($A198,CS!$B:$B,0)+COLUMN(A$1),1),""))</f>
        <v/>
      </c>
      <c r="BH198" s="37" t="str">
        <f t="array" ref="BH198">IF($A198="","",IFERROR(INDEX(CS!$B$1:$B$15026,MATCH($A198,CS!$B:$B,0)+COLUMN(B$1),1),""))</f>
        <v/>
      </c>
      <c r="BI198" s="37" t="str">
        <f t="array" ref="BI198">IF($A198="","",IFERROR(INDEX(CS!$B$1:$B$15026,MATCH($A198,CS!$B:$B,0)+COLUMN(C$1),1),""))</f>
        <v/>
      </c>
      <c r="BJ198" s="37" t="str">
        <f t="array" ref="BJ198">IF($A198="","",IFERROR(INDEX(CS!$B$1:$B$15026,MATCH($A198,CS!$B:$B,0)+COLUMN(D$1),1),""))</f>
        <v/>
      </c>
      <c r="BK198" s="37" t="str">
        <f t="array" ref="BK198">IF($A198="","",IFERROR(INDEX(CS!$B$1:$B$15026,MATCH($A198,CS!$B:$B,0)+COLUMN(E$1),1),""))</f>
        <v/>
      </c>
      <c r="BL198" s="37" t="str">
        <f t="array" ref="BL198">IF($A198="","",IFERROR(INDEX(CS!$B$1:$B$15026,MATCH($A198,CS!$B:$B,0)+COLUMN(F$1),1),""))</f>
        <v/>
      </c>
      <c r="BM198" s="37" t="str">
        <f t="array" ref="BM198">IF($A198="","",IFERROR(INDEX(CS!$B$1:$B$15026,MATCH($A198,CS!$B:$B,0)+COLUMN(G$1),1),""))</f>
        <v/>
      </c>
      <c r="BN198" s="37" t="str">
        <f t="array" ref="BN198">IF($A198="","",IFERROR(INDEX(CS!$B$1:$B$15026,MATCH($A198,CS!$B:$B,0)+COLUMN(H$1),1),""))</f>
        <v/>
      </c>
      <c r="BO198" s="37" t="str">
        <f t="array" ref="BO198">IF($A198="","",IFERROR(INDEX(CS!$B$1:$B$15026,MATCH($A198,CS!$B:$B,0)+COLUMN(I$1),1),""))</f>
        <v/>
      </c>
      <c r="BP198" s="37" t="str">
        <f t="array" ref="BP198">IF($A198="","",IFERROR(INDEX(CS!$B$1:$B$15026,MATCH($A198,CS!$B:$B,0)+COLUMN(J$1),1),""))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IF($A199="","",IFERROR(INDEX(CS!$B$1:$B$15026,MATCH($A199,CS!$B:$B,0)+COLUMN(A$1),1),""))</f>
        <v/>
      </c>
      <c r="BH199" s="37" t="str">
        <f t="array" ref="BH199">IF($A199="","",IFERROR(INDEX(CS!$B$1:$B$15026,MATCH($A199,CS!$B:$B,0)+COLUMN(B$1),1),""))</f>
        <v/>
      </c>
      <c r="BI199" s="37" t="str">
        <f t="array" ref="BI199">IF($A199="","",IFERROR(INDEX(CS!$B$1:$B$15026,MATCH($A199,CS!$B:$B,0)+COLUMN(C$1),1),""))</f>
        <v/>
      </c>
      <c r="BJ199" s="37" t="str">
        <f t="array" ref="BJ199">IF($A199="","",IFERROR(INDEX(CS!$B$1:$B$15026,MATCH($A199,CS!$B:$B,0)+COLUMN(D$1),1),""))</f>
        <v/>
      </c>
      <c r="BK199" s="37" t="str">
        <f t="array" ref="BK199">IF($A199="","",IFERROR(INDEX(CS!$B$1:$B$15026,MATCH($A199,CS!$B:$B,0)+COLUMN(E$1),1),""))</f>
        <v/>
      </c>
      <c r="BL199" s="37" t="str">
        <f t="array" ref="BL199">IF($A199="","",IFERROR(INDEX(CS!$B$1:$B$15026,MATCH($A199,CS!$B:$B,0)+COLUMN(F$1),1),""))</f>
        <v/>
      </c>
      <c r="BM199" s="37" t="str">
        <f t="array" ref="BM199">IF($A199="","",IFERROR(INDEX(CS!$B$1:$B$15026,MATCH($A199,CS!$B:$B,0)+COLUMN(G$1),1),""))</f>
        <v/>
      </c>
      <c r="BN199" s="37" t="str">
        <f t="array" ref="BN199">IF($A199="","",IFERROR(INDEX(CS!$B$1:$B$15026,MATCH($A199,CS!$B:$B,0)+COLUMN(H$1),1),""))</f>
        <v/>
      </c>
      <c r="BO199" s="37" t="str">
        <f t="array" ref="BO199">IF($A199="","",IFERROR(INDEX(CS!$B$1:$B$15026,MATCH($A199,CS!$B:$B,0)+COLUMN(I$1),1),""))</f>
        <v/>
      </c>
      <c r="BP199" s="37" t="str">
        <f t="array" ref="BP199">IF($A199="","",IFERROR(INDEX(CS!$B$1:$B$15026,MATCH($A199,CS!$B:$B,0)+COLUMN(J$1),1),""))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IF($A200="","",IFERROR(INDEX(CS!$B$1:$B$15026,MATCH($A200,CS!$B:$B,0)+COLUMN(A$1),1),""))</f>
        <v/>
      </c>
      <c r="BH200" s="37" t="str">
        <f t="array" ref="BH200">IF($A200="","",IFERROR(INDEX(CS!$B$1:$B$15026,MATCH($A200,CS!$B:$B,0)+COLUMN(B$1),1),""))</f>
        <v/>
      </c>
      <c r="BI200" s="37" t="str">
        <f t="array" ref="BI200">IF($A200="","",IFERROR(INDEX(CS!$B$1:$B$15026,MATCH($A200,CS!$B:$B,0)+COLUMN(C$1),1),""))</f>
        <v/>
      </c>
      <c r="BJ200" s="37" t="str">
        <f t="array" ref="BJ200">IF($A200="","",IFERROR(INDEX(CS!$B$1:$B$15026,MATCH($A200,CS!$B:$B,0)+COLUMN(D$1),1),""))</f>
        <v/>
      </c>
      <c r="BK200" s="37" t="str">
        <f t="array" ref="BK200">IF($A200="","",IFERROR(INDEX(CS!$B$1:$B$15026,MATCH($A200,CS!$B:$B,0)+COLUMN(E$1),1),""))</f>
        <v/>
      </c>
      <c r="BL200" s="37" t="str">
        <f t="array" ref="BL200">IF($A200="","",IFERROR(INDEX(CS!$B$1:$B$15026,MATCH($A200,CS!$B:$B,0)+COLUMN(F$1),1),""))</f>
        <v/>
      </c>
      <c r="BM200" s="37" t="str">
        <f t="array" ref="BM200">IF($A200="","",IFERROR(INDEX(CS!$B$1:$B$15026,MATCH($A200,CS!$B:$B,0)+COLUMN(G$1),1),""))</f>
        <v/>
      </c>
      <c r="BN200" s="37" t="str">
        <f t="array" ref="BN200">IF($A200="","",IFERROR(INDEX(CS!$B$1:$B$15026,MATCH($A200,CS!$B:$B,0)+COLUMN(H$1),1),""))</f>
        <v/>
      </c>
      <c r="BO200" s="37" t="str">
        <f t="array" ref="BO200">IF($A200="","",IFERROR(INDEX(CS!$B$1:$B$15026,MATCH($A200,CS!$B:$B,0)+COLUMN(I$1),1),""))</f>
        <v/>
      </c>
      <c r="BP200" s="37" t="str">
        <f t="array" ref="BP200">IF($A200="","",IFERROR(INDEX(CS!$B$1:$B$15026,MATCH($A200,CS!$B:$B,0)+COLUMN(J$1),1),""))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IF($A201="","",IFERROR(INDEX(CS!$B$1:$B$15026,MATCH($A201,CS!$B:$B,0)+COLUMN(A$1),1),""))</f>
        <v/>
      </c>
      <c r="BH201" s="37" t="str">
        <f t="array" ref="BH201">IF($A201="","",IFERROR(INDEX(CS!$B$1:$B$15026,MATCH($A201,CS!$B:$B,0)+COLUMN(B$1),1),""))</f>
        <v/>
      </c>
      <c r="BI201" s="37" t="str">
        <f t="array" ref="BI201">IF($A201="","",IFERROR(INDEX(CS!$B$1:$B$15026,MATCH($A201,CS!$B:$B,0)+COLUMN(C$1),1),""))</f>
        <v/>
      </c>
      <c r="BJ201" s="37" t="str">
        <f t="array" ref="BJ201">IF($A201="","",IFERROR(INDEX(CS!$B$1:$B$15026,MATCH($A201,CS!$B:$B,0)+COLUMN(D$1),1),""))</f>
        <v/>
      </c>
      <c r="BK201" s="37" t="str">
        <f t="array" ref="BK201">IF($A201="","",IFERROR(INDEX(CS!$B$1:$B$15026,MATCH($A201,CS!$B:$B,0)+COLUMN(E$1),1),""))</f>
        <v/>
      </c>
      <c r="BL201" s="37" t="str">
        <f t="array" ref="BL201">IF($A201="","",IFERROR(INDEX(CS!$B$1:$B$15026,MATCH($A201,CS!$B:$B,0)+COLUMN(F$1),1),""))</f>
        <v/>
      </c>
      <c r="BM201" s="37" t="str">
        <f t="array" ref="BM201">IF($A201="","",IFERROR(INDEX(CS!$B$1:$B$15026,MATCH($A201,CS!$B:$B,0)+COLUMN(G$1),1),""))</f>
        <v/>
      </c>
      <c r="BN201" s="37" t="str">
        <f t="array" ref="BN201">IF($A201="","",IFERROR(INDEX(CS!$B$1:$B$15026,MATCH($A201,CS!$B:$B,0)+COLUMN(H$1),1),""))</f>
        <v/>
      </c>
      <c r="BO201" s="37" t="str">
        <f t="array" ref="BO201">IF($A201="","",IFERROR(INDEX(CS!$B$1:$B$15026,MATCH($A201,CS!$B:$B,0)+COLUMN(I$1),1),""))</f>
        <v/>
      </c>
      <c r="BP201" s="37" t="str">
        <f t="array" ref="BP201">IF($A201="","",IFERROR(INDEX(CS!$B$1:$B$15026,MATCH($A201,CS!$B:$B,0)+COLUMN(J$1),1),""))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IF($A202="","",IFERROR(INDEX(CS!$B$1:$B$15026,MATCH($A202,CS!$B:$B,0)+COLUMN(A$1),1),""))</f>
        <v/>
      </c>
      <c r="BH202" s="37" t="str">
        <f t="array" ref="BH202">IF($A202="","",IFERROR(INDEX(CS!$B$1:$B$15026,MATCH($A202,CS!$B:$B,0)+COLUMN(B$1),1),""))</f>
        <v/>
      </c>
      <c r="BI202" s="37" t="str">
        <f t="array" ref="BI202">IF($A202="","",IFERROR(INDEX(CS!$B$1:$B$15026,MATCH($A202,CS!$B:$B,0)+COLUMN(C$1),1),""))</f>
        <v/>
      </c>
      <c r="BJ202" s="37" t="str">
        <f t="array" ref="BJ202">IF($A202="","",IFERROR(INDEX(CS!$B$1:$B$15026,MATCH($A202,CS!$B:$B,0)+COLUMN(D$1),1),""))</f>
        <v/>
      </c>
      <c r="BK202" s="37" t="str">
        <f t="array" ref="BK202">IF($A202="","",IFERROR(INDEX(CS!$B$1:$B$15026,MATCH($A202,CS!$B:$B,0)+COLUMN(E$1),1),""))</f>
        <v/>
      </c>
      <c r="BL202" s="37" t="str">
        <f t="array" ref="BL202">IF($A202="","",IFERROR(INDEX(CS!$B$1:$B$15026,MATCH($A202,CS!$B:$B,0)+COLUMN(F$1),1),""))</f>
        <v/>
      </c>
      <c r="BM202" s="37" t="str">
        <f t="array" ref="BM202">IF($A202="","",IFERROR(INDEX(CS!$B$1:$B$15026,MATCH($A202,CS!$B:$B,0)+COLUMN(G$1),1),""))</f>
        <v/>
      </c>
      <c r="BN202" s="37" t="str">
        <f t="array" ref="BN202">IF($A202="","",IFERROR(INDEX(CS!$B$1:$B$15026,MATCH($A202,CS!$B:$B,0)+COLUMN(H$1),1),""))</f>
        <v/>
      </c>
      <c r="BO202" s="37" t="str">
        <f t="array" ref="BO202">IF($A202="","",IFERROR(INDEX(CS!$B$1:$B$15026,MATCH($A202,CS!$B:$B,0)+COLUMN(I$1),1),""))</f>
        <v/>
      </c>
      <c r="BP202" s="37" t="str">
        <f t="array" ref="BP202">IF($A202="","",IFERROR(INDEX(CS!$B$1:$B$15026,MATCH($A202,CS!$B:$B,0)+COLUMN(J$1),1),""))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IF($A203="","",IFERROR(INDEX(CS!$B$1:$B$15026,MATCH($A203,CS!$B:$B,0)+COLUMN(A$1),1),""))</f>
        <v/>
      </c>
      <c r="BH203" s="37" t="str">
        <f t="array" ref="BH203">IF($A203="","",IFERROR(INDEX(CS!$B$1:$B$15026,MATCH($A203,CS!$B:$B,0)+COLUMN(B$1),1),""))</f>
        <v/>
      </c>
      <c r="BI203" s="37" t="str">
        <f t="array" ref="BI203">IF($A203="","",IFERROR(INDEX(CS!$B$1:$B$15026,MATCH($A203,CS!$B:$B,0)+COLUMN(C$1),1),""))</f>
        <v/>
      </c>
      <c r="BJ203" s="37" t="str">
        <f t="array" ref="BJ203">IF($A203="","",IFERROR(INDEX(CS!$B$1:$B$15026,MATCH($A203,CS!$B:$B,0)+COLUMN(D$1),1),""))</f>
        <v/>
      </c>
      <c r="BK203" s="37" t="str">
        <f t="array" ref="BK203">IF($A203="","",IFERROR(INDEX(CS!$B$1:$B$15026,MATCH($A203,CS!$B:$B,0)+COLUMN(E$1),1),""))</f>
        <v/>
      </c>
      <c r="BL203" s="37" t="str">
        <f t="array" ref="BL203">IF($A203="","",IFERROR(INDEX(CS!$B$1:$B$15026,MATCH($A203,CS!$B:$B,0)+COLUMN(F$1),1),""))</f>
        <v/>
      </c>
      <c r="BM203" s="37" t="str">
        <f t="array" ref="BM203">IF($A203="","",IFERROR(INDEX(CS!$B$1:$B$15026,MATCH($A203,CS!$B:$B,0)+COLUMN(G$1),1),""))</f>
        <v/>
      </c>
      <c r="BN203" s="37" t="str">
        <f t="array" ref="BN203">IF($A203="","",IFERROR(INDEX(CS!$B$1:$B$15026,MATCH($A203,CS!$B:$B,0)+COLUMN(H$1),1),""))</f>
        <v/>
      </c>
      <c r="BO203" s="37" t="str">
        <f t="array" ref="BO203">IF($A203="","",IFERROR(INDEX(CS!$B$1:$B$15026,MATCH($A203,CS!$B:$B,0)+COLUMN(I$1),1),""))</f>
        <v/>
      </c>
      <c r="BP203" s="37" t="str">
        <f t="array" ref="BP203">IF($A203="","",IFERROR(INDEX(CS!$B$1:$B$15026,MATCH($A203,CS!$B:$B,0)+COLUMN(J$1),1),""))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IF($A204="","",IFERROR(INDEX(CS!$B$1:$B$15026,MATCH($A204,CS!$B:$B,0)+COLUMN(A$1),1),""))</f>
        <v/>
      </c>
      <c r="BH204" s="37" t="str">
        <f t="array" ref="BH204">IF($A204="","",IFERROR(INDEX(CS!$B$1:$B$15026,MATCH($A204,CS!$B:$B,0)+COLUMN(B$1),1),""))</f>
        <v/>
      </c>
      <c r="BI204" s="37" t="str">
        <f t="array" ref="BI204">IF($A204="","",IFERROR(INDEX(CS!$B$1:$B$15026,MATCH($A204,CS!$B:$B,0)+COLUMN(C$1),1),""))</f>
        <v/>
      </c>
      <c r="BJ204" s="37" t="str">
        <f t="array" ref="BJ204">IF($A204="","",IFERROR(INDEX(CS!$B$1:$B$15026,MATCH($A204,CS!$B:$B,0)+COLUMN(D$1),1),""))</f>
        <v/>
      </c>
      <c r="BK204" s="37" t="str">
        <f t="array" ref="BK204">IF($A204="","",IFERROR(INDEX(CS!$B$1:$B$15026,MATCH($A204,CS!$B:$B,0)+COLUMN(E$1),1),""))</f>
        <v/>
      </c>
      <c r="BL204" s="37" t="str">
        <f t="array" ref="BL204">IF($A204="","",IFERROR(INDEX(CS!$B$1:$B$15026,MATCH($A204,CS!$B:$B,0)+COLUMN(F$1),1),""))</f>
        <v/>
      </c>
      <c r="BM204" s="37" t="str">
        <f t="array" ref="BM204">IF($A204="","",IFERROR(INDEX(CS!$B$1:$B$15026,MATCH($A204,CS!$B:$B,0)+COLUMN(G$1),1),""))</f>
        <v/>
      </c>
      <c r="BN204" s="37" t="str">
        <f t="array" ref="BN204">IF($A204="","",IFERROR(INDEX(CS!$B$1:$B$15026,MATCH($A204,CS!$B:$B,0)+COLUMN(H$1),1),""))</f>
        <v/>
      </c>
      <c r="BO204" s="37" t="str">
        <f t="array" ref="BO204">IF($A204="","",IFERROR(INDEX(CS!$B$1:$B$15026,MATCH($A204,CS!$B:$B,0)+COLUMN(I$1),1),""))</f>
        <v/>
      </c>
      <c r="BP204" s="37" t="str">
        <f t="array" ref="BP204">IF($A204="","",IFERROR(INDEX(CS!$B$1:$B$15026,MATCH($A204,CS!$B:$B,0)+COLUMN(J$1),1),""))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IF($A205="","",IFERROR(INDEX(CS!$B$1:$B$15026,MATCH($A205,CS!$B:$B,0)+COLUMN(A$1),1),""))</f>
        <v/>
      </c>
      <c r="BH205" s="37" t="str">
        <f t="array" ref="BH205">IF($A205="","",IFERROR(INDEX(CS!$B$1:$B$15026,MATCH($A205,CS!$B:$B,0)+COLUMN(B$1),1),""))</f>
        <v/>
      </c>
      <c r="BI205" s="37" t="str">
        <f t="array" ref="BI205">IF($A205="","",IFERROR(INDEX(CS!$B$1:$B$15026,MATCH($A205,CS!$B:$B,0)+COLUMN(C$1),1),""))</f>
        <v/>
      </c>
      <c r="BJ205" s="37" t="str">
        <f t="array" ref="BJ205">IF($A205="","",IFERROR(INDEX(CS!$B$1:$B$15026,MATCH($A205,CS!$B:$B,0)+COLUMN(D$1),1),""))</f>
        <v/>
      </c>
      <c r="BK205" s="37" t="str">
        <f t="array" ref="BK205">IF($A205="","",IFERROR(INDEX(CS!$B$1:$B$15026,MATCH($A205,CS!$B:$B,0)+COLUMN(E$1),1),""))</f>
        <v/>
      </c>
      <c r="BL205" s="37" t="str">
        <f t="array" ref="BL205">IF($A205="","",IFERROR(INDEX(CS!$B$1:$B$15026,MATCH($A205,CS!$B:$B,0)+COLUMN(F$1),1),""))</f>
        <v/>
      </c>
      <c r="BM205" s="37" t="str">
        <f t="array" ref="BM205">IF($A205="","",IFERROR(INDEX(CS!$B$1:$B$15026,MATCH($A205,CS!$B:$B,0)+COLUMN(G$1),1),""))</f>
        <v/>
      </c>
      <c r="BN205" s="37" t="str">
        <f t="array" ref="BN205">IF($A205="","",IFERROR(INDEX(CS!$B$1:$B$15026,MATCH($A205,CS!$B:$B,0)+COLUMN(H$1),1),""))</f>
        <v/>
      </c>
      <c r="BO205" s="37" t="str">
        <f t="array" ref="BO205">IF($A205="","",IFERROR(INDEX(CS!$B$1:$B$15026,MATCH($A205,CS!$B:$B,0)+COLUMN(I$1),1),""))</f>
        <v/>
      </c>
      <c r="BP205" s="37" t="str">
        <f t="array" ref="BP205">IF($A205="","",IFERROR(INDEX(CS!$B$1:$B$15026,MATCH($A205,CS!$B:$B,0)+COLUMN(J$1),1),""))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IF($A206="","",IFERROR(INDEX(CS!$B$1:$B$15026,MATCH($A206,CS!$B:$B,0)+COLUMN(A$1),1),""))</f>
        <v/>
      </c>
      <c r="BH206" s="37" t="str">
        <f t="array" ref="BH206">IF($A206="","",IFERROR(INDEX(CS!$B$1:$B$15026,MATCH($A206,CS!$B:$B,0)+COLUMN(B$1),1),""))</f>
        <v/>
      </c>
      <c r="BI206" s="37" t="str">
        <f t="array" ref="BI206">IF($A206="","",IFERROR(INDEX(CS!$B$1:$B$15026,MATCH($A206,CS!$B:$B,0)+COLUMN(C$1),1),""))</f>
        <v/>
      </c>
      <c r="BJ206" s="37" t="str">
        <f t="array" ref="BJ206">IF($A206="","",IFERROR(INDEX(CS!$B$1:$B$15026,MATCH($A206,CS!$B:$B,0)+COLUMN(D$1),1),""))</f>
        <v/>
      </c>
      <c r="BK206" s="37" t="str">
        <f t="array" ref="BK206">IF($A206="","",IFERROR(INDEX(CS!$B$1:$B$15026,MATCH($A206,CS!$B:$B,0)+COLUMN(E$1),1),""))</f>
        <v/>
      </c>
      <c r="BL206" s="37" t="str">
        <f t="array" ref="BL206">IF($A206="","",IFERROR(INDEX(CS!$B$1:$B$15026,MATCH($A206,CS!$B:$B,0)+COLUMN(F$1),1),""))</f>
        <v/>
      </c>
      <c r="BM206" s="37" t="str">
        <f t="array" ref="BM206">IF($A206="","",IFERROR(INDEX(CS!$B$1:$B$15026,MATCH($A206,CS!$B:$B,0)+COLUMN(G$1),1),""))</f>
        <v/>
      </c>
      <c r="BN206" s="37" t="str">
        <f t="array" ref="BN206">IF($A206="","",IFERROR(INDEX(CS!$B$1:$B$15026,MATCH($A206,CS!$B:$B,0)+COLUMN(H$1),1),""))</f>
        <v/>
      </c>
      <c r="BO206" s="37" t="str">
        <f t="array" ref="BO206">IF($A206="","",IFERROR(INDEX(CS!$B$1:$B$15026,MATCH($A206,CS!$B:$B,0)+COLUMN(I$1),1),""))</f>
        <v/>
      </c>
      <c r="BP206" s="37" t="str">
        <f t="array" ref="BP206">IF($A206="","",IFERROR(INDEX(CS!$B$1:$B$15026,MATCH($A206,CS!$B:$B,0)+COLUMN(J$1),1),""))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IF($A207="","",IFERROR(INDEX(CS!$B$1:$B$15026,MATCH($A207,CS!$B:$B,0)+COLUMN(A$1),1),""))</f>
        <v>広大な森</v>
      </c>
      <c r="BH207" s="37" t="str">
        <f t="array" ref="BH207">IF($A207="","",IFERROR(INDEX(CS!$B$1:$B$15026,MATCH($A207,CS!$B:$B,0)+COLUMN(B$1),1),""))</f>
        <v>大地震</v>
      </c>
      <c r="BI207" s="37" t="str">
        <f t="array" ref="BI207">IF($A207="","",IFERROR(INDEX(CS!$B$1:$B$15026,MATCH($A207,CS!$B:$B,0)+COLUMN(C$1),1),""))</f>
        <v>大津波</v>
      </c>
      <c r="BJ207" s="37" t="str">
        <f t="array" ref="BJ207">IF($A207="","",IFERROR(INDEX(CS!$B$1:$B$15026,MATCH($A207,CS!$B:$B,0)+COLUMN(D$1),1),""))</f>
        <v/>
      </c>
      <c r="BK207" s="37" t="str">
        <f t="array" ref="BK207">IF($A207="","",IFERROR(INDEX(CS!$B$1:$B$15026,MATCH($A207,CS!$B:$B,0)+COLUMN(E$1),1),""))</f>
        <v>砂界</v>
      </c>
      <c r="BL207" s="37" t="str">
        <f t="array" ref="BL207">IF($A207="","",IFERROR(INDEX(CS!$B$1:$B$15026,MATCH($A207,CS!$B:$B,0)+COLUMN(F$1),1),""))</f>
        <v/>
      </c>
      <c r="BM207" s="37" t="str">
        <f t="array" ref="BM207">IF($A207="","",IFERROR(INDEX(CS!$B$1:$B$15026,MATCH($A207,CS!$B:$B,0)+COLUMN(G$1),1),""))</f>
        <v>極渦</v>
      </c>
      <c r="BN207" s="37" t="str">
        <f t="array" ref="BN207">IF($A207="","",IFERROR(INDEX(CS!$B$1:$B$15026,MATCH($A207,CS!$B:$B,0)+COLUMN(H$1),1),""))</f>
        <v/>
      </c>
      <c r="BO207" s="37" t="str">
        <f t="array" ref="BO207">IF($A207="","",IFERROR(INDEX(CS!$B$1:$B$15026,MATCH($A207,CS!$B:$B,0)+COLUMN(I$1),1),""))</f>
        <v>地底噴火</v>
      </c>
      <c r="BP207" s="37" t="str">
        <f t="array" ref="BP207">IF($A207="","",IFERROR(INDEX(CS!$B$1:$B$15026,MATCH($A207,CS!$B:$B,0)+COLUMN(J$1),1),""))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IF($A208="","",IFERROR(INDEX(CS!$B$1:$B$15026,MATCH($A208,CS!$B:$B,0)+COLUMN(A$1),1),""))</f>
        <v/>
      </c>
      <c r="BH208" s="37" t="str">
        <f t="array" ref="BH208">IF($A208="","",IFERROR(INDEX(CS!$B$1:$B$15026,MATCH($A208,CS!$B:$B,0)+COLUMN(B$1),1),""))</f>
        <v/>
      </c>
      <c r="BI208" s="37" t="str">
        <f t="array" ref="BI208">IF($A208="","",IFERROR(INDEX(CS!$B$1:$B$15026,MATCH($A208,CS!$B:$B,0)+COLUMN(C$1),1),""))</f>
        <v/>
      </c>
      <c r="BJ208" s="37" t="str">
        <f t="array" ref="BJ208">IF($A208="","",IFERROR(INDEX(CS!$B$1:$B$15026,MATCH($A208,CS!$B:$B,0)+COLUMN(D$1),1),""))</f>
        <v/>
      </c>
      <c r="BK208" s="37" t="str">
        <f t="array" ref="BK208">IF($A208="","",IFERROR(INDEX(CS!$B$1:$B$15026,MATCH($A208,CS!$B:$B,0)+COLUMN(E$1),1),""))</f>
        <v/>
      </c>
      <c r="BL208" s="37" t="str">
        <f t="array" ref="BL208">IF($A208="","",IFERROR(INDEX(CS!$B$1:$B$15026,MATCH($A208,CS!$B:$B,0)+COLUMN(F$1),1),""))</f>
        <v/>
      </c>
      <c r="BM208" s="37" t="str">
        <f t="array" ref="BM208">IF($A208="","",IFERROR(INDEX(CS!$B$1:$B$15026,MATCH($A208,CS!$B:$B,0)+COLUMN(G$1),1),""))</f>
        <v/>
      </c>
      <c r="BN208" s="37" t="str">
        <f t="array" ref="BN208">IF($A208="","",IFERROR(INDEX(CS!$B$1:$B$15026,MATCH($A208,CS!$B:$B,0)+COLUMN(H$1),1),""))</f>
        <v/>
      </c>
      <c r="BO208" s="37" t="str">
        <f t="array" ref="BO208">IF($A208="","",IFERROR(INDEX(CS!$B$1:$B$15026,MATCH($A208,CS!$B:$B,0)+COLUMN(I$1),1),""))</f>
        <v/>
      </c>
      <c r="BP208" s="37" t="str">
        <f t="array" ref="BP208">IF($A208="","",IFERROR(INDEX(CS!$B$1:$B$15026,MATCH($A208,CS!$B:$B,0)+COLUMN(J$1),1),""))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INDEX(CS!$B$1:$B$15026,MATCH($A209,CS!$B:$B,0)+COLUMN(A$1),1))</f>
        <v/>
      </c>
      <c r="BH209" s="37" t="str">
        <f t="array" ref="BH209">IF($A209="","", INDEX(CS!$B$1:$B$15026,MATCH($A209,CS!$B:$B,0)+COLUMN(B$1),1))</f>
        <v/>
      </c>
      <c r="BI209" s="37" t="str">
        <f t="array" ref="BI209">IF($A209="","", INDEX(CS!$B$1:$B$15026,MATCH($A209,CS!$B:$B,0)+COLUMN(C$1),1))</f>
        <v/>
      </c>
      <c r="BJ209" s="37" t="str">
        <f t="array" ref="BJ209">IF($A209="","", INDEX(CS!$B$1:$B$15026,MATCH($A209,CS!$B:$B,0)+COLUMN(D$1),1))</f>
        <v/>
      </c>
      <c r="BK209" s="37" t="str">
        <f t="array" ref="BK209">IF($A209="","", INDEX(CS!$B$1:$B$15026,MATCH($A209,CS!$B:$B,0)+COLUMN(E$1),1))</f>
        <v/>
      </c>
      <c r="BL209" s="37" t="str">
        <f t="array" ref="BL209">IF($A209="","", INDEX(CS!$B$1:$B$15026,MATCH($A209,CS!$B:$B,0)+COLUMN(F$1),1))</f>
        <v/>
      </c>
      <c r="BM209" s="37" t="str">
        <f t="array" ref="BM209">IF($A209="","", INDEX(CS!$B$1:$B$15026,MATCH($A209,CS!$B:$B,0)+COLUMN(G$1),1))</f>
        <v/>
      </c>
      <c r="BN209" s="37" t="str">
        <f t="array" ref="BN209">IF($A209="","", INDEX(CS!$B$1:$B$15026,MATCH($A209,CS!$B:$B,0)+COLUMN(H$1),1))</f>
        <v/>
      </c>
      <c r="BO209" s="37" t="str">
        <f t="array" ref="BO209">IF($A209="","", INDEX(CS!$B$1:$B$15026,MATCH($A209,CS!$B:$B,0)+COLUMN(I$1),1))</f>
        <v/>
      </c>
      <c r="BP209" s="37" t="str">
        <f t="array" ref="BP209">IF($A209="","", INDEX(CS!$B$1:$B$15026,MATCH($A209,CS!$B:$B,0)+COLUMN(J$1),1))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INDEX(CS!$B$1:$B$15026,MATCH($A210,CS!$B:$B,0)+COLUMN(A$1),1))</f>
        <v/>
      </c>
      <c r="BH210" s="37" t="str">
        <f t="array" ref="BH210">IF($A210="","", INDEX(CS!$B$1:$B$15026,MATCH($A210,CS!$B:$B,0)+COLUMN(B$1),1))</f>
        <v/>
      </c>
      <c r="BI210" s="37" t="str">
        <f t="array" ref="BI210">IF($A210="","", INDEX(CS!$B$1:$B$15026,MATCH($A210,CS!$B:$B,0)+COLUMN(C$1),1))</f>
        <v/>
      </c>
      <c r="BJ210" s="37" t="str">
        <f t="array" ref="BJ210">IF($A210="","", INDEX(CS!$B$1:$B$15026,MATCH($A210,CS!$B:$B,0)+COLUMN(D$1),1))</f>
        <v/>
      </c>
      <c r="BK210" s="37" t="str">
        <f t="array" ref="BK210">IF($A210="","", INDEX(CS!$B$1:$B$15026,MATCH($A210,CS!$B:$B,0)+COLUMN(E$1),1))</f>
        <v/>
      </c>
      <c r="BL210" s="37" t="str">
        <f t="array" ref="BL210">IF($A210="","", INDEX(CS!$B$1:$B$15026,MATCH($A210,CS!$B:$B,0)+COLUMN(F$1),1))</f>
        <v/>
      </c>
      <c r="BM210" s="37" t="str">
        <f t="array" ref="BM210">IF($A210="","", INDEX(CS!$B$1:$B$15026,MATCH($A210,CS!$B:$B,0)+COLUMN(G$1),1))</f>
        <v/>
      </c>
      <c r="BN210" s="37" t="str">
        <f t="array" ref="BN210">IF($A210="","", INDEX(CS!$B$1:$B$15026,MATCH($A210,CS!$B:$B,0)+COLUMN(H$1),1))</f>
        <v/>
      </c>
      <c r="BO210" s="37" t="str">
        <f t="array" ref="BO210">IF($A210="","", INDEX(CS!$B$1:$B$15026,MATCH($A210,CS!$B:$B,0)+COLUMN(I$1),1))</f>
        <v/>
      </c>
      <c r="BP210" s="37" t="str">
        <f t="array" ref="BP210">IF($A210="","", INDEX(CS!$B$1:$B$15026,MATCH($A210,CS!$B:$B,0)+COLUMN(J$1),1))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IF($A211="","",IFERROR(INDEX(CS!$B$1:$B$15026,MATCH($A211,CS!$B:$B,0)+COLUMN(A$1),1),""))</f>
        <v>英雄の歌</v>
      </c>
      <c r="BH211" s="37" t="str">
        <f t="array" ref="BH211">IF($A211="","",IFERROR(INDEX(CS!$B$1:$B$15026,MATCH($A211,CS!$B:$B,0)+COLUMN(B$1),1),""))</f>
        <v>破調</v>
      </c>
      <c r="BI211" s="37" t="str">
        <f t="array" ref="BI211">IF($A211="","",IFERROR(INDEX(CS!$B$1:$B$15026,MATCH($A211,CS!$B:$B,0)+COLUMN(C$1),1),""))</f>
        <v>歌唱技術</v>
      </c>
      <c r="BJ211" s="37" t="str">
        <f t="array" ref="BJ211">IF($A211="","",IFERROR(INDEX(CS!$B$1:$B$15026,MATCH($A211,CS!$B:$B,0)+COLUMN(D$1),1),""))</f>
        <v/>
      </c>
      <c r="BK211" s="37" t="str">
        <f t="array" ref="BK211">IF($A211="","",IFERROR(INDEX(CS!$B$1:$B$15026,MATCH($A211,CS!$B:$B,0)+COLUMN(E$1),1),""))</f>
        <v>共鳴障壁</v>
      </c>
      <c r="BL211" s="37" t="str">
        <f t="array" ref="BL211">IF($A211="","",IFERROR(INDEX(CS!$B$1:$B$15026,MATCH($A211,CS!$B:$B,0)+COLUMN(F$1),1),""))</f>
        <v/>
      </c>
      <c r="BM211" s="37" t="str">
        <f t="array" ref="BM211">IF($A211="","",IFERROR(INDEX(CS!$B$1:$B$15026,MATCH($A211,CS!$B:$B,0)+COLUMN(G$1),1),""))</f>
        <v>凱歌</v>
      </c>
      <c r="BN211" s="37" t="str">
        <f t="array" ref="BN211">IF($A211="","",IFERROR(INDEX(CS!$B$1:$B$15026,MATCH($A211,CS!$B:$B,0)+COLUMN(H$1),1),""))</f>
        <v/>
      </c>
      <c r="BO211" s="37" t="str">
        <f t="array" ref="BO211">IF($A211="","",IFERROR(INDEX(CS!$B$1:$B$15026,MATCH($A211,CS!$B:$B,0)+COLUMN(I$1),1),""))</f>
        <v>大喝采</v>
      </c>
      <c r="BP211" s="37" t="str">
        <f t="array" ref="BP211">IF($A211="","",IFERROR(INDEX(CS!$B$1:$B$15026,MATCH($A211,CS!$B:$B,0)+COLUMN(J$1),1),""))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IF($A212="","",IFERROR(INDEX(CS!$B$1:$B$15026,MATCH($A212,CS!$B:$B,0)+COLUMN(A$1),1),""))</f>
        <v/>
      </c>
      <c r="BH212" s="37" t="str">
        <f t="array" ref="BH212">IF($A212="","",IFERROR(INDEX(CS!$B$1:$B$15026,MATCH($A212,CS!$B:$B,0)+COLUMN(B$1),1),""))</f>
        <v/>
      </c>
      <c r="BI212" s="37" t="str">
        <f t="array" ref="BI212">IF($A212="","",IFERROR(INDEX(CS!$B$1:$B$15026,MATCH($A212,CS!$B:$B,0)+COLUMN(C$1),1),""))</f>
        <v/>
      </c>
      <c r="BJ212" s="37" t="str">
        <f t="array" ref="BJ212">IF($A212="","",IFERROR(INDEX(CS!$B$1:$B$15026,MATCH($A212,CS!$B:$B,0)+COLUMN(D$1),1),""))</f>
        <v/>
      </c>
      <c r="BK212" s="37" t="str">
        <f t="array" ref="BK212">IF($A212="","",IFERROR(INDEX(CS!$B$1:$B$15026,MATCH($A212,CS!$B:$B,0)+COLUMN(E$1),1),""))</f>
        <v/>
      </c>
      <c r="BL212" s="37" t="str">
        <f t="array" ref="BL212">IF($A212="","",IFERROR(INDEX(CS!$B$1:$B$15026,MATCH($A212,CS!$B:$B,0)+COLUMN(F$1),1),""))</f>
        <v/>
      </c>
      <c r="BM212" s="37" t="str">
        <f t="array" ref="BM212">IF($A212="","",IFERROR(INDEX(CS!$B$1:$B$15026,MATCH($A212,CS!$B:$B,0)+COLUMN(G$1),1),""))</f>
        <v/>
      </c>
      <c r="BN212" s="37" t="str">
        <f t="array" ref="BN212">IF($A212="","",IFERROR(INDEX(CS!$B$1:$B$15026,MATCH($A212,CS!$B:$B,0)+COLUMN(H$1),1),""))</f>
        <v/>
      </c>
      <c r="BO212" s="37" t="str">
        <f t="array" ref="BO212">IF($A212="","",IFERROR(INDEX(CS!$B$1:$B$15026,MATCH($A212,CS!$B:$B,0)+COLUMN(I$1),1),""))</f>
        <v/>
      </c>
      <c r="BP212" s="37" t="str">
        <f t="array" ref="BP212">IF($A212="","",IFERROR(INDEX(CS!$B$1:$B$15026,MATCH($A212,CS!$B:$B,0)+COLUMN(J$1),1),""))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IF($A213="","",IFERROR(INDEX(CS!$B$1:$B$15026,MATCH($A213,CS!$B:$B,0)+COLUMN(A$1),1),""))</f>
        <v/>
      </c>
      <c r="BH213" s="37" t="str">
        <f t="array" ref="BH213">IF($A213="","",IFERROR(INDEX(CS!$B$1:$B$15026,MATCH($A213,CS!$B:$B,0)+COLUMN(B$1),1),""))</f>
        <v/>
      </c>
      <c r="BI213" s="37" t="str">
        <f t="array" ref="BI213">IF($A213="","",IFERROR(INDEX(CS!$B$1:$B$15026,MATCH($A213,CS!$B:$B,0)+COLUMN(C$1),1),""))</f>
        <v/>
      </c>
      <c r="BJ213" s="37" t="str">
        <f t="array" ref="BJ213">IF($A213="","",IFERROR(INDEX(CS!$B$1:$B$15026,MATCH($A213,CS!$B:$B,0)+COLUMN(D$1),1),""))</f>
        <v/>
      </c>
      <c r="BK213" s="37" t="str">
        <f t="array" ref="BK213">IF($A213="","",IFERROR(INDEX(CS!$B$1:$B$15026,MATCH($A213,CS!$B:$B,0)+COLUMN(E$1),1),""))</f>
        <v/>
      </c>
      <c r="BL213" s="37" t="str">
        <f t="array" ref="BL213">IF($A213="","",IFERROR(INDEX(CS!$B$1:$B$15026,MATCH($A213,CS!$B:$B,0)+COLUMN(F$1),1),""))</f>
        <v/>
      </c>
      <c r="BM213" s="37" t="str">
        <f t="array" ref="BM213">IF($A213="","",IFERROR(INDEX(CS!$B$1:$B$15026,MATCH($A213,CS!$B:$B,0)+COLUMN(G$1),1),""))</f>
        <v/>
      </c>
      <c r="BN213" s="37" t="str">
        <f t="array" ref="BN213">IF($A213="","",IFERROR(INDEX(CS!$B$1:$B$15026,MATCH($A213,CS!$B:$B,0)+COLUMN(H$1),1),""))</f>
        <v/>
      </c>
      <c r="BO213" s="37" t="str">
        <f t="array" ref="BO213">IF($A213="","",IFERROR(INDEX(CS!$B$1:$B$15026,MATCH($A213,CS!$B:$B,0)+COLUMN(I$1),1),""))</f>
        <v/>
      </c>
      <c r="BP213" s="37" t="str">
        <f t="array" ref="BP213">IF($A213="","",IFERROR(INDEX(CS!$B$1:$B$15026,MATCH($A213,CS!$B:$B,0)+COLUMN(J$1),1),""))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IF($A214="","",IFERROR(INDEX(CS!$B$1:$B$15026,MATCH($A214,CS!$B:$B,0)+COLUMN(A$1),1),""))</f>
        <v/>
      </c>
      <c r="BH214" s="37" t="str">
        <f t="array" ref="BH214">IF($A214="","",IFERROR(INDEX(CS!$B$1:$B$15026,MATCH($A214,CS!$B:$B,0)+COLUMN(B$1),1),""))</f>
        <v/>
      </c>
      <c r="BI214" s="37" t="str">
        <f t="array" ref="BI214">IF($A214="","",IFERROR(INDEX(CS!$B$1:$B$15026,MATCH($A214,CS!$B:$B,0)+COLUMN(C$1),1),""))</f>
        <v/>
      </c>
      <c r="BJ214" s="37" t="str">
        <f t="array" ref="BJ214">IF($A214="","",IFERROR(INDEX(CS!$B$1:$B$15026,MATCH($A214,CS!$B:$B,0)+COLUMN(D$1),1),""))</f>
        <v/>
      </c>
      <c r="BK214" s="37" t="str">
        <f t="array" ref="BK214">IF($A214="","",IFERROR(INDEX(CS!$B$1:$B$15026,MATCH($A214,CS!$B:$B,0)+COLUMN(E$1),1),""))</f>
        <v/>
      </c>
      <c r="BL214" s="37" t="str">
        <f t="array" ref="BL214">IF($A214="","",IFERROR(INDEX(CS!$B$1:$B$15026,MATCH($A214,CS!$B:$B,0)+COLUMN(F$1),1),""))</f>
        <v/>
      </c>
      <c r="BM214" s="37" t="str">
        <f t="array" ref="BM214">IF($A214="","",IFERROR(INDEX(CS!$B$1:$B$15026,MATCH($A214,CS!$B:$B,0)+COLUMN(G$1),1),""))</f>
        <v/>
      </c>
      <c r="BN214" s="37" t="str">
        <f t="array" ref="BN214">IF($A214="","",IFERROR(INDEX(CS!$B$1:$B$15026,MATCH($A214,CS!$B:$B,0)+COLUMN(H$1),1),""))</f>
        <v/>
      </c>
      <c r="BO214" s="37" t="str">
        <f t="array" ref="BO214">IF($A214="","",IFERROR(INDEX(CS!$B$1:$B$15026,MATCH($A214,CS!$B:$B,0)+COLUMN(I$1),1),""))</f>
        <v/>
      </c>
      <c r="BP214" s="37" t="str">
        <f t="array" ref="BP214">IF($A214="","",IFERROR(INDEX(CS!$B$1:$B$15026,MATCH($A214,CS!$B:$B,0)+COLUMN(J$1),1),""))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IF($A215="","",IFERROR(INDEX(CS!$B$1:$B$15026,MATCH($A215,CS!$B:$B,0)+COLUMN(A$1),1),""))</f>
        <v/>
      </c>
      <c r="BH215" s="37" t="str">
        <f t="array" ref="BH215">IF($A215="","",IFERROR(INDEX(CS!$B$1:$B$15026,MATCH($A215,CS!$B:$B,0)+COLUMN(B$1),1),""))</f>
        <v/>
      </c>
      <c r="BI215" s="37" t="str">
        <f t="array" ref="BI215">IF($A215="","",IFERROR(INDEX(CS!$B$1:$B$15026,MATCH($A215,CS!$B:$B,0)+COLUMN(C$1),1),""))</f>
        <v/>
      </c>
      <c r="BJ215" s="37" t="str">
        <f t="array" ref="BJ215">IF($A215="","",IFERROR(INDEX(CS!$B$1:$B$15026,MATCH($A215,CS!$B:$B,0)+COLUMN(D$1),1),""))</f>
        <v/>
      </c>
      <c r="BK215" s="37" t="str">
        <f t="array" ref="BK215">IF($A215="","",IFERROR(INDEX(CS!$B$1:$B$15026,MATCH($A215,CS!$B:$B,0)+COLUMN(E$1),1),""))</f>
        <v/>
      </c>
      <c r="BL215" s="37" t="str">
        <f t="array" ref="BL215">IF($A215="","",IFERROR(INDEX(CS!$B$1:$B$15026,MATCH($A215,CS!$B:$B,0)+COLUMN(F$1),1),""))</f>
        <v/>
      </c>
      <c r="BM215" s="37" t="str">
        <f t="array" ref="BM215">IF($A215="","",IFERROR(INDEX(CS!$B$1:$B$15026,MATCH($A215,CS!$B:$B,0)+COLUMN(G$1),1),""))</f>
        <v/>
      </c>
      <c r="BN215" s="37" t="str">
        <f t="array" ref="BN215">IF($A215="","",IFERROR(INDEX(CS!$B$1:$B$15026,MATCH($A215,CS!$B:$B,0)+COLUMN(H$1),1),""))</f>
        <v/>
      </c>
      <c r="BO215" s="37" t="str">
        <f t="array" ref="BO215">IF($A215="","",IFERROR(INDEX(CS!$B$1:$B$15026,MATCH($A215,CS!$B:$B,0)+COLUMN(I$1),1),""))</f>
        <v/>
      </c>
      <c r="BP215" s="37" t="str">
        <f t="array" ref="BP215">IF($A215="","",IFERROR(INDEX(CS!$B$1:$B$15026,MATCH($A215,CS!$B:$B,0)+COLUMN(J$1),1),""))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IF($A216="","",IFERROR(INDEX(CS!$B$1:$B$15026,MATCH($A216,CS!$B:$B,0)+COLUMN(A$1),1),""))</f>
        <v/>
      </c>
      <c r="BH216" s="37" t="str">
        <f t="array" ref="BH216">IF($A216="","",IFERROR(INDEX(CS!$B$1:$B$15026,MATCH($A216,CS!$B:$B,0)+COLUMN(B$1),1),""))</f>
        <v/>
      </c>
      <c r="BI216" s="37" t="str">
        <f t="array" ref="BI216">IF($A216="","",IFERROR(INDEX(CS!$B$1:$B$15026,MATCH($A216,CS!$B:$B,0)+COLUMN(C$1),1),""))</f>
        <v/>
      </c>
      <c r="BJ216" s="37" t="str">
        <f t="array" ref="BJ216">IF($A216="","",IFERROR(INDEX(CS!$B$1:$B$15026,MATCH($A216,CS!$B:$B,0)+COLUMN(D$1),1),""))</f>
        <v/>
      </c>
      <c r="BK216" s="37" t="str">
        <f t="array" ref="BK216">IF($A216="","",IFERROR(INDEX(CS!$B$1:$B$15026,MATCH($A216,CS!$B:$B,0)+COLUMN(E$1),1),""))</f>
        <v/>
      </c>
      <c r="BL216" s="37" t="str">
        <f t="array" ref="BL216">IF($A216="","",IFERROR(INDEX(CS!$B$1:$B$15026,MATCH($A216,CS!$B:$B,0)+COLUMN(F$1),1),""))</f>
        <v/>
      </c>
      <c r="BM216" s="37" t="str">
        <f t="array" ref="BM216">IF($A216="","",IFERROR(INDEX(CS!$B$1:$B$15026,MATCH($A216,CS!$B:$B,0)+COLUMN(G$1),1),""))</f>
        <v/>
      </c>
      <c r="BN216" s="37" t="str">
        <f t="array" ref="BN216">IF($A216="","",IFERROR(INDEX(CS!$B$1:$B$15026,MATCH($A216,CS!$B:$B,0)+COLUMN(H$1),1),""))</f>
        <v/>
      </c>
      <c r="BO216" s="37" t="str">
        <f t="array" ref="BO216">IF($A216="","",IFERROR(INDEX(CS!$B$1:$B$15026,MATCH($A216,CS!$B:$B,0)+COLUMN(I$1),1),""))</f>
        <v/>
      </c>
      <c r="BP216" s="37" t="str">
        <f t="array" ref="BP216">IF($A216="","",IFERROR(INDEX(CS!$B$1:$B$15026,MATCH($A216,CS!$B:$B,0)+COLUMN(J$1),1),""))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IF($A217="","",IFERROR(INDEX(CS!$B$1:$B$15026,MATCH($A217,CS!$B:$B,0)+COLUMN(A$1),1),""))</f>
        <v/>
      </c>
      <c r="BH217" s="37" t="str">
        <f t="array" ref="BH217">IF($A217="","",IFERROR(INDEX(CS!$B$1:$B$15026,MATCH($A217,CS!$B:$B,0)+COLUMN(B$1),1),""))</f>
        <v/>
      </c>
      <c r="BI217" s="37" t="str">
        <f t="array" ref="BI217">IF($A217="","",IFERROR(INDEX(CS!$B$1:$B$15026,MATCH($A217,CS!$B:$B,0)+COLUMN(C$1),1),""))</f>
        <v/>
      </c>
      <c r="BJ217" s="37" t="str">
        <f t="array" ref="BJ217">IF($A217="","",IFERROR(INDEX(CS!$B$1:$B$15026,MATCH($A217,CS!$B:$B,0)+COLUMN(D$1),1),""))</f>
        <v/>
      </c>
      <c r="BK217" s="37" t="str">
        <f t="array" ref="BK217">IF($A217="","",IFERROR(INDEX(CS!$B$1:$B$15026,MATCH($A217,CS!$B:$B,0)+COLUMN(E$1),1),""))</f>
        <v/>
      </c>
      <c r="BL217" s="37" t="str">
        <f t="array" ref="BL217">IF($A217="","",IFERROR(INDEX(CS!$B$1:$B$15026,MATCH($A217,CS!$B:$B,0)+COLUMN(F$1),1),""))</f>
        <v/>
      </c>
      <c r="BM217" s="37" t="str">
        <f t="array" ref="BM217">IF($A217="","",IFERROR(INDEX(CS!$B$1:$B$15026,MATCH($A217,CS!$B:$B,0)+COLUMN(G$1),1),""))</f>
        <v/>
      </c>
      <c r="BN217" s="37" t="str">
        <f t="array" ref="BN217">IF($A217="","",IFERROR(INDEX(CS!$B$1:$B$15026,MATCH($A217,CS!$B:$B,0)+COLUMN(H$1),1),""))</f>
        <v/>
      </c>
      <c r="BO217" s="37" t="str">
        <f t="array" ref="BO217">IF($A217="","",IFERROR(INDEX(CS!$B$1:$B$15026,MATCH($A217,CS!$B:$B,0)+COLUMN(I$1),1),""))</f>
        <v/>
      </c>
      <c r="BP217" s="37" t="str">
        <f t="array" ref="BP217">IF($A217="","",IFERROR(INDEX(CS!$B$1:$B$15026,MATCH($A217,CS!$B:$B,0)+COLUMN(J$1),1),""))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IF($A218="","",IFERROR(INDEX(CS!$B$1:$B$15026,MATCH($A218,CS!$B:$B,0)+COLUMN(A$1),1),""))</f>
        <v/>
      </c>
      <c r="BH218" s="37" t="str">
        <f t="array" ref="BH218">IF($A218="","",IFERROR(INDEX(CS!$B$1:$B$15026,MATCH($A218,CS!$B:$B,0)+COLUMN(B$1),1),""))</f>
        <v/>
      </c>
      <c r="BI218" s="37" t="str">
        <f t="array" ref="BI218">IF($A218="","",IFERROR(INDEX(CS!$B$1:$B$15026,MATCH($A218,CS!$B:$B,0)+COLUMN(C$1),1),""))</f>
        <v/>
      </c>
      <c r="BJ218" s="37" t="str">
        <f t="array" ref="BJ218">IF($A218="","",IFERROR(INDEX(CS!$B$1:$B$15026,MATCH($A218,CS!$B:$B,0)+COLUMN(D$1),1),""))</f>
        <v/>
      </c>
      <c r="BK218" s="37" t="str">
        <f t="array" ref="BK218">IF($A218="","",IFERROR(INDEX(CS!$B$1:$B$15026,MATCH($A218,CS!$B:$B,0)+COLUMN(E$1),1),""))</f>
        <v/>
      </c>
      <c r="BL218" s="37" t="str">
        <f t="array" ref="BL218">IF($A218="","",IFERROR(INDEX(CS!$B$1:$B$15026,MATCH($A218,CS!$B:$B,0)+COLUMN(F$1),1),""))</f>
        <v/>
      </c>
      <c r="BM218" s="37" t="str">
        <f t="array" ref="BM218">IF($A218="","",IFERROR(INDEX(CS!$B$1:$B$15026,MATCH($A218,CS!$B:$B,0)+COLUMN(G$1),1),""))</f>
        <v/>
      </c>
      <c r="BN218" s="37" t="str">
        <f t="array" ref="BN218">IF($A218="","",IFERROR(INDEX(CS!$B$1:$B$15026,MATCH($A218,CS!$B:$B,0)+COLUMN(H$1),1),""))</f>
        <v/>
      </c>
      <c r="BO218" s="37" t="str">
        <f t="array" ref="BO218">IF($A218="","",IFERROR(INDEX(CS!$B$1:$B$15026,MATCH($A218,CS!$B:$B,0)+COLUMN(I$1),1),""))</f>
        <v/>
      </c>
      <c r="BP218" s="37" t="str">
        <f t="array" ref="BP218">IF($A218="","",IFERROR(INDEX(CS!$B$1:$B$15026,MATCH($A218,CS!$B:$B,0)+COLUMN(J$1),1),""))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INDEX(CS!$B$1:$B$15026,MATCH($A219,CS!$B:$B,0)+COLUMN(A$1),1))</f>
        <v/>
      </c>
      <c r="BH219" s="37" t="str">
        <f t="array" ref="BH219">IF($A219="","", INDEX(CS!$B$1:$B$15026,MATCH($A219,CS!$B:$B,0)+COLUMN(B$1),1))</f>
        <v/>
      </c>
      <c r="BI219" s="37" t="str">
        <f t="array" ref="BI219">IF($A219="","", INDEX(CS!$B$1:$B$15026,MATCH($A219,CS!$B:$B,0)+COLUMN(C$1),1))</f>
        <v/>
      </c>
      <c r="BJ219" s="37" t="str">
        <f t="array" ref="BJ219">IF($A219="","", INDEX(CS!$B$1:$B$15026,MATCH($A219,CS!$B:$B,0)+COLUMN(D$1),1))</f>
        <v/>
      </c>
      <c r="BK219" s="37" t="str">
        <f t="array" ref="BK219">IF($A219="","", INDEX(CS!$B$1:$B$15026,MATCH($A219,CS!$B:$B,0)+COLUMN(E$1),1))</f>
        <v/>
      </c>
      <c r="BL219" s="37" t="str">
        <f t="array" ref="BL219">IF($A219="","", INDEX(CS!$B$1:$B$15026,MATCH($A219,CS!$B:$B,0)+COLUMN(F$1),1))</f>
        <v/>
      </c>
      <c r="BM219" s="37" t="str">
        <f t="array" ref="BM219">IF($A219="","", INDEX(CS!$B$1:$B$15026,MATCH($A219,CS!$B:$B,0)+COLUMN(G$1),1))</f>
        <v/>
      </c>
      <c r="BN219" s="37" t="str">
        <f t="array" ref="BN219">IF($A219="","", INDEX(CS!$B$1:$B$15026,MATCH($A219,CS!$B:$B,0)+COLUMN(H$1),1))</f>
        <v/>
      </c>
      <c r="BO219" s="37" t="str">
        <f t="array" ref="BO219">IF($A219="","", INDEX(CS!$B$1:$B$15026,MATCH($A219,CS!$B:$B,0)+COLUMN(I$1),1))</f>
        <v/>
      </c>
      <c r="BP219" s="37" t="str">
        <f t="array" ref="BP219">IF($A219="","", INDEX(CS!$B$1:$B$15026,MATCH($A219,CS!$B:$B,0)+COLUMN(J$1),1))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INDEX(CS!$B$1:$B$15026,MATCH($A220,CS!$B:$B,0)+COLUMN(A$1),1))</f>
        <v/>
      </c>
      <c r="BH220" s="37" t="str">
        <f t="array" ref="BH220">IF($A220="","", INDEX(CS!$B$1:$B$15026,MATCH($A220,CS!$B:$B,0)+COLUMN(B$1),1))</f>
        <v/>
      </c>
      <c r="BI220" s="37" t="str">
        <f t="array" ref="BI220">IF($A220="","", INDEX(CS!$B$1:$B$15026,MATCH($A220,CS!$B:$B,0)+COLUMN(C$1),1))</f>
        <v/>
      </c>
      <c r="BJ220" s="37" t="str">
        <f t="array" ref="BJ220">IF($A220="","", INDEX(CS!$B$1:$B$15026,MATCH($A220,CS!$B:$B,0)+COLUMN(D$1),1))</f>
        <v/>
      </c>
      <c r="BK220" s="37" t="str">
        <f t="array" ref="BK220">IF($A220="","", INDEX(CS!$B$1:$B$15026,MATCH($A220,CS!$B:$B,0)+COLUMN(E$1),1))</f>
        <v/>
      </c>
      <c r="BL220" s="37" t="str">
        <f t="array" ref="BL220">IF($A220="","", INDEX(CS!$B$1:$B$15026,MATCH($A220,CS!$B:$B,0)+COLUMN(F$1),1))</f>
        <v/>
      </c>
      <c r="BM220" s="37" t="str">
        <f t="array" ref="BM220">IF($A220="","", INDEX(CS!$B$1:$B$15026,MATCH($A220,CS!$B:$B,0)+COLUMN(G$1),1))</f>
        <v/>
      </c>
      <c r="BN220" s="37" t="str">
        <f t="array" ref="BN220">IF($A220="","", INDEX(CS!$B$1:$B$15026,MATCH($A220,CS!$B:$B,0)+COLUMN(H$1),1))</f>
        <v/>
      </c>
      <c r="BO220" s="37" t="str">
        <f t="array" ref="BO220">IF($A220="","", INDEX(CS!$B$1:$B$15026,MATCH($A220,CS!$B:$B,0)+COLUMN(I$1),1))</f>
        <v/>
      </c>
      <c r="BP220" s="37" t="str">
        <f t="array" ref="BP220">IF($A220="","", INDEX(CS!$B$1:$B$15026,MATCH($A220,CS!$B:$B,0)+COLUMN(J$1),1))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IF($A221="","",IFERROR(INDEX(CS!$B$1:$B$15026,MATCH($A221,CS!$B:$B,0)+COLUMN(A$1),1),""))</f>
        <v>精密射撃</v>
      </c>
      <c r="BH221" s="37" t="str">
        <f t="array" ref="BH221">IF($A221="","",IFERROR(INDEX(CS!$B$1:$B$15026,MATCH($A221,CS!$B:$B,0)+COLUMN(B$1),1),""))</f>
        <v>速射</v>
      </c>
      <c r="BI221" s="37" t="str">
        <f t="array" ref="BI221">IF($A221="","",IFERROR(INDEX(CS!$B$1:$B$15026,MATCH($A221,CS!$B:$B,0)+COLUMN(C$1),1),""))</f>
        <v>射撃姿勢</v>
      </c>
      <c r="BJ221" s="37" t="str">
        <f t="array" ref="BJ221">IF($A221="","",IFERROR(INDEX(CS!$B$1:$B$15026,MATCH($A221,CS!$B:$B,0)+COLUMN(D$1),1),""))</f>
        <v/>
      </c>
      <c r="BK221" s="37" t="str">
        <f t="array" ref="BK221">IF($A221="","",IFERROR(INDEX(CS!$B$1:$B$15026,MATCH($A221,CS!$B:$B,0)+COLUMN(E$1),1),""))</f>
        <v>貫通射撃</v>
      </c>
      <c r="BL221" s="37" t="str">
        <f t="array" ref="BL221">IF($A221="","",IFERROR(INDEX(CS!$B$1:$B$15026,MATCH($A221,CS!$B:$B,0)+COLUMN(F$1),1),""))</f>
        <v/>
      </c>
      <c r="BM221" s="37" t="str">
        <f t="array" ref="BM221">IF($A221="","",IFERROR(INDEX(CS!$B$1:$B$15026,MATCH($A221,CS!$B:$B,0)+COLUMN(G$1),1),""))</f>
        <v>制圧射撃</v>
      </c>
      <c r="BN221" s="37" t="str">
        <f t="array" ref="BN221">IF($A221="","",IFERROR(INDEX(CS!$B$1:$B$15026,MATCH($A221,CS!$B:$B,0)+COLUMN(H$1),1),""))</f>
        <v/>
      </c>
      <c r="BO221" s="37" t="str">
        <f t="array" ref="BO221">IF($A221="","",IFERROR(INDEX(CS!$B$1:$B$15026,MATCH($A221,CS!$B:$B,0)+COLUMN(I$1),1),""))</f>
        <v>狙撃</v>
      </c>
      <c r="BP221" s="37" t="str">
        <f t="array" ref="BP221">IF($A221="","",IFERROR(INDEX(CS!$B$1:$B$15026,MATCH($A221,CS!$B:$B,0)+COLUMN(J$1),1),""))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IF($A222="","",IFERROR(INDEX(CS!$B$1:$B$15026,MATCH($A222,CS!$B:$B,0)+COLUMN(A$1),1),""))</f>
        <v>強射</v>
      </c>
      <c r="BH222" s="37" t="str">
        <f t="array" ref="BH222">IF($A222="","",IFERROR(INDEX(CS!$B$1:$B$15026,MATCH($A222,CS!$B:$B,0)+COLUMN(B$1),1),""))</f>
        <v/>
      </c>
      <c r="BI222" s="37" t="str">
        <f t="array" ref="BI222">IF($A222="","",IFERROR(INDEX(CS!$B$1:$B$15026,MATCH($A222,CS!$B:$B,0)+COLUMN(C$1),1),""))</f>
        <v>弓術</v>
      </c>
      <c r="BJ222" s="37" t="str">
        <f t="array" ref="BJ222">IF($A222="","",IFERROR(INDEX(CS!$B$1:$B$15026,MATCH($A222,CS!$B:$B,0)+COLUMN(D$1),1),""))</f>
        <v/>
      </c>
      <c r="BK222" s="37" t="str">
        <f t="array" ref="BK222">IF($A222="","",IFERROR(INDEX(CS!$B$1:$B$15026,MATCH($A222,CS!$B:$B,0)+COLUMN(E$1),1),""))</f>
        <v>連射</v>
      </c>
      <c r="BL222" s="37" t="str">
        <f t="array" ref="BL222">IF($A222="","",IFERROR(INDEX(CS!$B$1:$B$15026,MATCH($A222,CS!$B:$B,0)+COLUMN(F$1),1),""))</f>
        <v/>
      </c>
      <c r="BM222" s="37" t="str">
        <f t="array" ref="BM222">IF($A222="","",IFERROR(INDEX(CS!$B$1:$B$15026,MATCH($A222,CS!$B:$B,0)+COLUMN(G$1),1),""))</f>
        <v>遠射</v>
      </c>
      <c r="BN222" s="37" t="str">
        <f t="array" ref="BN222">IF($A222="","",IFERROR(INDEX(CS!$B$1:$B$15026,MATCH($A222,CS!$B:$B,0)+COLUMN(H$1),1),""))</f>
        <v/>
      </c>
      <c r="BO222" s="37" t="str">
        <f t="array" ref="BO222">IF($A222="","",IFERROR(INDEX(CS!$B$1:$B$15026,MATCH($A222,CS!$B:$B,0)+COLUMN(I$1),1),""))</f>
        <v>射撃の極意</v>
      </c>
      <c r="BP222" s="37" t="str">
        <f t="array" ref="BP222">IF($A222="","",IFERROR(INDEX(CS!$B$1:$B$15026,MATCH($A222,CS!$B:$B,0)+COLUMN(J$1),1),""))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IF($A225="","",IFERROR(INDEX(CS!$B$1:$B$15026,MATCH($A225,CS!$B:$B,0)+COLUMN(A$1),1),""))</f>
        <v>炎の武器</v>
      </c>
      <c r="BH225" s="37" t="str">
        <f t="array" ref="BH225">IF($A225="","",IFERROR(INDEX(CS!$B$1:$B$15026,MATCH($A225,CS!$B:$B,0)+COLUMN(B$1),1),""))</f>
        <v/>
      </c>
      <c r="BI225" s="37" t="str">
        <f t="array" ref="BI225">IF($A225="","",IFERROR(INDEX(CS!$B$1:$B$15026,MATCH($A225,CS!$B:$B,0)+COLUMN(C$1),1),""))</f>
        <v>火炎</v>
      </c>
      <c r="BJ225" s="37" t="str">
        <f t="array" ref="BJ225">IF($A225="","",IFERROR(INDEX(CS!$B$1:$B$15026,MATCH($A225,CS!$B:$B,0)+COLUMN(D$1),1),""))</f>
        <v/>
      </c>
      <c r="BK225" s="37" t="str">
        <f t="array" ref="BK225">IF($A225="","",IFERROR(INDEX(CS!$B$1:$B$15026,MATCH($A225,CS!$B:$B,0)+COLUMN(E$1),1),""))</f>
        <v>炎の適用</v>
      </c>
      <c r="BL225" s="37" t="str">
        <f t="array" ref="BL225">IF($A225="","",IFERROR(INDEX(CS!$B$1:$B$15026,MATCH($A225,CS!$B:$B,0)+COLUMN(F$1),1),""))</f>
        <v/>
      </c>
      <c r="BM225" s="37" t="str">
        <f t="array" ref="BM225">IF($A225="","",IFERROR(INDEX(CS!$B$1:$B$15026,MATCH($A225,CS!$B:$B,0)+COLUMN(G$1),1),""))</f>
        <v>火球</v>
      </c>
      <c r="BN225" s="37" t="str">
        <f t="array" ref="BN225">IF($A225="","",IFERROR(INDEX(CS!$B$1:$B$15026,MATCH($A225,CS!$B:$B,0)+COLUMN(H$1),1),""))</f>
        <v/>
      </c>
      <c r="BO225" s="37" t="str">
        <f t="array" ref="BO225">IF($A225="","",IFERROR(INDEX(CS!$B$1:$B$15026,MATCH($A225,CS!$B:$B,0)+COLUMN(I$1),1),""))</f>
        <v>炎強化</v>
      </c>
      <c r="BP225" s="37" t="str">
        <f t="array" ref="BP225">IF($A225="","",IFERROR(INDEX(CS!$B$1:$B$15026,MATCH($A225,CS!$B:$B,0)+COLUMN(J$1),1),""))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IF($A226="","",IFERROR(INDEX(CS!$B$1:$B$15026,MATCH($A226,CS!$B:$B,0)+COLUMN(A$1),1),""))</f>
        <v>氷の武器</v>
      </c>
      <c r="BH226" s="37" t="str">
        <f t="array" ref="BH226">IF($A226="","",IFERROR(INDEX(CS!$B$1:$B$15026,MATCH($A226,CS!$B:$B,0)+COLUMN(B$1),1),""))</f>
        <v/>
      </c>
      <c r="BI226" s="37" t="str">
        <f t="array" ref="BI226">IF($A226="","",IFERROR(INDEX(CS!$B$1:$B$15026,MATCH($A226,CS!$B:$B,0)+COLUMN(C$1),1),""))</f>
        <v>冷気の光線</v>
      </c>
      <c r="BJ226" s="37" t="str">
        <f t="array" ref="BJ226">IF($A226="","",IFERROR(INDEX(CS!$B$1:$B$15026,MATCH($A226,CS!$B:$B,0)+COLUMN(D$1),1),""))</f>
        <v/>
      </c>
      <c r="BK226" s="37" t="str">
        <f t="array" ref="BK226">IF($A226="","",IFERROR(INDEX(CS!$B$1:$B$15026,MATCH($A226,CS!$B:$B,0)+COLUMN(E$1),1),""))</f>
        <v>氷の適用</v>
      </c>
      <c r="BL226" s="37" t="str">
        <f t="array" ref="BL226">IF($A226="","",IFERROR(INDEX(CS!$B$1:$B$15026,MATCH($A226,CS!$B:$B,0)+COLUMN(F$1),1),""))</f>
        <v/>
      </c>
      <c r="BM226" s="37" t="str">
        <f t="array" ref="BM226">IF($A226="","",IFERROR(INDEX(CS!$B$1:$B$15026,MATCH($A226,CS!$B:$B,0)+COLUMN(G$1),1),""))</f>
        <v>氷柱弾</v>
      </c>
      <c r="BN226" s="37" t="str">
        <f t="array" ref="BN226">IF($A226="","",IFERROR(INDEX(CS!$B$1:$B$15026,MATCH($A226,CS!$B:$B,0)+COLUMN(H$1),1),""))</f>
        <v/>
      </c>
      <c r="BO226" s="37" t="str">
        <f t="array" ref="BO226">IF($A226="","",IFERROR(INDEX(CS!$B$1:$B$15026,MATCH($A226,CS!$B:$B,0)+COLUMN(I$1),1),""))</f>
        <v>氷強化</v>
      </c>
      <c r="BP226" s="37" t="str">
        <f t="array" ref="BP226">IF($A226="","",IFERROR(INDEX(CS!$B$1:$B$15026,MATCH($A226,CS!$B:$B,0)+COLUMN(J$1),1),""))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IF($A227="","",IFERROR(INDEX(CS!$B$1:$B$15026,MATCH($A227,CS!$B:$B,0)+COLUMN(A$1),1),""))</f>
        <v>雷の武器</v>
      </c>
      <c r="BH227" s="37" t="str">
        <f t="array" ref="BH227">IF($A227="","",IFERROR(INDEX(CS!$B$1:$B$15026,MATCH($A227,CS!$B:$B,0)+COLUMN(B$1),1),""))</f>
        <v/>
      </c>
      <c r="BI227" s="37" t="str">
        <f t="array" ref="BI227">IF($A227="","",IFERROR(INDEX(CS!$B$1:$B$15026,MATCH($A227,CS!$B:$B,0)+COLUMN(C$1),1),""))</f>
        <v>放電</v>
      </c>
      <c r="BJ227" s="37" t="str">
        <f t="array" ref="BJ227">IF($A227="","",IFERROR(INDEX(CS!$B$1:$B$15026,MATCH($A227,CS!$B:$B,0)+COLUMN(D$1),1),""))</f>
        <v/>
      </c>
      <c r="BK227" s="37" t="str">
        <f t="array" ref="BK227">IF($A227="","",IFERROR(INDEX(CS!$B$1:$B$15026,MATCH($A227,CS!$B:$B,0)+COLUMN(E$1),1),""))</f>
        <v>雷の適用</v>
      </c>
      <c r="BL227" s="37" t="str">
        <f t="array" ref="BL227">IF($A227="","",IFERROR(INDEX(CS!$B$1:$B$15026,MATCH($A227,CS!$B:$B,0)+COLUMN(F$1),1),""))</f>
        <v/>
      </c>
      <c r="BM227" s="37" t="str">
        <f t="array" ref="BM227">IF($A227="","",IFERROR(INDEX(CS!$B$1:$B$15026,MATCH($A227,CS!$B:$B,0)+COLUMN(G$1),1),""))</f>
        <v>電弧放電</v>
      </c>
      <c r="BN227" s="37" t="str">
        <f t="array" ref="BN227">IF($A227="","",IFERROR(INDEX(CS!$B$1:$B$15026,MATCH($A227,CS!$B:$B,0)+COLUMN(H$1),1),""))</f>
        <v/>
      </c>
      <c r="BO227" s="37" t="str">
        <f t="array" ref="BO227">IF($A227="","",IFERROR(INDEX(CS!$B$1:$B$15026,MATCH($A227,CS!$B:$B,0)+COLUMN(I$1),1),""))</f>
        <v>雷強化</v>
      </c>
      <c r="BP227" s="37" t="str">
        <f t="array" ref="BP227">IF($A227="","",IFERROR(INDEX(CS!$B$1:$B$15026,MATCH($A227,CS!$B:$B,0)+COLUMN(J$1),1),""))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IF($A228="","",IFERROR(INDEX(CS!$B$1:$B$15026,MATCH($A228,CS!$B:$B,0)+COLUMN(A$1),1),""))</f>
        <v>酸の武器</v>
      </c>
      <c r="BH228" s="37" t="str">
        <f t="array" ref="BH228">IF($A228="","",IFERROR(INDEX(CS!$B$1:$B$15026,MATCH($A228,CS!$B:$B,0)+COLUMN(B$1),1),""))</f>
        <v/>
      </c>
      <c r="BI228" s="37" t="str">
        <f t="array" ref="BI228">IF($A228="","",IFERROR(INDEX(CS!$B$1:$B$15026,MATCH($A228,CS!$B:$B,0)+COLUMN(C$1),1),""))</f>
        <v>酸滴</v>
      </c>
      <c r="BJ228" s="37" t="str">
        <f t="array" ref="BJ228">IF($A228="","",IFERROR(INDEX(CS!$B$1:$B$15026,MATCH($A228,CS!$B:$B,0)+COLUMN(D$1),1),""))</f>
        <v/>
      </c>
      <c r="BK228" s="37" t="str">
        <f t="array" ref="BK228">IF($A228="","",IFERROR(INDEX(CS!$B$1:$B$15026,MATCH($A228,CS!$B:$B,0)+COLUMN(E$1),1),""))</f>
        <v>毒の適用</v>
      </c>
      <c r="BL228" s="37" t="str">
        <f t="array" ref="BL228">IF($A228="","",IFERROR(INDEX(CS!$B$1:$B$15026,MATCH($A228,CS!$B:$B,0)+COLUMN(F$1),1),""))</f>
        <v/>
      </c>
      <c r="BM228" s="37" t="str">
        <f t="array" ref="BM228">IF($A228="","",IFERROR(INDEX(CS!$B$1:$B$15026,MATCH($A228,CS!$B:$B,0)+COLUMN(G$1),1),""))</f>
        <v>酸の落流</v>
      </c>
      <c r="BN228" s="37" t="str">
        <f t="array" ref="BN228">IF($A228="","",IFERROR(INDEX(CS!$B$1:$B$15026,MATCH($A228,CS!$B:$B,0)+COLUMN(H$1),1),""))</f>
        <v/>
      </c>
      <c r="BO228" s="37" t="str">
        <f t="array" ref="BO228">IF($A228="","",IFERROR(INDEX(CS!$B$1:$B$15026,MATCH($A228,CS!$B:$B,0)+COLUMN(I$1),1),""))</f>
        <v>毒強化</v>
      </c>
      <c r="BP228" s="37" t="str">
        <f t="array" ref="BP228">IF($A228="","",IFERROR(INDEX(CS!$B$1:$B$15026,MATCH($A228,CS!$B:$B,0)+COLUMN(J$1),1),""))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IF($A229="","",IFERROR(INDEX(CS!$B$1:$B$15026,MATCH($A229,CS!$B:$B,0)+COLUMN(A$1),1),""))</f>
        <v>風の武器</v>
      </c>
      <c r="BH229" s="37" t="str">
        <f t="array" ref="BH229">IF($A229="","",IFERROR(INDEX(CS!$B$1:$B$15026,MATCH($A229,CS!$B:$B,0)+COLUMN(B$1),1),""))</f>
        <v/>
      </c>
      <c r="BI229" s="37" t="str">
        <f t="array" ref="BI229">IF($A229="","",IFERROR(INDEX(CS!$B$1:$B$15026,MATCH($A229,CS!$B:$B,0)+COLUMN(C$1),1),""))</f>
        <v>突風</v>
      </c>
      <c r="BJ229" s="37" t="str">
        <f t="array" ref="BJ229">IF($A229="","",IFERROR(INDEX(CS!$B$1:$B$15026,MATCH($A229,CS!$B:$B,0)+COLUMN(D$1),1),""))</f>
        <v/>
      </c>
      <c r="BK229" s="37" t="str">
        <f t="array" ref="BK229">IF($A229="","",IFERROR(INDEX(CS!$B$1:$B$15026,MATCH($A229,CS!$B:$B,0)+COLUMN(E$1),1),""))</f>
        <v>風の適用</v>
      </c>
      <c r="BL229" s="37" t="str">
        <f t="array" ref="BL229">IF($A229="","",IFERROR(INDEX(CS!$B$1:$B$15026,MATCH($A229,CS!$B:$B,0)+COLUMN(F$1),1),""))</f>
        <v/>
      </c>
      <c r="BM229" s="37" t="str">
        <f t="array" ref="BM229">IF($A229="","",IFERROR(INDEX(CS!$B$1:$B$15026,MATCH($A229,CS!$B:$B,0)+COLUMN(G$1),1),""))</f>
        <v>上昇烈風</v>
      </c>
      <c r="BN229" s="37" t="str">
        <f t="array" ref="BN229">IF($A229="","",IFERROR(INDEX(CS!$B$1:$B$15026,MATCH($A229,CS!$B:$B,0)+COLUMN(H$1),1),""))</f>
        <v/>
      </c>
      <c r="BO229" s="37" t="str">
        <f t="array" ref="BO229">IF($A229="","",IFERROR(INDEX(CS!$B$1:$B$15026,MATCH($A229,CS!$B:$B,0)+COLUMN(I$1),1),""))</f>
        <v>風強化</v>
      </c>
      <c r="BP229" s="37" t="str">
        <f t="array" ref="BP229">IF($A229="","",IFERROR(INDEX(CS!$B$1:$B$15026,MATCH($A229,CS!$B:$B,0)+COLUMN(J$1),1),""))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IF($A230="","",IFERROR(INDEX(CS!$B$1:$B$15026,MATCH($A230,CS!$B:$B,0)+COLUMN(A$1),1),""))</f>
        <v>岩の武器</v>
      </c>
      <c r="BH230" s="37" t="str">
        <f t="array" ref="BH230">IF($A230="","",IFERROR(INDEX(CS!$B$1:$B$15026,MATCH($A230,CS!$B:$B,0)+COLUMN(B$1),1),""))</f>
        <v/>
      </c>
      <c r="BI230" s="37" t="str">
        <f t="array" ref="BI230">IF($A230="","",IFERROR(INDEX(CS!$B$1:$B$15026,MATCH($A230,CS!$B:$B,0)+COLUMN(C$1),1),""))</f>
        <v>魔法の石</v>
      </c>
      <c r="BJ230" s="37" t="str">
        <f t="array" ref="BJ230">IF($A230="","",IFERROR(INDEX(CS!$B$1:$B$15026,MATCH($A230,CS!$B:$B,0)+COLUMN(D$1),1),""))</f>
        <v/>
      </c>
      <c r="BK230" s="37" t="str">
        <f t="array" ref="BK230">IF($A230="","",IFERROR(INDEX(CS!$B$1:$B$15026,MATCH($A230,CS!$B:$B,0)+COLUMN(E$1),1),""))</f>
        <v>石の適用</v>
      </c>
      <c r="BL230" s="37" t="str">
        <f t="array" ref="BL230">IF($A230="","",IFERROR(INDEX(CS!$B$1:$B$15026,MATCH($A230,CS!$B:$B,0)+COLUMN(F$1),1),""))</f>
        <v/>
      </c>
      <c r="BM230" s="37" t="str">
        <f t="array" ref="BM230">IF($A230="","",IFERROR(INDEX(CS!$B$1:$B$15026,MATCH($A230,CS!$B:$B,0)+COLUMN(G$1),1),""))</f>
        <v>水晶片</v>
      </c>
      <c r="BN230" s="37" t="str">
        <f t="array" ref="BN230">IF($A230="","",IFERROR(INDEX(CS!$B$1:$B$15026,MATCH($A230,CS!$B:$B,0)+COLUMN(H$1),1),""))</f>
        <v/>
      </c>
      <c r="BO230" s="37" t="str">
        <f t="array" ref="BO230">IF($A230="","",IFERROR(INDEX(CS!$B$1:$B$15026,MATCH($A230,CS!$B:$B,0)+COLUMN(I$1),1),""))</f>
        <v>地強化</v>
      </c>
      <c r="BP230" s="37" t="str">
        <f t="array" ref="BP230">IF($A230="","",IFERROR(INDEX(CS!$B$1:$B$15026,MATCH($A230,CS!$B:$B,0)+COLUMN(J$1),1),""))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INDEX(CS!$B$1:$B$15026,MATCH($A231,CS!$B:$B,0)+COLUMN(A$1),1))</f>
        <v/>
      </c>
      <c r="BH231" s="37" t="str">
        <f t="array" ref="BH231">IF($A231="","", INDEX(CS!$B$1:$B$15026,MATCH($A231,CS!$B:$B,0)+COLUMN(B$1),1))</f>
        <v/>
      </c>
      <c r="BI231" s="37" t="str">
        <f t="array" ref="BI231">IF($A231="","", INDEX(CS!$B$1:$B$15026,MATCH($A231,CS!$B:$B,0)+COLUMN(C$1),1))</f>
        <v/>
      </c>
      <c r="BJ231" s="37" t="str">
        <f t="array" ref="BJ231">IF($A231="","", INDEX(CS!$B$1:$B$15026,MATCH($A231,CS!$B:$B,0)+COLUMN(D$1),1))</f>
        <v/>
      </c>
      <c r="BK231" s="37" t="str">
        <f t="array" ref="BK231">IF($A231="","", INDEX(CS!$B$1:$B$15026,MATCH($A231,CS!$B:$B,0)+COLUMN(E$1),1))</f>
        <v/>
      </c>
      <c r="BL231" s="37" t="str">
        <f t="array" ref="BL231">IF($A231="","", INDEX(CS!$B$1:$B$15026,MATCH($A231,CS!$B:$B,0)+COLUMN(F$1),1))</f>
        <v/>
      </c>
      <c r="BM231" s="37" t="str">
        <f t="array" ref="BM231">IF($A231="","", INDEX(CS!$B$1:$B$15026,MATCH($A231,CS!$B:$B,0)+COLUMN(G$1),1))</f>
        <v/>
      </c>
      <c r="BN231" s="37" t="str">
        <f t="array" ref="BN231">IF($A231="","", INDEX(CS!$B$1:$B$15026,MATCH($A231,CS!$B:$B,0)+COLUMN(H$1),1))</f>
        <v/>
      </c>
      <c r="BO231" s="37" t="str">
        <f t="array" ref="BO231">IF($A231="","", INDEX(CS!$B$1:$B$15026,MATCH($A231,CS!$B:$B,0)+COLUMN(I$1),1))</f>
        <v/>
      </c>
      <c r="BP231" s="37" t="str">
        <f t="array" ref="BP231">IF($A231="","", INDEX(CS!$B$1:$B$15026,MATCH($A231,CS!$B:$B,0)+COLUMN(J$1),1))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INDEX(CS!$B$1:$B$15026,MATCH($A232,CS!$B:$B,0)+COLUMN(A$1),1))</f>
        <v/>
      </c>
      <c r="BH232" s="37" t="str">
        <f t="array" ref="BH232">IF($A232="","", INDEX(CS!$B$1:$B$15026,MATCH($A232,CS!$B:$B,0)+COLUMN(B$1),1))</f>
        <v/>
      </c>
      <c r="BI232" s="37" t="str">
        <f t="array" ref="BI232">IF($A232="","", INDEX(CS!$B$1:$B$15026,MATCH($A232,CS!$B:$B,0)+COLUMN(C$1),1))</f>
        <v/>
      </c>
      <c r="BJ232" s="37" t="str">
        <f t="array" ref="BJ232">IF($A232="","", INDEX(CS!$B$1:$B$15026,MATCH($A232,CS!$B:$B,0)+COLUMN(D$1),1))</f>
        <v/>
      </c>
      <c r="BK232" s="37" t="str">
        <f t="array" ref="BK232">IF($A232="","", INDEX(CS!$B$1:$B$15026,MATCH($A232,CS!$B:$B,0)+COLUMN(E$1),1))</f>
        <v/>
      </c>
      <c r="BL232" s="37" t="str">
        <f t="array" ref="BL232">IF($A232="","", INDEX(CS!$B$1:$B$15026,MATCH($A232,CS!$B:$B,0)+COLUMN(F$1),1))</f>
        <v/>
      </c>
      <c r="BM232" s="37" t="str">
        <f t="array" ref="BM232">IF($A232="","", INDEX(CS!$B$1:$B$15026,MATCH($A232,CS!$B:$B,0)+COLUMN(G$1),1))</f>
        <v/>
      </c>
      <c r="BN232" s="37" t="str">
        <f t="array" ref="BN232">IF($A232="","", INDEX(CS!$B$1:$B$15026,MATCH($A232,CS!$B:$B,0)+COLUMN(H$1),1))</f>
        <v/>
      </c>
      <c r="BO232" s="37" t="str">
        <f t="array" ref="BO232">IF($A232="","", INDEX(CS!$B$1:$B$15026,MATCH($A232,CS!$B:$B,0)+COLUMN(I$1),1))</f>
        <v/>
      </c>
      <c r="BP232" s="37" t="str">
        <f t="array" ref="BP232">IF($A232="","", INDEX(CS!$B$1:$B$15026,MATCH($A232,CS!$B:$B,0)+COLUMN(J$1),1))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INDEX(CS!$B$1:$B$15026,MATCH($A233,CS!$B:$B,0)+COLUMN(A$1),1))</f>
        <v>爪</v>
      </c>
      <c r="BH233" s="37" t="str">
        <f t="array" ref="BH233">IF($A233="","", INDEX(CS!$B$1:$B$15026,MATCH($A233,CS!$B:$B,0)+COLUMN(B$1),1))</f>
        <v>牙</v>
      </c>
      <c r="BI233" s="37" t="str">
        <f t="array" ref="BI233">IF($A233="","", INDEX(CS!$B$1:$B$15026,MATCH($A233,CS!$B:$B,0)+COLUMN(C$1),1))</f>
        <v>猛獣の爪</v>
      </c>
      <c r="BJ233" s="37" t="str">
        <f t="array" ref="BJ233">IF($A233="","", INDEX(CS!$B$1:$B$15026,MATCH($A233,CS!$B:$B,0)+COLUMN(D$1),1))</f>
        <v>猛獣の飛びかかり</v>
      </c>
      <c r="BK233" s="37" t="str">
        <f t="array" ref="BK233">IF($A233="","", INDEX(CS!$B$1:$B$15026,MATCH($A233,CS!$B:$B,0)+COLUMN(E$1),1))</f>
        <v>反応</v>
      </c>
      <c r="BL233" s="37" t="str">
        <f t="array" ref="BL233">IF($A233="","", INDEX(CS!$B$1:$B$15026,MATCH($A233,CS!$B:$B,0)+COLUMN(F$1),1))</f>
        <v/>
      </c>
      <c r="BM233" s="37" t="str">
        <f t="array" ref="BM233">IF($A233="","", INDEX(CS!$B$1:$B$15026,MATCH($A233,CS!$B:$B,0)+COLUMN(G$1),1))</f>
        <v>野生感覚</v>
      </c>
      <c r="BN233" s="37" t="str">
        <f t="array" ref="BN233">IF($A233="","", INDEX(CS!$B$1:$B$15026,MATCH($A233,CS!$B:$B,0)+COLUMN(H$1),1))</f>
        <v/>
      </c>
      <c r="BO233" s="37" t="str">
        <f t="array" ref="BO233">IF($A233="","", INDEX(CS!$B$1:$B$15026,MATCH($A233,CS!$B:$B,0)+COLUMN(I$1),1))</f>
        <v/>
      </c>
      <c r="BP233" s="37" t="str">
        <f t="array" ref="BP233">IF($A233="","", INDEX(CS!$B$1:$B$15026,MATCH($A233,CS!$B:$B,0)+COLUMN(J$1),1))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INDEX(CS!$B$1:$B$15026,MATCH($A234,CS!$B:$B,0)+COLUMN(A$1),1))</f>
        <v>爪</v>
      </c>
      <c r="BH234" s="37" t="str">
        <f t="array" ref="BH234">IF($A234="","", INDEX(CS!$B$1:$B$15026,MATCH($A234,CS!$B:$B,0)+COLUMN(B$1),1))</f>
        <v>牙</v>
      </c>
      <c r="BI234" s="37" t="str">
        <f t="array" ref="BI234">IF($A234="","", INDEX(CS!$B$1:$B$15026,MATCH($A234,CS!$B:$B,0)+COLUMN(C$1),1))</f>
        <v>狼の牙</v>
      </c>
      <c r="BJ234" s="37" t="str">
        <f t="array" ref="BJ234">IF($A234="","", INDEX(CS!$B$1:$B$15026,MATCH($A234,CS!$B:$B,0)+COLUMN(D$1),1))</f>
        <v>猛獣の飛びかかり</v>
      </c>
      <c r="BK234" s="37" t="str">
        <f t="array" ref="BK234">IF($A234="","", INDEX(CS!$B$1:$B$15026,MATCH($A234,CS!$B:$B,0)+COLUMN(E$1),1))</f>
        <v>反応</v>
      </c>
      <c r="BL234" s="37" t="str">
        <f t="array" ref="BL234">IF($A234="","", INDEX(CS!$B$1:$B$15026,MATCH($A234,CS!$B:$B,0)+COLUMN(F$1),1))</f>
        <v/>
      </c>
      <c r="BM234" s="37" t="str">
        <f t="array" ref="BM234">IF($A234="","", INDEX(CS!$B$1:$B$15026,MATCH($A234,CS!$B:$B,0)+COLUMN(G$1),1))</f>
        <v>野生感覚</v>
      </c>
      <c r="BN234" s="37" t="str">
        <f t="array" ref="BN234">IF($A234="","", INDEX(CS!$B$1:$B$15026,MATCH($A234,CS!$B:$B,0)+COLUMN(H$1),1))</f>
        <v/>
      </c>
      <c r="BO234" s="37" t="str">
        <f t="array" ref="BO234">IF($A234="","", INDEX(CS!$B$1:$B$15026,MATCH($A234,CS!$B:$B,0)+COLUMN(I$1),1))</f>
        <v/>
      </c>
      <c r="BP234" s="37" t="str">
        <f t="array" ref="BP234">IF($A234="","", INDEX(CS!$B$1:$B$15026,MATCH($A234,CS!$B:$B,0)+COLUMN(J$1),1))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INDEX(CS!$B$1:$B$15026,MATCH($A235,CS!$B:$B,0)+COLUMN(A$1),1))</f>
        <v>牙</v>
      </c>
      <c r="BH235" s="37" t="str">
        <f t="array" ref="BH235">IF($A235="","", INDEX(CS!$B$1:$B$15026,MATCH($A235,CS!$B:$B,0)+COLUMN(B$1),1))</f>
        <v>尾</v>
      </c>
      <c r="BI235" s="37" t="str">
        <f t="array" ref="BI235">IF($A235="","", INDEX(CS!$B$1:$B$15026,MATCH($A235,CS!$B:$B,0)+COLUMN(C$1),1))</f>
        <v>尾の巻き付き</v>
      </c>
      <c r="BJ235" s="37" t="str">
        <f t="array" ref="BJ235">IF($A235="","", INDEX(CS!$B$1:$B$15026,MATCH($A235,CS!$B:$B,0)+COLUMN(D$1),1))</f>
        <v>蛇の締め</v>
      </c>
      <c r="BK235" s="37" t="str">
        <f t="array" ref="BK235">IF($A235="","", INDEX(CS!$B$1:$B$15026,MATCH($A235,CS!$B:$B,0)+COLUMN(E$1),1))</f>
        <v>反応</v>
      </c>
      <c r="BL235" s="37" t="str">
        <f t="array" ref="BL235">IF($A235="","", INDEX(CS!$B$1:$B$15026,MATCH($A235,CS!$B:$B,0)+COLUMN(F$1),1))</f>
        <v/>
      </c>
      <c r="BM235" s="37" t="str">
        <f t="array" ref="BM235">IF($A235="","", INDEX(CS!$B$1:$B$15026,MATCH($A235,CS!$B:$B,0)+COLUMN(G$1),1))</f>
        <v>野生感覚</v>
      </c>
      <c r="BN235" s="37" t="str">
        <f t="array" ref="BN235">IF($A235="","", INDEX(CS!$B$1:$B$15026,MATCH($A235,CS!$B:$B,0)+COLUMN(H$1),1))</f>
        <v/>
      </c>
      <c r="BO235" s="37" t="str">
        <f t="array" ref="BO235">IF($A235="","", INDEX(CS!$B$1:$B$15026,MATCH($A235,CS!$B:$B,0)+COLUMN(I$1),1))</f>
        <v/>
      </c>
      <c r="BP235" s="37" t="str">
        <f t="array" ref="BP235">IF($A235="","", INDEX(CS!$B$1:$B$15026,MATCH($A235,CS!$B:$B,0)+COLUMN(J$1),1))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INDEX(CS!$B$1:$B$15026,MATCH($A236,CS!$B:$B,0)+COLUMN(A$1),1))</f>
        <v>爪</v>
      </c>
      <c r="BH236" s="37" t="str">
        <f t="array" ref="BH236">IF($A236="","", INDEX(CS!$B$1:$B$15026,MATCH($A236,CS!$B:$B,0)+COLUMN(B$1),1))</f>
        <v>翼</v>
      </c>
      <c r="BI236" s="37" t="str">
        <f t="array" ref="BI236">IF($A236="","", INDEX(CS!$B$1:$B$15026,MATCH($A236,CS!$B:$B,0)+COLUMN(C$1),1))</f>
        <v>鷹の急降下</v>
      </c>
      <c r="BJ236" s="37" t="str">
        <f t="array" ref="BJ236">IF($A236="","", INDEX(CS!$B$1:$B$15026,MATCH($A236,CS!$B:$B,0)+COLUMN(D$1),1))</f>
        <v>鉤爪強化</v>
      </c>
      <c r="BK236" s="37" t="str">
        <f t="array" ref="BK236">IF($A236="","", INDEX(CS!$B$1:$B$15026,MATCH($A236,CS!$B:$B,0)+COLUMN(E$1),1))</f>
        <v>反応</v>
      </c>
      <c r="BL236" s="37" t="str">
        <f t="array" ref="BL236">IF($A236="","", INDEX(CS!$B$1:$B$15026,MATCH($A236,CS!$B:$B,0)+COLUMN(F$1),1))</f>
        <v/>
      </c>
      <c r="BM236" s="37" t="str">
        <f t="array" ref="BM236">IF($A236="","", INDEX(CS!$B$1:$B$15026,MATCH($A236,CS!$B:$B,0)+COLUMN(G$1),1))</f>
        <v>野生感覚</v>
      </c>
      <c r="BN236" s="37" t="str">
        <f t="array" ref="BN236">IF($A236="","", INDEX(CS!$B$1:$B$15026,MATCH($A236,CS!$B:$B,0)+COLUMN(H$1),1))</f>
        <v/>
      </c>
      <c r="BO236" s="37" t="str">
        <f t="array" ref="BO236">IF($A236="","", INDEX(CS!$B$1:$B$15026,MATCH($A236,CS!$B:$B,0)+COLUMN(I$1),1))</f>
        <v/>
      </c>
      <c r="BP236" s="37" t="str">
        <f t="array" ref="BP236">IF($A236="","", INDEX(CS!$B$1:$B$15026,MATCH($A236,CS!$B:$B,0)+COLUMN(J$1),1))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INDEX(CS!$B$1:$B$15026,MATCH($A237,CS!$B:$B,0)+COLUMN(A$1),1))</f>
        <v>爪</v>
      </c>
      <c r="BH237" s="37" t="str">
        <f t="array" ref="BH237">IF($A237="","", INDEX(CS!$B$1:$B$15026,MATCH($A237,CS!$B:$B,0)+COLUMN(B$1),1))</f>
        <v>牙</v>
      </c>
      <c r="BI237" s="37" t="str">
        <f t="array" ref="BI237">IF($A237="","", INDEX(CS!$B$1:$B$15026,MATCH($A237,CS!$B:$B,0)+COLUMN(C$1),1))</f>
        <v>熊爪</v>
      </c>
      <c r="BJ237" s="37" t="str">
        <f t="array" ref="BJ237">IF($A237="","", INDEX(CS!$B$1:$B$15026,MATCH($A237,CS!$B:$B,0)+COLUMN(D$1),1))</f>
        <v>熊の強打</v>
      </c>
      <c r="BK237" s="37" t="str">
        <f t="array" ref="BK237">IF($A237="","", INDEX(CS!$B$1:$B$15026,MATCH($A237,CS!$B:$B,0)+COLUMN(E$1),1))</f>
        <v>反応</v>
      </c>
      <c r="BL237" s="37" t="str">
        <f t="array" ref="BL237">IF($A237="","", INDEX(CS!$B$1:$B$15026,MATCH($A237,CS!$B:$B,0)+COLUMN(F$1),1))</f>
        <v/>
      </c>
      <c r="BM237" s="37" t="str">
        <f t="array" ref="BM237">IF($A237="","", INDEX(CS!$B$1:$B$15026,MATCH($A237,CS!$B:$B,0)+COLUMN(G$1),1))</f>
        <v>野生感覚</v>
      </c>
      <c r="BN237" s="37" t="str">
        <f t="array" ref="BN237">IF($A237="","", INDEX(CS!$B$1:$B$15026,MATCH($A237,CS!$B:$B,0)+COLUMN(H$1),1))</f>
        <v/>
      </c>
      <c r="BO237" s="37" t="str">
        <f t="array" ref="BO237">IF($A237="","", INDEX(CS!$B$1:$B$15026,MATCH($A237,CS!$B:$B,0)+COLUMN(I$1),1))</f>
        <v/>
      </c>
      <c r="BP237" s="37" t="str">
        <f t="array" ref="BP237">IF($A237="","", INDEX(CS!$B$1:$B$15026,MATCH($A237,CS!$B:$B,0)+COLUMN(J$1),1))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INDEX(CS!$B$1:$B$15026,MATCH($A238,CS!$B:$B,0)+COLUMN(A$1),1))</f>
        <v>牙</v>
      </c>
      <c r="BH238" s="37" t="str">
        <f t="array" ref="BH238">IF($A238="","", INDEX(CS!$B$1:$B$15026,MATCH($A238,CS!$B:$B,0)+COLUMN(B$1),1))</f>
        <v>尾</v>
      </c>
      <c r="BI238" s="37" t="str">
        <f t="array" ref="BI238">IF($A238="","", INDEX(CS!$B$1:$B$15026,MATCH($A238,CS!$B:$B,0)+COLUMN(C$1),1))</f>
        <v>デスロール</v>
      </c>
      <c r="BJ238" s="37" t="str">
        <f t="array" ref="BJ238">IF($A238="","", INDEX(CS!$B$1:$B$15026,MATCH($A238,CS!$B:$B,0)+COLUMN(D$1),1))</f>
        <v>強靭な顎</v>
      </c>
      <c r="BK238" s="37" t="str">
        <f t="array" ref="BK238">IF($A238="","", INDEX(CS!$B$1:$B$15026,MATCH($A238,CS!$B:$B,0)+COLUMN(E$1),1))</f>
        <v>反応</v>
      </c>
      <c r="BL238" s="37" t="str">
        <f t="array" ref="BL238">IF($A238="","", INDEX(CS!$B$1:$B$15026,MATCH($A238,CS!$B:$B,0)+COLUMN(F$1),1))</f>
        <v/>
      </c>
      <c r="BM238" s="37" t="str">
        <f t="array" ref="BM238">IF($A238="","", INDEX(CS!$B$1:$B$15026,MATCH($A238,CS!$B:$B,0)+COLUMN(G$1),1))</f>
        <v>野生感覚</v>
      </c>
      <c r="BN238" s="37" t="str">
        <f t="array" ref="BN238">IF($A238="","", INDEX(CS!$B$1:$B$15026,MATCH($A238,CS!$B:$B,0)+COLUMN(H$1),1))</f>
        <v/>
      </c>
      <c r="BO238" s="37" t="str">
        <f t="array" ref="BO238">IF($A238="","", INDEX(CS!$B$1:$B$15026,MATCH($A238,CS!$B:$B,0)+COLUMN(I$1),1))</f>
        <v/>
      </c>
      <c r="BP238" s="37" t="str">
        <f t="array" ref="BP238">IF($A238="","", INDEX(CS!$B$1:$B$15026,MATCH($A238,CS!$B:$B,0)+COLUMN(J$1),1))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INDEX(CS!$B$1:$B$15026,MATCH($A239,CS!$B:$B,0)+COLUMN(A$1),1))</f>
        <v>後脚蹴り</v>
      </c>
      <c r="BH239" s="79" t="str">
        <f t="array" ref="BH239">IF($A239="","", INDEX(CS!$B$1:$B$15026,MATCH($A239,CS!$B:$B,0)+COLUMN(B$1),1))</f>
        <v>馬の突進</v>
      </c>
      <c r="BI239" s="79" t="str">
        <f t="array" ref="BI239">IF($A239="","", INDEX(CS!$B$1:$B$15026,MATCH($A239,CS!$B:$B,0)+COLUMN(C$1),1))</f>
        <v>蹄撃強化</v>
      </c>
      <c r="BJ239" s="79" t="str">
        <f t="array" ref="BJ239">IF($A239="","", INDEX(CS!$B$1:$B$15026,MATCH($A239,CS!$B:$B,0)+COLUMN(D$1),1))</f>
        <v>踏みつけ</v>
      </c>
      <c r="BK239" s="79" t="str">
        <f t="array" ref="BK239">IF($A239="","", INDEX(CS!$B$1:$B$15026,MATCH($A239,CS!$B:$B,0)+COLUMN(E$1),1))</f>
        <v>反応</v>
      </c>
      <c r="BL239" s="79" t="str">
        <f t="array" ref="BL239">IF($A239="","", INDEX(CS!$B$1:$B$15026,MATCH($A239,CS!$B:$B,0)+COLUMN(F$1),1))</f>
        <v/>
      </c>
      <c r="BM239" s="79" t="str">
        <f t="array" ref="BM239">IF($A239="","", INDEX(CS!$B$1:$B$15026,MATCH($A239,CS!$B:$B,0)+COLUMN(G$1),1))</f>
        <v>野生感覚</v>
      </c>
      <c r="BN239" s="79" t="str">
        <f t="array" ref="BN239">IF($A239="","", INDEX(CS!$B$1:$B$15026,MATCH($A239,CS!$B:$B,0)+COLUMN(H$1),1))</f>
        <v/>
      </c>
      <c r="BO239" s="79" t="str">
        <f t="array" ref="BO239">IF($A239="","", INDEX(CS!$B$1:$B$15026,MATCH($A239,CS!$B:$B,0)+COLUMN(I$1),1))</f>
        <v/>
      </c>
      <c r="BP239" s="79" t="str">
        <f t="array" ref="BP239">IF($A239="","", INDEX(CS!$B$1:$B$15026,MATCH($A239,CS!$B:$B,0)+COLUMN(J$1),1))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INDEX(CS!$B$1:$B$15026,MATCH($A240,CS!$B:$B,0)+COLUMN(A$1),1))</f>
        <v>牙</v>
      </c>
      <c r="BH240" s="79" t="str">
        <f t="array" ref="BH240">IF($A240="","", INDEX(CS!$B$1:$B$15026,MATCH($A240,CS!$B:$B,0)+COLUMN(B$1),1))</f>
        <v>猪の突進</v>
      </c>
      <c r="BI240" s="79" t="str">
        <f t="array" ref="BI240">IF($A240="","", INDEX(CS!$B$1:$B$15026,MATCH($A240,CS!$B:$B,0)+COLUMN(C$1),1))</f>
        <v>猪突猛進</v>
      </c>
      <c r="BJ240" s="79" t="str">
        <f t="array" ref="BJ240">IF($A240="","", INDEX(CS!$B$1:$B$15026,MATCH($A240,CS!$B:$B,0)+COLUMN(D$1),1))</f>
        <v>踏みつけ</v>
      </c>
      <c r="BK240" s="79" t="str">
        <f t="array" ref="BK240">IF($A240="","", INDEX(CS!$B$1:$B$15026,MATCH($A240,CS!$B:$B,0)+COLUMN(E$1),1))</f>
        <v>反応</v>
      </c>
      <c r="BL240" s="79" t="str">
        <f t="array" ref="BL240">IF($A240="","", INDEX(CS!$B$1:$B$15026,MATCH($A240,CS!$B:$B,0)+COLUMN(F$1),1))</f>
        <v/>
      </c>
      <c r="BM240" s="79" t="str">
        <f t="array" ref="BM240">IF($A240="","", INDEX(CS!$B$1:$B$15026,MATCH($A240,CS!$B:$B,0)+COLUMN(G$1),1))</f>
        <v>野生感覚</v>
      </c>
      <c r="BN240" s="79" t="str">
        <f t="array" ref="BN240">IF($A240="","", INDEX(CS!$B$1:$B$15026,MATCH($A240,CS!$B:$B,0)+COLUMN(H$1),1))</f>
        <v/>
      </c>
      <c r="BO240" s="79" t="str">
        <f t="array" ref="BO240">IF($A240="","", INDEX(CS!$B$1:$B$15026,MATCH($A240,CS!$B:$B,0)+COLUMN(I$1),1))</f>
        <v/>
      </c>
      <c r="BP240" s="79" t="str">
        <f t="array" ref="BP240">IF($A240="","", INDEX(CS!$B$1:$B$15026,MATCH($A240,CS!$B:$B,0)+COLUMN(J$1),1))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INDEX(CS!$B$1:$B$15026,MATCH($A241,CS!$B:$B,0)+COLUMN(A$1),1))</f>
        <v>爪</v>
      </c>
      <c r="BH241" s="79" t="str">
        <f t="array" ref="BH241">IF($A241="","", INDEX(CS!$B$1:$B$15026,MATCH($A241,CS!$B:$B,0)+COLUMN(B$1),1))</f>
        <v>牙</v>
      </c>
      <c r="BI241" s="79" t="str">
        <f t="array" ref="BI241">IF($A241="","", INDEX(CS!$B$1:$B$15026,MATCH($A241,CS!$B:$B,0)+COLUMN(C$1),1))</f>
        <v>獅子の咆哮</v>
      </c>
      <c r="BJ241" s="79" t="str">
        <f t="array" ref="BJ241">IF($A241="","", INDEX(CS!$B$1:$B$15026,MATCH($A241,CS!$B:$B,0)+COLUMN(D$1),1))</f>
        <v>猛獣の飛びかかり</v>
      </c>
      <c r="BK241" s="79" t="str">
        <f t="array" ref="BK241">IF($A241="","", INDEX(CS!$B$1:$B$15026,MATCH($A241,CS!$B:$B,0)+COLUMN(E$1),1))</f>
        <v>反応</v>
      </c>
      <c r="BL241" s="79" t="str">
        <f t="array" ref="BL241">IF($A241="","", INDEX(CS!$B$1:$B$15026,MATCH($A241,CS!$B:$B,0)+COLUMN(F$1),1))</f>
        <v/>
      </c>
      <c r="BM241" s="79" t="str">
        <f t="array" ref="BM241">IF($A241="","", INDEX(CS!$B$1:$B$15026,MATCH($A241,CS!$B:$B,0)+COLUMN(G$1),1))</f>
        <v>野生感覚</v>
      </c>
      <c r="BN241" s="79" t="str">
        <f t="array" ref="BN241">IF($A241="","", INDEX(CS!$B$1:$B$15026,MATCH($A241,CS!$B:$B,0)+COLUMN(H$1),1))</f>
        <v/>
      </c>
      <c r="BO241" s="79" t="str">
        <f t="array" ref="BO241">IF($A241="","", INDEX(CS!$B$1:$B$15026,MATCH($A241,CS!$B:$B,0)+COLUMN(I$1),1))</f>
        <v/>
      </c>
      <c r="BP241" s="79" t="str">
        <f t="array" ref="BP241">IF($A241="","", INDEX(CS!$B$1:$B$15026,MATCH($A241,CS!$B:$B,0)+COLUMN(J$1),1))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INDEX(CS!$B$1:$B$15026,MATCH($A242,CS!$B:$B,0)+COLUMN(A$1),1))</f>
        <v>角</v>
      </c>
      <c r="BH242" s="79" t="str">
        <f t="array" ref="BH242">IF($A242="","", INDEX(CS!$B$1:$B$15026,MATCH($A242,CS!$B:$B,0)+COLUMN(B$1),1))</f>
        <v>山羊の突進</v>
      </c>
      <c r="BI242" s="79" t="str">
        <f t="array" ref="BI242">IF($A242="","", INDEX(CS!$B$1:$B$15026,MATCH($A242,CS!$B:$B,0)+COLUMN(C$1),1))</f>
        <v>強靭な角</v>
      </c>
      <c r="BJ242" s="79" t="str">
        <f t="array" ref="BJ242">IF($A242="","", INDEX(CS!$B$1:$B$15026,MATCH($A242,CS!$B:$B,0)+COLUMN(D$1),1))</f>
        <v>岩場適応</v>
      </c>
      <c r="BK242" s="79" t="str">
        <f t="array" ref="BK242">IF($A242="","", INDEX(CS!$B$1:$B$15026,MATCH($A242,CS!$B:$B,0)+COLUMN(E$1),1))</f>
        <v>反応</v>
      </c>
      <c r="BL242" s="79" t="str">
        <f t="array" ref="BL242">IF($A242="","", INDEX(CS!$B$1:$B$15026,MATCH($A242,CS!$B:$B,0)+COLUMN(F$1),1))</f>
        <v/>
      </c>
      <c r="BM242" s="79" t="str">
        <f t="array" ref="BM242">IF($A242="","", INDEX(CS!$B$1:$B$15026,MATCH($A242,CS!$B:$B,0)+COLUMN(G$1),1))</f>
        <v>野生感覚</v>
      </c>
      <c r="BN242" s="79" t="str">
        <f t="array" ref="BN242">IF($A242="","", INDEX(CS!$B$1:$B$15026,MATCH($A242,CS!$B:$B,0)+COLUMN(H$1),1))</f>
        <v/>
      </c>
      <c r="BO242" s="79" t="str">
        <f t="array" ref="BO242">IF($A242="","", INDEX(CS!$B$1:$B$15026,MATCH($A242,CS!$B:$B,0)+COLUMN(I$1),1))</f>
        <v/>
      </c>
      <c r="BP242" s="79" t="str">
        <f t="array" ref="BP242">IF($A242="","", INDEX(CS!$B$1:$B$15026,MATCH($A242,CS!$B:$B,0)+COLUMN(J$1),1))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INDEX(CS!$B$1:$B$15026,MATCH($A243,CS!$B:$B,0)+COLUMN(A$1),1))</f>
        <v>爪</v>
      </c>
      <c r="BH243" s="79" t="str">
        <f t="array" ref="BH243">IF($A243="","", INDEX(CS!$B$1:$B$15026,MATCH($A243,CS!$B:$B,0)+COLUMN(B$1),1))</f>
        <v>翼</v>
      </c>
      <c r="BI243" s="79" t="str">
        <f t="array" ref="BI243">IF($A243="","", INDEX(CS!$B$1:$B$15026,MATCH($A243,CS!$B:$B,0)+COLUMN(C$1),1))</f>
        <v>梟の急降下</v>
      </c>
      <c r="BJ243" s="79" t="str">
        <f t="array" ref="BJ243">IF($A243="","", INDEX(CS!$B$1:$B$15026,MATCH($A243,CS!$B:$B,0)+COLUMN(D$1),1))</f>
        <v>梟の眼</v>
      </c>
      <c r="BK243" s="79" t="str">
        <f t="array" ref="BK243">IF($A243="","", INDEX(CS!$B$1:$B$15026,MATCH($A243,CS!$B:$B,0)+COLUMN(E$1),1))</f>
        <v>反応</v>
      </c>
      <c r="BL243" s="79" t="str">
        <f t="array" ref="BL243">IF($A243="","", INDEX(CS!$B$1:$B$15026,MATCH($A243,CS!$B:$B,0)+COLUMN(F$1),1))</f>
        <v/>
      </c>
      <c r="BM243" s="79" t="str">
        <f t="array" ref="BM243">IF($A243="","", INDEX(CS!$B$1:$B$15026,MATCH($A243,CS!$B:$B,0)+COLUMN(G$1),1))</f>
        <v>野生感覚</v>
      </c>
      <c r="BN243" s="79" t="str">
        <f t="array" ref="BN243">IF($A243="","", INDEX(CS!$B$1:$B$15026,MATCH($A243,CS!$B:$B,0)+COLUMN(H$1),1))</f>
        <v/>
      </c>
      <c r="BO243" s="79" t="str">
        <f t="array" ref="BO243">IF($A243="","", INDEX(CS!$B$1:$B$15026,MATCH($A243,CS!$B:$B,0)+COLUMN(I$1),1))</f>
        <v/>
      </c>
      <c r="BP243" s="79" t="str">
        <f t="array" ref="BP243">IF($A243="","", INDEX(CS!$B$1:$B$15026,MATCH($A243,CS!$B:$B,0)+COLUMN(J$1),1))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INDEX(CS!$B$1:$B$15026,MATCH($A244,CS!$B:$B,0)+COLUMN(A$1),1))</f>
        <v>牙</v>
      </c>
      <c r="BH244" s="79" t="str">
        <f t="array" ref="BH244">IF($A244="","", INDEX(CS!$B$1:$B$15026,MATCH($A244,CS!$B:$B,0)+COLUMN(B$1),1))</f>
        <v>尾</v>
      </c>
      <c r="BI244" s="79" t="str">
        <f t="array" ref="BI244">IF($A244="","", INDEX(CS!$B$1:$B$15026,MATCH($A244,CS!$B:$B,0)+COLUMN(C$1),1))</f>
        <v>鱗皮</v>
      </c>
      <c r="BJ244" s="79" t="str">
        <f t="array" ref="BJ244">IF($A244="","", INDEX(CS!$B$1:$B$15026,MATCH($A244,CS!$B:$B,0)+COLUMN(D$1),1))</f>
        <v>爬行</v>
      </c>
      <c r="BK244" s="79" t="str">
        <f t="array" ref="BK244">IF($A244="","", INDEX(CS!$B$1:$B$15026,MATCH($A244,CS!$B:$B,0)+COLUMN(E$1),1))</f>
        <v>反応</v>
      </c>
      <c r="BL244" s="79" t="str">
        <f t="array" ref="BL244">IF($A244="","", INDEX(CS!$B$1:$B$15026,MATCH($A244,CS!$B:$B,0)+COLUMN(F$1),1))</f>
        <v/>
      </c>
      <c r="BM244" s="79" t="str">
        <f t="array" ref="BM244">IF($A244="","", INDEX(CS!$B$1:$B$15026,MATCH($A244,CS!$B:$B,0)+COLUMN(G$1),1))</f>
        <v>野生感覚</v>
      </c>
      <c r="BN244" s="79" t="str">
        <f t="array" ref="BN244">IF($A244="","", INDEX(CS!$B$1:$B$15026,MATCH($A244,CS!$B:$B,0)+COLUMN(H$1),1))</f>
        <v/>
      </c>
      <c r="BO244" s="79" t="str">
        <f t="array" ref="BO244">IF($A244="","", INDEX(CS!$B$1:$B$15026,MATCH($A244,CS!$B:$B,0)+COLUMN(I$1),1))</f>
        <v/>
      </c>
      <c r="BP244" s="79" t="str">
        <f t="array" ref="BP244">IF($A244="","", INDEX(CS!$B$1:$B$15026,MATCH($A244,CS!$B:$B,0)+COLUMN(J$1),1))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INDEX(CS!$B$1:$B$15026,MATCH($A245,CS!$B:$B,0)+COLUMN(A$1),1))</f>
        <v>猿の拳</v>
      </c>
      <c r="BH245" s="79" t="str">
        <f t="array" ref="BH245">IF($A245="","", INDEX(CS!$B$1:$B$15026,MATCH($A245,CS!$B:$B,0)+COLUMN(B$1),1))</f>
        <v>投石</v>
      </c>
      <c r="BI245" s="79" t="str">
        <f t="array" ref="BI245">IF($A245="","", INDEX(CS!$B$1:$B$15026,MATCH($A245,CS!$B:$B,0)+COLUMN(C$1),1))</f>
        <v>器用な手</v>
      </c>
      <c r="BJ245" s="79" t="str">
        <f t="array" ref="BJ245">IF($A245="","", INDEX(CS!$B$1:$B$15026,MATCH($A245,CS!$B:$B,0)+COLUMN(D$1),1))</f>
        <v>樹上移動</v>
      </c>
      <c r="BK245" s="79" t="str">
        <f t="array" ref="BK245">IF($A245="","", INDEX(CS!$B$1:$B$15026,MATCH($A245,CS!$B:$B,0)+COLUMN(E$1),1))</f>
        <v>反応</v>
      </c>
      <c r="BL245" s="79" t="str">
        <f t="array" ref="BL245">IF($A245="","", INDEX(CS!$B$1:$B$15026,MATCH($A245,CS!$B:$B,0)+COLUMN(F$1),1))</f>
        <v/>
      </c>
      <c r="BM245" s="79" t="str">
        <f t="array" ref="BM245">IF($A245="","", INDEX(CS!$B$1:$B$15026,MATCH($A245,CS!$B:$B,0)+COLUMN(G$1),1))</f>
        <v>野生感覚</v>
      </c>
      <c r="BN245" s="79" t="str">
        <f t="array" ref="BN245">IF($A245="","", INDEX(CS!$B$1:$B$15026,MATCH($A245,CS!$B:$B,0)+COLUMN(H$1),1))</f>
        <v/>
      </c>
      <c r="BO245" s="79" t="str">
        <f t="array" ref="BO245">IF($A245="","", INDEX(CS!$B$1:$B$15026,MATCH($A245,CS!$B:$B,0)+COLUMN(I$1),1))</f>
        <v/>
      </c>
      <c r="BP245" s="79" t="str">
        <f t="array" ref="BP245">IF($A245="","", INDEX(CS!$B$1:$B$15026,MATCH($A245,CS!$B:$B,0)+COLUMN(J$1),1))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INDEX(CS!$B$1:$B$15026,MATCH($A246,CS!$B:$B,0)+COLUMN(A$1),1))</f>
        <v>牙</v>
      </c>
      <c r="BH246" s="79" t="str">
        <f t="array" ref="BH246">IF($A246="","", INDEX(CS!$B$1:$B$15026,MATCH($A246,CS!$B:$B,0)+COLUMN(B$1),1))</f>
        <v>爪</v>
      </c>
      <c r="BI246" s="79" t="str">
        <f t="array" ref="BI246">IF($A246="","", INDEX(CS!$B$1:$B$15026,MATCH($A246,CS!$B:$B,0)+COLUMN(C$1),1))</f>
        <v>狐の身軽さ</v>
      </c>
      <c r="BJ246" s="79" t="str">
        <f t="array" ref="BJ246">IF($A246="","", INDEX(CS!$B$1:$B$15026,MATCH($A246,CS!$B:$B,0)+COLUMN(D$1),1))</f>
        <v>忍び足</v>
      </c>
      <c r="BK246" s="79" t="str">
        <f t="array" ref="BK246">IF($A246="","", INDEX(CS!$B$1:$B$15026,MATCH($A246,CS!$B:$B,0)+COLUMN(E$1),1))</f>
        <v>反応</v>
      </c>
      <c r="BL246" s="79" t="str">
        <f t="array" ref="BL246">IF($A246="","", INDEX(CS!$B$1:$B$15026,MATCH($A246,CS!$B:$B,0)+COLUMN(F$1),1))</f>
        <v/>
      </c>
      <c r="BM246" s="79" t="str">
        <f t="array" ref="BM246">IF($A246="","", INDEX(CS!$B$1:$B$15026,MATCH($A246,CS!$B:$B,0)+COLUMN(G$1),1))</f>
        <v>野生感覚</v>
      </c>
      <c r="BN246" s="79" t="str">
        <f t="array" ref="BN246">IF($A246="","", INDEX(CS!$B$1:$B$15026,MATCH($A246,CS!$B:$B,0)+COLUMN(H$1),1))</f>
        <v/>
      </c>
      <c r="BO246" s="79" t="str">
        <f t="array" ref="BO246">IF($A246="","", INDEX(CS!$B$1:$B$15026,MATCH($A246,CS!$B:$B,0)+COLUMN(I$1),1))</f>
        <v/>
      </c>
      <c r="BP246" s="79" t="str">
        <f t="array" ref="BP246">IF($A246="","", INDEX(CS!$B$1:$B$15026,MATCH($A246,CS!$B:$B,0)+COLUMN(J$1),1))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INDEX(CS!$B$1:$B$15026,MATCH($A247,CS!$B:$B,0)+COLUMN(A$1),1))</f>
        <v>牙</v>
      </c>
      <c r="BH247" s="79" t="str">
        <f t="array" ref="BH247">IF($A247="","", INDEX(CS!$B$1:$B$15026,MATCH($A247,CS!$B:$B,0)+COLUMN(B$1),1))</f>
        <v>甲羅体当たり</v>
      </c>
      <c r="BI247" s="79" t="str">
        <f t="array" ref="BI247">IF($A247="","", INDEX(CS!$B$1:$B$15026,MATCH($A247,CS!$B:$B,0)+COLUMN(C$1),1))</f>
        <v>甲羅</v>
      </c>
      <c r="BJ247" s="79" t="str">
        <f t="array" ref="BJ247">IF($A247="","", INDEX(CS!$B$1:$B$15026,MATCH($A247,CS!$B:$B,0)+COLUMN(D$1),1))</f>
        <v>甲羅防御</v>
      </c>
      <c r="BK247" s="79" t="str">
        <f t="array" ref="BK247">IF($A247="","", INDEX(CS!$B$1:$B$15026,MATCH($A247,CS!$B:$B,0)+COLUMN(E$1),1))</f>
        <v>反応</v>
      </c>
      <c r="BL247" s="79" t="str">
        <f t="array" ref="BL247">IF($A247="","", INDEX(CS!$B$1:$B$15026,MATCH($A247,CS!$B:$B,0)+COLUMN(F$1),1))</f>
        <v/>
      </c>
      <c r="BM247" s="79" t="str">
        <f t="array" ref="BM247">IF($A247="","", INDEX(CS!$B$1:$B$15026,MATCH($A247,CS!$B:$B,0)+COLUMN(G$1),1))</f>
        <v>野生感覚</v>
      </c>
      <c r="BN247" s="79" t="str">
        <f t="array" ref="BN247">IF($A247="","", INDEX(CS!$B$1:$B$15026,MATCH($A247,CS!$B:$B,0)+COLUMN(H$1),1))</f>
        <v/>
      </c>
      <c r="BO247" s="79" t="str">
        <f t="array" ref="BO247">IF($A247="","", INDEX(CS!$B$1:$B$15026,MATCH($A247,CS!$B:$B,0)+COLUMN(I$1),1))</f>
        <v/>
      </c>
      <c r="BP247" s="79" t="str">
        <f t="array" ref="BP247">IF($A247="","", INDEX(CS!$B$1:$B$15026,MATCH($A247,CS!$B:$B,0)+COLUMN(J$1),1))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INDEX(CS!$B$1:$B$15026,MATCH($A248,CS!$B:$B,0)+COLUMN(A$1),1))</f>
        <v>角</v>
      </c>
      <c r="BH248" s="79" t="str">
        <f t="array" ref="BH248">IF($A248="","", INDEX(CS!$B$1:$B$15026,MATCH($A248,CS!$B:$B,0)+COLUMN(B$1),1))</f>
        <v>鹿の突進</v>
      </c>
      <c r="BI248" s="79" t="str">
        <f t="array" ref="BI248">IF($A248="","", INDEX(CS!$B$1:$B$15026,MATCH($A248,CS!$B:$B,0)+COLUMN(C$1),1))</f>
        <v>後脚蹴り</v>
      </c>
      <c r="BJ248" s="79" t="str">
        <f t="array" ref="BJ248">IF($A248="","", INDEX(CS!$B$1:$B$15026,MATCH($A248,CS!$B:$B,0)+COLUMN(D$1),1))</f>
        <v>警戒耳</v>
      </c>
      <c r="BK248" s="79" t="str">
        <f t="array" ref="BK248">IF($A248="","", INDEX(CS!$B$1:$B$15026,MATCH($A248,CS!$B:$B,0)+COLUMN(E$1),1))</f>
        <v>反応</v>
      </c>
      <c r="BL248" s="79" t="str">
        <f t="array" ref="BL248">IF($A248="","", INDEX(CS!$B$1:$B$15026,MATCH($A248,CS!$B:$B,0)+COLUMN(F$1),1))</f>
        <v/>
      </c>
      <c r="BM248" s="79" t="str">
        <f t="array" ref="BM248">IF($A248="","", INDEX(CS!$B$1:$B$15026,MATCH($A248,CS!$B:$B,0)+COLUMN(G$1),1))</f>
        <v>野生感覚</v>
      </c>
      <c r="BN248" s="79" t="str">
        <f t="array" ref="BN248">IF($A248="","", INDEX(CS!$B$1:$B$15026,MATCH($A248,CS!$B:$B,0)+COLUMN(H$1),1))</f>
        <v/>
      </c>
      <c r="BO248" s="79" t="str">
        <f t="array" ref="BO248">IF($A248="","", INDEX(CS!$B$1:$B$15026,MATCH($A248,CS!$B:$B,0)+COLUMN(I$1),1))</f>
        <v/>
      </c>
      <c r="BP248" s="79" t="str">
        <f t="array" ref="BP248">IF($A248="","", INDEX(CS!$B$1:$B$15026,MATCH($A248,CS!$B:$B,0)+COLUMN(J$1),1))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INDEX(CS!$B$1:$B$15026,MATCH($A249,CS!$B:$B,0)+COLUMN(A$1),1))</f>
        <v/>
      </c>
      <c r="BH249" s="79" t="str">
        <f t="array" ref="BH249">IF($A249="","", INDEX(CS!$B$1:$B$15026,MATCH($A249,CS!$B:$B,0)+COLUMN(B$1),1))</f>
        <v/>
      </c>
      <c r="BI249" s="79" t="str">
        <f t="array" ref="BI249">IF($A249="","", INDEX(CS!$B$1:$B$15026,MATCH($A249,CS!$B:$B,0)+COLUMN(C$1),1))</f>
        <v/>
      </c>
      <c r="BJ249" s="79" t="str">
        <f t="array" ref="BJ249">IF($A249="","", INDEX(CS!$B$1:$B$15026,MATCH($A249,CS!$B:$B,0)+COLUMN(D$1),1))</f>
        <v/>
      </c>
      <c r="BK249" s="79" t="str">
        <f t="array" ref="BK249">IF($A249="","", INDEX(CS!$B$1:$B$15026,MATCH($A249,CS!$B:$B,0)+COLUMN(E$1),1))</f>
        <v/>
      </c>
      <c r="BL249" s="79" t="str">
        <f t="array" ref="BL249">IF($A249="","", INDEX(CS!$B$1:$B$15026,MATCH($A249,CS!$B:$B,0)+COLUMN(F$1),1))</f>
        <v/>
      </c>
      <c r="BM249" s="79" t="str">
        <f t="array" ref="BM249">IF($A249="","", INDEX(CS!$B$1:$B$15026,MATCH($A249,CS!$B:$B,0)+COLUMN(G$1),1))</f>
        <v/>
      </c>
      <c r="BN249" s="79" t="str">
        <f t="array" ref="BN249">IF($A249="","", INDEX(CS!$B$1:$B$15026,MATCH($A249,CS!$B:$B,0)+COLUMN(H$1),1))</f>
        <v/>
      </c>
      <c r="BO249" s="79" t="str">
        <f t="array" ref="BO249">IF($A249="","", INDEX(CS!$B$1:$B$15026,MATCH($A249,CS!$B:$B,0)+COLUMN(I$1),1))</f>
        <v/>
      </c>
      <c r="BP249" s="79" t="str">
        <f t="array" ref="BP249">IF($A249="","", INDEX(CS!$B$1:$B$15026,MATCH($A249,CS!$B:$B,0)+COLUMN(J$1),1))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INDEX(CS!$B$1:$B$15026,MATCH($A250,CS!$B:$B,0)+COLUMN(A$1),1))</f>
        <v/>
      </c>
      <c r="BH250" s="79" t="str">
        <f t="array" ref="BH250">IF($A250="","", INDEX(CS!$B$1:$B$15026,MATCH($A250,CS!$B:$B,0)+COLUMN(B$1),1))</f>
        <v/>
      </c>
      <c r="BI250" s="79" t="str">
        <f t="array" ref="BI250">IF($A250="","", INDEX(CS!$B$1:$B$15026,MATCH($A250,CS!$B:$B,0)+COLUMN(C$1),1))</f>
        <v/>
      </c>
      <c r="BJ250" s="79" t="str">
        <f t="array" ref="BJ250">IF($A250="","", INDEX(CS!$B$1:$B$15026,MATCH($A250,CS!$B:$B,0)+COLUMN(D$1),1))</f>
        <v/>
      </c>
      <c r="BK250" s="79" t="str">
        <f t="array" ref="BK250">IF($A250="","", INDEX(CS!$B$1:$B$15026,MATCH($A250,CS!$B:$B,0)+COLUMN(E$1),1))</f>
        <v/>
      </c>
      <c r="BL250" s="79" t="str">
        <f t="array" ref="BL250">IF($A250="","", INDEX(CS!$B$1:$B$15026,MATCH($A250,CS!$B:$B,0)+COLUMN(F$1),1))</f>
        <v/>
      </c>
      <c r="BM250" s="79" t="str">
        <f t="array" ref="BM250">IF($A250="","", INDEX(CS!$B$1:$B$15026,MATCH($A250,CS!$B:$B,0)+COLUMN(G$1),1))</f>
        <v/>
      </c>
      <c r="BN250" s="79" t="str">
        <f t="array" ref="BN250">IF($A250="","", INDEX(CS!$B$1:$B$15026,MATCH($A250,CS!$B:$B,0)+COLUMN(H$1),1))</f>
        <v/>
      </c>
      <c r="BO250" s="79" t="str">
        <f t="array" ref="BO250">IF($A250="","", INDEX(CS!$B$1:$B$15026,MATCH($A250,CS!$B:$B,0)+COLUMN(I$1),1))</f>
        <v/>
      </c>
      <c r="BP250" s="79" t="str">
        <f t="array" ref="BP250">IF($A250="","", INDEX(CS!$B$1:$B$15026,MATCH($A250,CS!$B:$B,0)+COLUMN(J$1),1))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INDEX(CS!$B$1:$B$15026,MATCH($A251,CS!$B:$B,0)+COLUMN(A$1),1))</f>
        <v>甲虫角撃</v>
      </c>
      <c r="BH251" s="79" t="str">
        <f t="array" ref="BH251">IF($A251="","", INDEX(CS!$B$1:$B$15026,MATCH($A251,CS!$B:$B,0)+COLUMN(B$1),1))</f>
        <v>甲虫の複眼</v>
      </c>
      <c r="BI251" s="79" t="str">
        <f t="array" ref="BI251">IF($A251="","", INDEX(CS!$B$1:$B$15026,MATCH($A251,CS!$B:$B,0)+COLUMN(C$1),1))</f>
        <v>硬質外殻</v>
      </c>
      <c r="BJ251" s="79" t="str">
        <f t="array" ref="BJ251">IF($A251="","", INDEX(CS!$B$1:$B$15026,MATCH($A251,CS!$B:$B,0)+COLUMN(D$1),1))</f>
        <v>突進甲角</v>
      </c>
      <c r="BK251" s="79" t="str">
        <f t="array" ref="BK251">IF($A251="","", INDEX(CS!$B$1:$B$15026,MATCH($A251,CS!$B:$B,0)+COLUMN(E$1),1))</f>
        <v>虫の体当たり</v>
      </c>
      <c r="BL251" s="79" t="str">
        <f t="array" ref="BL251">IF($A251="","", INDEX(CS!$B$1:$B$15026,MATCH($A251,CS!$B:$B,0)+COLUMN(F$1),1))</f>
        <v/>
      </c>
      <c r="BM251" s="79" t="str">
        <f t="array" ref="BM251">IF($A251="","", INDEX(CS!$B$1:$B$15026,MATCH($A251,CS!$B:$B,0)+COLUMN(G$1),1))</f>
        <v>虫の反応</v>
      </c>
      <c r="BN251" s="79" t="str">
        <f t="array" ref="BN251">IF($A251="","", INDEX(CS!$B$1:$B$15026,MATCH($A251,CS!$B:$B,0)+COLUMN(H$1),1))</f>
        <v/>
      </c>
      <c r="BO251" s="79" t="str">
        <f t="array" ref="BO251">IF($A251="","", INDEX(CS!$B$1:$B$15026,MATCH($A251,CS!$B:$B,0)+COLUMN(I$1),1))</f>
        <v/>
      </c>
      <c r="BP251" s="79" t="str">
        <f t="array" ref="BP251">IF($A251="","", INDEX(CS!$B$1:$B$15026,MATCH($A251,CS!$B:$B,0)+COLUMN(J$1),1))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INDEX(CS!$B$1:$B$15026,MATCH($A252,CS!$B:$B,0)+COLUMN(A$1),1))</f>
        <v>鍬形大顎</v>
      </c>
      <c r="BH252" s="79" t="str">
        <f t="array" ref="BH252">IF($A252="","", INDEX(CS!$B$1:$B$15026,MATCH($A252,CS!$B:$B,0)+COLUMN(B$1),1))</f>
        <v>挟み込み</v>
      </c>
      <c r="BI252" s="79" t="str">
        <f t="array" ref="BI252">IF($A252="","", INDEX(CS!$B$1:$B$15026,MATCH($A252,CS!$B:$B,0)+COLUMN(C$1),1))</f>
        <v>鍬形の複眼</v>
      </c>
      <c r="BJ252" s="79" t="str">
        <f t="array" ref="BJ252">IF($A252="","", INDEX(CS!$B$1:$B$15026,MATCH($A252,CS!$B:$B,0)+COLUMN(D$1),1))</f>
        <v>大顎強化</v>
      </c>
      <c r="BK252" s="79" t="str">
        <f t="array" ref="BK252">IF($A252="","", INDEX(CS!$B$1:$B$15026,MATCH($A252,CS!$B:$B,0)+COLUMN(E$1),1))</f>
        <v>虫の体当たり</v>
      </c>
      <c r="BL252" s="79" t="str">
        <f t="array" ref="BL252">IF($A252="","", INDEX(CS!$B$1:$B$15026,MATCH($A252,CS!$B:$B,0)+COLUMN(F$1),1))</f>
        <v/>
      </c>
      <c r="BM252" s="79" t="str">
        <f t="array" ref="BM252">IF($A252="","", INDEX(CS!$B$1:$B$15026,MATCH($A252,CS!$B:$B,0)+COLUMN(G$1),1))</f>
        <v>虫の反応</v>
      </c>
      <c r="BN252" s="79" t="str">
        <f t="array" ref="BN252">IF($A252="","", INDEX(CS!$B$1:$B$15026,MATCH($A252,CS!$B:$B,0)+COLUMN(H$1),1))</f>
        <v/>
      </c>
      <c r="BO252" s="79" t="str">
        <f t="array" ref="BO252">IF($A252="","", INDEX(CS!$B$1:$B$15026,MATCH($A252,CS!$B:$B,0)+COLUMN(I$1),1))</f>
        <v/>
      </c>
      <c r="BP252" s="79" t="str">
        <f t="array" ref="BP252">IF($A252="","", INDEX(CS!$B$1:$B$15026,MATCH($A252,CS!$B:$B,0)+COLUMN(J$1),1))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INDEX(CS!$B$1:$B$15026,MATCH($A253,CS!$B:$B,0)+COLUMN(A$1),1))</f>
        <v>鎌爪</v>
      </c>
      <c r="BH253" s="79" t="str">
        <f t="array" ref="BH253">IF($A253="","", INDEX(CS!$B$1:$B$15026,MATCH($A253,CS!$B:$B,0)+COLUMN(B$1),1))</f>
        <v>連続鎌</v>
      </c>
      <c r="BI253" s="79" t="str">
        <f t="array" ref="BI253">IF($A253="","", INDEX(CS!$B$1:$B$15026,MATCH($A253,CS!$B:$B,0)+COLUMN(C$1),1))</f>
        <v>蟷螂の複眼</v>
      </c>
      <c r="BJ253" s="79" t="str">
        <f t="array" ref="BJ253">IF($A253="","", INDEX(CS!$B$1:$B$15026,MATCH($A253,CS!$B:$B,0)+COLUMN(D$1),1))</f>
        <v>待ち伏せ</v>
      </c>
      <c r="BK253" s="79" t="str">
        <f t="array" ref="BK253">IF($A253="","", INDEX(CS!$B$1:$B$15026,MATCH($A253,CS!$B:$B,0)+COLUMN(E$1),1))</f>
        <v>虫の体当たり</v>
      </c>
      <c r="BL253" s="79" t="str">
        <f t="array" ref="BL253">IF($A253="","", INDEX(CS!$B$1:$B$15026,MATCH($A253,CS!$B:$B,0)+COLUMN(F$1),1))</f>
        <v/>
      </c>
      <c r="BM253" s="79" t="str">
        <f t="array" ref="BM253">IF($A253="","", INDEX(CS!$B$1:$B$15026,MATCH($A253,CS!$B:$B,0)+COLUMN(G$1),1))</f>
        <v>虫の反応</v>
      </c>
      <c r="BN253" s="79" t="str">
        <f t="array" ref="BN253">IF($A253="","", INDEX(CS!$B$1:$B$15026,MATCH($A253,CS!$B:$B,0)+COLUMN(H$1),1))</f>
        <v/>
      </c>
      <c r="BO253" s="79" t="str">
        <f t="array" ref="BO253">IF($A253="","", INDEX(CS!$B$1:$B$15026,MATCH($A253,CS!$B:$B,0)+COLUMN(I$1),1))</f>
        <v/>
      </c>
      <c r="BP253" s="79" t="str">
        <f t="array" ref="BP253">IF($A253="","", INDEX(CS!$B$1:$B$15026,MATCH($A253,CS!$B:$B,0)+COLUMN(J$1),1))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INDEX(CS!$B$1:$B$15026,MATCH($A254,CS!$B:$B,0)+COLUMN(A$1),1))</f>
        <v>蜂の毒針</v>
      </c>
      <c r="BH254" s="79" t="str">
        <f t="array" ref="BH254">IF($A254="","", INDEX(CS!$B$1:$B$15026,MATCH($A254,CS!$B:$B,0)+COLUMN(B$1),1))</f>
        <v>蜂の複眼</v>
      </c>
      <c r="BI254" s="79" t="str">
        <f t="array" ref="BI254">IF($A254="","", INDEX(CS!$B$1:$B$15026,MATCH($A254,CS!$B:$B,0)+COLUMN(C$1),1))</f>
        <v>翅音加速</v>
      </c>
      <c r="BJ254" s="79" t="str">
        <f t="array" ref="BJ254">IF($A254="","", INDEX(CS!$B$1:$B$15026,MATCH($A254,CS!$B:$B,0)+COLUMN(D$1),1))</f>
        <v>急降下刺突</v>
      </c>
      <c r="BK254" s="79" t="str">
        <f t="array" ref="BK254">IF($A254="","", INDEX(CS!$B$1:$B$15026,MATCH($A254,CS!$B:$B,0)+COLUMN(E$1),1))</f>
        <v>虫の体当たり</v>
      </c>
      <c r="BL254" s="79" t="str">
        <f t="array" ref="BL254">IF($A254="","", INDEX(CS!$B$1:$B$15026,MATCH($A254,CS!$B:$B,0)+COLUMN(F$1),1))</f>
        <v/>
      </c>
      <c r="BM254" s="79" t="str">
        <f t="array" ref="BM254">IF($A254="","", INDEX(CS!$B$1:$B$15026,MATCH($A254,CS!$B:$B,0)+COLUMN(G$1),1))</f>
        <v>虫の反応</v>
      </c>
      <c r="BN254" s="79" t="str">
        <f t="array" ref="BN254">IF($A254="","", INDEX(CS!$B$1:$B$15026,MATCH($A254,CS!$B:$B,0)+COLUMN(H$1),1))</f>
        <v/>
      </c>
      <c r="BO254" s="79" t="str">
        <f t="array" ref="BO254">IF($A254="","", INDEX(CS!$B$1:$B$15026,MATCH($A254,CS!$B:$B,0)+COLUMN(I$1),1))</f>
        <v/>
      </c>
      <c r="BP254" s="79" t="str">
        <f t="array" ref="BP254">IF($A254="","", INDEX(CS!$B$1:$B$15026,MATCH($A254,CS!$B:$B,0)+COLUMN(J$1),1))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INDEX(CS!$B$1:$B$15026,MATCH($A255,CS!$B:$B,0)+COLUMN(A$1),1))</f>
        <v>蟻の大顎</v>
      </c>
      <c r="BH255" s="79" t="str">
        <f t="array" ref="BH255">IF($A255="","", INDEX(CS!$B$1:$B$15026,MATCH($A255,CS!$B:$B,0)+COLUMN(B$1),1))</f>
        <v>群体連携</v>
      </c>
      <c r="BI255" s="79" t="str">
        <f t="array" ref="BI255">IF($A255="","", INDEX(CS!$B$1:$B$15026,MATCH($A255,CS!$B:$B,0)+COLUMN(C$1),1))</f>
        <v>蟻の外殻</v>
      </c>
      <c r="BJ255" s="79" t="str">
        <f t="array" ref="BJ255">IF($A255="","", INDEX(CS!$B$1:$B$15026,MATCH($A255,CS!$B:$B,0)+COLUMN(D$1),1))</f>
        <v>蟻の嗅覚</v>
      </c>
      <c r="BK255" s="79" t="str">
        <f t="array" ref="BK255">IF($A255="","", INDEX(CS!$B$1:$B$15026,MATCH($A255,CS!$B:$B,0)+COLUMN(E$1),1))</f>
        <v>虫の体当たり</v>
      </c>
      <c r="BL255" s="79" t="str">
        <f t="array" ref="BL255">IF($A255="","", INDEX(CS!$B$1:$B$15026,MATCH($A255,CS!$B:$B,0)+COLUMN(F$1),1))</f>
        <v/>
      </c>
      <c r="BM255" s="79" t="str">
        <f t="array" ref="BM255">IF($A255="","", INDEX(CS!$B$1:$B$15026,MATCH($A255,CS!$B:$B,0)+COLUMN(G$1),1))</f>
        <v>挟み込み</v>
      </c>
      <c r="BN255" s="79" t="str">
        <f t="array" ref="BN255">IF($A255="","", INDEX(CS!$B$1:$B$15026,MATCH($A255,CS!$B:$B,0)+COLUMN(H$1),1))</f>
        <v/>
      </c>
      <c r="BO255" s="79" t="str">
        <f t="array" ref="BO255">IF($A255="","", INDEX(CS!$B$1:$B$15026,MATCH($A255,CS!$B:$B,0)+COLUMN(I$1),1))</f>
        <v/>
      </c>
      <c r="BP255" s="79" t="str">
        <f t="array" ref="BP255">IF($A255="","", INDEX(CS!$B$1:$B$15026,MATCH($A255,CS!$B:$B,0)+COLUMN(J$1),1))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INDEX(CS!$B$1:$B$15026,MATCH($A256,CS!$B:$B,0)+COLUMN(A$1),1))</f>
        <v>蜘蛛の毒牙</v>
      </c>
      <c r="BH256" s="79" t="str">
        <f t="array" ref="BH256">IF($A256="","", INDEX(CS!$B$1:$B$15026,MATCH($A256,CS!$B:$B,0)+COLUMN(B$1),1))</f>
        <v>糸吐き</v>
      </c>
      <c r="BI256" s="79" t="str">
        <f t="array" ref="BI256">IF($A256="","", INDEX(CS!$B$1:$B$15026,MATCH($A256,CS!$B:$B,0)+COLUMN(C$1),1))</f>
        <v>蜘蛛の複眼</v>
      </c>
      <c r="BJ256" s="79" t="str">
        <f t="array" ref="BJ256">IF($A256="","", INDEX(CS!$B$1:$B$15026,MATCH($A256,CS!$B:$B,0)+COLUMN(D$1),1))</f>
        <v>巣網感知</v>
      </c>
      <c r="BK256" s="79" t="str">
        <f t="array" ref="BK256">IF($A256="","", INDEX(CS!$B$1:$B$15026,MATCH($A256,CS!$B:$B,0)+COLUMN(E$1),1))</f>
        <v>虫の体当たり</v>
      </c>
      <c r="BL256" s="79" t="str">
        <f t="array" ref="BL256">IF($A256="","", INDEX(CS!$B$1:$B$15026,MATCH($A256,CS!$B:$B,0)+COLUMN(F$1),1))</f>
        <v/>
      </c>
      <c r="BM256" s="79" t="str">
        <f t="array" ref="BM256">IF($A256="","", INDEX(CS!$B$1:$B$15026,MATCH($A256,CS!$B:$B,0)+COLUMN(G$1),1))</f>
        <v>虫の反応</v>
      </c>
      <c r="BN256" s="79" t="str">
        <f t="array" ref="BN256">IF($A256="","", INDEX(CS!$B$1:$B$15026,MATCH($A256,CS!$B:$B,0)+COLUMN(H$1),1))</f>
        <v/>
      </c>
      <c r="BO256" s="79" t="str">
        <f t="array" ref="BO256">IF($A256="","", INDEX(CS!$B$1:$B$15026,MATCH($A256,CS!$B:$B,0)+COLUMN(I$1),1))</f>
        <v/>
      </c>
      <c r="BP256" s="79" t="str">
        <f t="array" ref="BP256">IF($A256="","", INDEX(CS!$B$1:$B$15026,MATCH($A256,CS!$B:$B,0)+COLUMN(J$1),1))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INDEX(CS!$B$1:$B$15026,MATCH($A257,CS!$B:$B,0)+COLUMN(A$1),1))</f>
        <v>百足の毒顎</v>
      </c>
      <c r="BH257" s="79" t="str">
        <f t="array" ref="BH257">IF($A257="","", INDEX(CS!$B$1:$B$15026,MATCH($A257,CS!$B:$B,0)+COLUMN(B$1),1))</f>
        <v>百足連撃</v>
      </c>
      <c r="BI257" s="79" t="str">
        <f t="array" ref="BI257">IF($A257="","", INDEX(CS!$B$1:$B$15026,MATCH($A257,CS!$B:$B,0)+COLUMN(C$1),1))</f>
        <v>多眼感知</v>
      </c>
      <c r="BJ257" s="79" t="str">
        <f t="array" ref="BJ257">IF($A257="","", INDEX(CS!$B$1:$B$15026,MATCH($A257,CS!$B:$B,0)+COLUMN(D$1),1))</f>
        <v>長躯回避</v>
      </c>
      <c r="BK257" s="79" t="str">
        <f t="array" ref="BK257">IF($A257="","", INDEX(CS!$B$1:$B$15026,MATCH($A257,CS!$B:$B,0)+COLUMN(E$1),1))</f>
        <v>虫の体当たり</v>
      </c>
      <c r="BL257" s="79" t="str">
        <f t="array" ref="BL257">IF($A257="","", INDEX(CS!$B$1:$B$15026,MATCH($A257,CS!$B:$B,0)+COLUMN(F$1),1))</f>
        <v/>
      </c>
      <c r="BM257" s="79" t="str">
        <f t="array" ref="BM257">IF($A257="","", INDEX(CS!$B$1:$B$15026,MATCH($A257,CS!$B:$B,0)+COLUMN(G$1),1))</f>
        <v>虫の反応</v>
      </c>
      <c r="BN257" s="79" t="str">
        <f t="array" ref="BN257">IF($A257="","", INDEX(CS!$B$1:$B$15026,MATCH($A257,CS!$B:$B,0)+COLUMN(H$1),1))</f>
        <v/>
      </c>
      <c r="BO257" s="79" t="str">
        <f t="array" ref="BO257">IF($A257="","", INDEX(CS!$B$1:$B$15026,MATCH($A257,CS!$B:$B,0)+COLUMN(I$1),1))</f>
        <v/>
      </c>
      <c r="BP257" s="79" t="str">
        <f t="array" ref="BP257">IF($A257="","", INDEX(CS!$B$1:$B$15026,MATCH($A257,CS!$B:$B,0)+COLUMN(J$1),1))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INDEX(CS!$B$1:$B$15026,MATCH($A258,CS!$B:$B,0)+COLUMN(A$1),1))</f>
        <v>蠍の毒針</v>
      </c>
      <c r="BH258" s="79" t="str">
        <f t="array" ref="BH258">IF($A258="","", INDEX(CS!$B$1:$B$15026,MATCH($A258,CS!$B:$B,0)+COLUMN(B$1),1))</f>
        <v>鋏撃</v>
      </c>
      <c r="BI258" s="79" t="str">
        <f t="array" ref="BI258">IF($A258="","", INDEX(CS!$B$1:$B$15026,MATCH($A258,CS!$B:$B,0)+COLUMN(C$1),1))</f>
        <v>蠍の複眼</v>
      </c>
      <c r="BJ258" s="79" t="str">
        <f t="array" ref="BJ258">IF($A258="","", INDEX(CS!$B$1:$B$15026,MATCH($A258,CS!$B:$B,0)+COLUMN(D$1),1))</f>
        <v>蠍の甲殻</v>
      </c>
      <c r="BK258" s="79" t="str">
        <f t="array" ref="BK258">IF($A258="","", INDEX(CS!$B$1:$B$15026,MATCH($A258,CS!$B:$B,0)+COLUMN(E$1),1))</f>
        <v>虫の体当たり</v>
      </c>
      <c r="BL258" s="79" t="str">
        <f t="array" ref="BL258">IF($A258="","", INDEX(CS!$B$1:$B$15026,MATCH($A258,CS!$B:$B,0)+COLUMN(F$1),1))</f>
        <v/>
      </c>
      <c r="BM258" s="79" t="str">
        <f t="array" ref="BM258">IF($A258="","", INDEX(CS!$B$1:$B$15026,MATCH($A258,CS!$B:$B,0)+COLUMN(G$1),1))</f>
        <v>虫の反応</v>
      </c>
      <c r="BN258" s="79" t="str">
        <f t="array" ref="BN258">IF($A258="","", INDEX(CS!$B$1:$B$15026,MATCH($A258,CS!$B:$B,0)+COLUMN(H$1),1))</f>
        <v/>
      </c>
      <c r="BO258" s="79" t="str">
        <f t="array" ref="BO258">IF($A258="","", INDEX(CS!$B$1:$B$15026,MATCH($A258,CS!$B:$B,0)+COLUMN(I$1),1))</f>
        <v/>
      </c>
      <c r="BP258" s="79" t="str">
        <f t="array" ref="BP258">IF($A258="","", INDEX(CS!$B$1:$B$15026,MATCH($A258,CS!$B:$B,0)+COLUMN(J$1),1))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INDEX(CS!$B$1:$B$15026,MATCH($A259,CS!$B:$B,0)+COLUMN(A$1),1))</f>
        <v/>
      </c>
      <c r="BH259" s="79" t="str">
        <f t="array" ref="BH259">IF($A259="","", INDEX(CS!$B$1:$B$15026,MATCH($A259,CS!$B:$B,0)+COLUMN(B$1),1))</f>
        <v/>
      </c>
      <c r="BI259" s="79" t="str">
        <f t="array" ref="BI259">IF($A259="","", INDEX(CS!$B$1:$B$15026,MATCH($A259,CS!$B:$B,0)+COLUMN(C$1),1))</f>
        <v/>
      </c>
      <c r="BJ259" s="79" t="str">
        <f t="array" ref="BJ259">IF($A259="","", INDEX(CS!$B$1:$B$15026,MATCH($A259,CS!$B:$B,0)+COLUMN(D$1),1))</f>
        <v/>
      </c>
      <c r="BK259" s="79" t="str">
        <f t="array" ref="BK259">IF($A259="","", INDEX(CS!$B$1:$B$15026,MATCH($A259,CS!$B:$B,0)+COLUMN(E$1),1))</f>
        <v/>
      </c>
      <c r="BL259" s="79" t="str">
        <f t="array" ref="BL259">IF($A259="","", INDEX(CS!$B$1:$B$15026,MATCH($A259,CS!$B:$B,0)+COLUMN(F$1),1))</f>
        <v/>
      </c>
      <c r="BM259" s="79" t="str">
        <f t="array" ref="BM259">IF($A259="","", INDEX(CS!$B$1:$B$15026,MATCH($A259,CS!$B:$B,0)+COLUMN(G$1),1))</f>
        <v/>
      </c>
      <c r="BN259" s="79" t="str">
        <f t="array" ref="BN259">IF($A259="","", INDEX(CS!$B$1:$B$15026,MATCH($A259,CS!$B:$B,0)+COLUMN(H$1),1))</f>
        <v/>
      </c>
      <c r="BO259" s="79" t="str">
        <f t="array" ref="BO259">IF($A259="","", INDEX(CS!$B$1:$B$15026,MATCH($A259,CS!$B:$B,0)+COLUMN(I$1),1))</f>
        <v/>
      </c>
      <c r="BP259" s="79" t="str">
        <f t="array" ref="BP259">IF($A259="","", INDEX(CS!$B$1:$B$15026,MATCH($A259,CS!$B:$B,0)+COLUMN(J$1),1))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INDEX(CS!$B$1:$B$15026,MATCH($A260,CS!$B:$B,0)+COLUMN(A$1),1))</f>
        <v/>
      </c>
      <c r="BH260" s="79" t="str">
        <f t="array" ref="BH260">IF($A260="","", INDEX(CS!$B$1:$B$15026,MATCH($A260,CS!$B:$B,0)+COLUMN(B$1),1))</f>
        <v/>
      </c>
      <c r="BI260" s="79" t="str">
        <f t="array" ref="BI260">IF($A260="","", INDEX(CS!$B$1:$B$15026,MATCH($A260,CS!$B:$B,0)+COLUMN(C$1),1))</f>
        <v/>
      </c>
      <c r="BJ260" s="79" t="str">
        <f t="array" ref="BJ260">IF($A260="","", INDEX(CS!$B$1:$B$15026,MATCH($A260,CS!$B:$B,0)+COLUMN(D$1),1))</f>
        <v/>
      </c>
      <c r="BK260" s="79" t="str">
        <f t="array" ref="BK260">IF($A260="","", INDEX(CS!$B$1:$B$15026,MATCH($A260,CS!$B:$B,0)+COLUMN(E$1),1))</f>
        <v/>
      </c>
      <c r="BL260" s="79" t="str">
        <f t="array" ref="BL260">IF($A260="","", INDEX(CS!$B$1:$B$15026,MATCH($A260,CS!$B:$B,0)+COLUMN(F$1),1))</f>
        <v/>
      </c>
      <c r="BM260" s="79" t="str">
        <f t="array" ref="BM260">IF($A260="","", INDEX(CS!$B$1:$B$15026,MATCH($A260,CS!$B:$B,0)+COLUMN(G$1),1))</f>
        <v/>
      </c>
      <c r="BN260" s="79" t="str">
        <f t="array" ref="BN260">IF($A260="","", INDEX(CS!$B$1:$B$15026,MATCH($A260,CS!$B:$B,0)+COLUMN(H$1),1))</f>
        <v/>
      </c>
      <c r="BO260" s="79" t="str">
        <f t="array" ref="BO260">IF($A260="","", INDEX(CS!$B$1:$B$15026,MATCH($A260,CS!$B:$B,0)+COLUMN(I$1),1))</f>
        <v/>
      </c>
      <c r="BP260" s="79" t="str">
        <f t="array" ref="BP260">IF($A260="","", INDEX(CS!$B$1:$B$15026,MATCH($A260,CS!$B:$B,0)+COLUMN(J$1),1))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INDEX(CS!$B$1:$B$15026,MATCH($A261,CS!$B:$B,0)+COLUMN(A$1),1))</f>
        <v>穿牙</v>
      </c>
      <c r="BH261" s="79" t="str">
        <f t="array" ref="BH261">IF($A261="","", INDEX(CS!$B$1:$B$15026,MATCH($A261,CS!$B:$B,0)+COLUMN(B$1),1))</f>
        <v/>
      </c>
      <c r="BI261" s="79" t="str">
        <f t="array" ref="BI261">IF($A261="","", INDEX(CS!$B$1:$B$15026,MATCH($A261,CS!$B:$B,0)+COLUMN(C$1),1))</f>
        <v>変形牙</v>
      </c>
      <c r="BJ261" s="79" t="str">
        <f t="array" ref="BJ261">IF($A261="","", INDEX(CS!$B$1:$B$15026,MATCH($A261,CS!$B:$B,0)+COLUMN(D$1),1))</f>
        <v/>
      </c>
      <c r="BK261" s="79" t="str">
        <f t="array" ref="BK261">IF($A261="","", INDEX(CS!$B$1:$B$15026,MATCH($A261,CS!$B:$B,0)+COLUMN(E$1),1))</f>
        <v>牙強化</v>
      </c>
      <c r="BL261" s="79" t="str">
        <f t="array" ref="BL261">IF($A261="","", INDEX(CS!$B$1:$B$15026,MATCH($A261,CS!$B:$B,0)+COLUMN(F$1),1))</f>
        <v>牙</v>
      </c>
      <c r="BM261" s="79" t="str">
        <f t="array" ref="BM261">IF($A261="","", INDEX(CS!$B$1:$B$15026,MATCH($A261,CS!$B:$B,0)+COLUMN(G$1),1))</f>
        <v>牙操作</v>
      </c>
      <c r="BN261" s="79" t="str">
        <f t="array" ref="BN261">IF($A261="","", INDEX(CS!$B$1:$B$15026,MATCH($A261,CS!$B:$B,0)+COLUMN(H$1),1))</f>
        <v/>
      </c>
      <c r="BO261" s="79" t="str">
        <f t="array" ref="BO261">IF($A261="","", INDEX(CS!$B$1:$B$15026,MATCH($A261,CS!$B:$B,0)+COLUMN(I$1),1))</f>
        <v>鋭き牙</v>
      </c>
      <c r="BP261" s="79" t="str">
        <f t="array" ref="BP261">IF($A261="","", INDEX(CS!$B$1:$B$15026,MATCH($A261,CS!$B:$B,0)+COLUMN(J$1),1))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INDEX(CS!$B$1:$B$15026,MATCH($A262,CS!$B:$B,0)+COLUMN(A$1),1))</f>
        <v>裂爪</v>
      </c>
      <c r="BH262" s="79" t="str">
        <f t="array" ref="BH262">IF($A262="","", INDEX(CS!$B$1:$B$15026,MATCH($A262,CS!$B:$B,0)+COLUMN(B$1),1))</f>
        <v/>
      </c>
      <c r="BI262" s="79" t="str">
        <f t="array" ref="BI262">IF($A262="","", INDEX(CS!$B$1:$B$15026,MATCH($A262,CS!$B:$B,0)+COLUMN(C$1),1))</f>
        <v>変形爪</v>
      </c>
      <c r="BJ262" s="79" t="str">
        <f t="array" ref="BJ262">IF($A262="","", INDEX(CS!$B$1:$B$15026,MATCH($A262,CS!$B:$B,0)+COLUMN(D$1),1))</f>
        <v/>
      </c>
      <c r="BK262" s="79" t="str">
        <f t="array" ref="BK262">IF($A262="","", INDEX(CS!$B$1:$B$15026,MATCH($A262,CS!$B:$B,0)+COLUMN(E$1),1))</f>
        <v>爪強化</v>
      </c>
      <c r="BL262" s="79" t="str">
        <f t="array" ref="BL262">IF($A262="","", INDEX(CS!$B$1:$B$15026,MATCH($A262,CS!$B:$B,0)+COLUMN(F$1),1))</f>
        <v>爪</v>
      </c>
      <c r="BM262" s="79" t="str">
        <f t="array" ref="BM262">IF($A262="","", INDEX(CS!$B$1:$B$15026,MATCH($A262,CS!$B:$B,0)+COLUMN(G$1),1))</f>
        <v>爪操作</v>
      </c>
      <c r="BN262" s="79" t="str">
        <f t="array" ref="BN262">IF($A262="","", INDEX(CS!$B$1:$B$15026,MATCH($A262,CS!$B:$B,0)+COLUMN(H$1),1))</f>
        <v/>
      </c>
      <c r="BO262" s="79" t="str">
        <f t="array" ref="BO262">IF($A262="","", INDEX(CS!$B$1:$B$15026,MATCH($A262,CS!$B:$B,0)+COLUMN(I$1),1))</f>
        <v>鋭き爪</v>
      </c>
      <c r="BP262" s="79" t="str">
        <f t="array" ref="BP262">IF($A262="","", INDEX(CS!$B$1:$B$15026,MATCH($A262,CS!$B:$B,0)+COLUMN(J$1),1))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INDEX(CS!$B$1:$B$15026,MATCH($A263,CS!$B:$B,0)+COLUMN(A$1),1))</f>
        <v>槍角</v>
      </c>
      <c r="BH263" s="79" t="str">
        <f t="array" ref="BH263">IF($A263="","", INDEX(CS!$B$1:$B$15026,MATCH($A263,CS!$B:$B,0)+COLUMN(B$1),1))</f>
        <v/>
      </c>
      <c r="BI263" s="79" t="str">
        <f t="array" ref="BI263">IF($A263="","", INDEX(CS!$B$1:$B$15026,MATCH($A263,CS!$B:$B,0)+COLUMN(C$1),1))</f>
        <v>変形角</v>
      </c>
      <c r="BJ263" s="79" t="str">
        <f t="array" ref="BJ263">IF($A263="","", INDEX(CS!$B$1:$B$15026,MATCH($A263,CS!$B:$B,0)+COLUMN(D$1),1))</f>
        <v/>
      </c>
      <c r="BK263" s="79" t="str">
        <f t="array" ref="BK263">IF($A263="","", INDEX(CS!$B$1:$B$15026,MATCH($A263,CS!$B:$B,0)+COLUMN(E$1),1))</f>
        <v>角強化</v>
      </c>
      <c r="BL263" s="79" t="str">
        <f t="array" ref="BL263">IF($A263="","", INDEX(CS!$B$1:$B$15026,MATCH($A263,CS!$B:$B,0)+COLUMN(F$1),1))</f>
        <v>角</v>
      </c>
      <c r="BM263" s="79" t="str">
        <f t="array" ref="BM263">IF($A263="","", INDEX(CS!$B$1:$B$15026,MATCH($A263,CS!$B:$B,0)+COLUMN(G$1),1))</f>
        <v>角操作</v>
      </c>
      <c r="BN263" s="79" t="str">
        <f t="array" ref="BN263">IF($A263="","", INDEX(CS!$B$1:$B$15026,MATCH($A263,CS!$B:$B,0)+COLUMN(H$1),1))</f>
        <v/>
      </c>
      <c r="BO263" s="79" t="str">
        <f t="array" ref="BO263">IF($A263="","", INDEX(CS!$B$1:$B$15026,MATCH($A263,CS!$B:$B,0)+COLUMN(I$1),1))</f>
        <v>鋭き角</v>
      </c>
      <c r="BP263" s="79" t="str">
        <f t="array" ref="BP263">IF($A263="","", INDEX(CS!$B$1:$B$15026,MATCH($A263,CS!$B:$B,0)+COLUMN(J$1),1))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INDEX(CS!$B$1:$B$15026,MATCH($A264,CS!$B:$B,0)+COLUMN(A$1),1))</f>
        <v>装甲突撃</v>
      </c>
      <c r="BH264" s="79" t="str">
        <f t="array" ref="BH264">IF($A264="","", INDEX(CS!$B$1:$B$15026,MATCH($A264,CS!$B:$B,0)+COLUMN(B$1),1))</f>
        <v/>
      </c>
      <c r="BI264" s="79" t="str">
        <f t="array" ref="BI264">IF($A264="","", INDEX(CS!$B$1:$B$15026,MATCH($A264,CS!$B:$B,0)+COLUMN(C$1),1))</f>
        <v>変形装甲</v>
      </c>
      <c r="BJ264" s="79" t="str">
        <f t="array" ref="BJ264">IF($A264="","", INDEX(CS!$B$1:$B$15026,MATCH($A264,CS!$B:$B,0)+COLUMN(D$1),1))</f>
        <v/>
      </c>
      <c r="BK264" s="79" t="str">
        <f t="array" ref="BK264">IF($A264="","", INDEX(CS!$B$1:$B$15026,MATCH($A264,CS!$B:$B,0)+COLUMN(E$1),1))</f>
        <v>装甲強化</v>
      </c>
      <c r="BL264" s="79" t="str">
        <f t="array" ref="BL264">IF($A264="","", INDEX(CS!$B$1:$B$15026,MATCH($A264,CS!$B:$B,0)+COLUMN(F$1),1))</f>
        <v>踏みつけ</v>
      </c>
      <c r="BM264" s="79" t="str">
        <f t="array" ref="BM264">IF($A264="","", INDEX(CS!$B$1:$B$15026,MATCH($A264,CS!$B:$B,0)+COLUMN(G$1),1))</f>
        <v>装甲操作</v>
      </c>
      <c r="BN264" s="79" t="str">
        <f t="array" ref="BN264">IF($A264="","", INDEX(CS!$B$1:$B$15026,MATCH($A264,CS!$B:$B,0)+COLUMN(H$1),1))</f>
        <v/>
      </c>
      <c r="BO264" s="79" t="str">
        <f t="array" ref="BO264">IF($A264="","", INDEX(CS!$B$1:$B$15026,MATCH($A264,CS!$B:$B,0)+COLUMN(I$1),1))</f>
        <v>鋭き装甲</v>
      </c>
      <c r="BP264" s="79" t="str">
        <f t="array" ref="BP264">IF($A264="","", INDEX(CS!$B$1:$B$15026,MATCH($A264,CS!$B:$B,0)+COLUMN(J$1),1))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INDEX(CS!$B$1:$B$15026,MATCH($A265,CS!$B:$B,0)+COLUMN(A$1),1))</f>
        <v>翼刃</v>
      </c>
      <c r="BH265" s="79" t="str">
        <f t="array" ref="BH265">IF($A265="","", INDEX(CS!$B$1:$B$15026,MATCH($A265,CS!$B:$B,0)+COLUMN(B$1),1))</f>
        <v/>
      </c>
      <c r="BI265" s="79" t="str">
        <f t="array" ref="BI265">IF($A265="","", INDEX(CS!$B$1:$B$15026,MATCH($A265,CS!$B:$B,0)+COLUMN(C$1),1))</f>
        <v>変形翼</v>
      </c>
      <c r="BJ265" s="79" t="str">
        <f t="array" ref="BJ265">IF($A265="","", INDEX(CS!$B$1:$B$15026,MATCH($A265,CS!$B:$B,0)+COLUMN(D$1),1))</f>
        <v/>
      </c>
      <c r="BK265" s="79" t="str">
        <f t="array" ref="BK265">IF($A265="","", INDEX(CS!$B$1:$B$15026,MATCH($A265,CS!$B:$B,0)+COLUMN(E$1),1))</f>
        <v>翼強化</v>
      </c>
      <c r="BL265" s="79" t="str">
        <f t="array" ref="BL265">IF($A265="","", INDEX(CS!$B$1:$B$15026,MATCH($A265,CS!$B:$B,0)+COLUMN(F$1),1))</f>
        <v>翼</v>
      </c>
      <c r="BM265" s="79" t="str">
        <f t="array" ref="BM265">IF($A265="","", INDEX(CS!$B$1:$B$15026,MATCH($A265,CS!$B:$B,0)+COLUMN(G$1),1))</f>
        <v>翼操作</v>
      </c>
      <c r="BN265" s="79" t="str">
        <f t="array" ref="BN265">IF($A265="","", INDEX(CS!$B$1:$B$15026,MATCH($A265,CS!$B:$B,0)+COLUMN(H$1),1))</f>
        <v/>
      </c>
      <c r="BO265" s="79" t="str">
        <f t="array" ref="BO265">IF($A265="","", INDEX(CS!$B$1:$B$15026,MATCH($A265,CS!$B:$B,0)+COLUMN(I$1),1))</f>
        <v>鋭き翼</v>
      </c>
      <c r="BP265" s="79" t="str">
        <f t="array" ref="BP265">IF($A265="","", INDEX(CS!$B$1:$B$15026,MATCH($A265,CS!$B:$B,0)+COLUMN(J$1),1))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INDEX(CS!$B$1:$B$15026,MATCH($A266,CS!$B:$B,0)+COLUMN(A$1),1))</f>
        <v>尾槍</v>
      </c>
      <c r="BH266" s="79" t="str">
        <f t="array" ref="BH266">IF($A266="","", INDEX(CS!$B$1:$B$15026,MATCH($A266,CS!$B:$B,0)+COLUMN(B$1),1))</f>
        <v/>
      </c>
      <c r="BI266" s="79" t="str">
        <f t="array" ref="BI266">IF($A266="","", INDEX(CS!$B$1:$B$15026,MATCH($A266,CS!$B:$B,0)+COLUMN(C$1),1))</f>
        <v>変形尾</v>
      </c>
      <c r="BJ266" s="79" t="str">
        <f t="array" ref="BJ266">IF($A266="","", INDEX(CS!$B$1:$B$15026,MATCH($A266,CS!$B:$B,0)+COLUMN(D$1),1))</f>
        <v/>
      </c>
      <c r="BK266" s="79" t="str">
        <f t="array" ref="BK266">IF($A266="","", INDEX(CS!$B$1:$B$15026,MATCH($A266,CS!$B:$B,0)+COLUMN(E$1),1))</f>
        <v>尾強化</v>
      </c>
      <c r="BL266" s="79" t="str">
        <f t="array" ref="BL266">IF($A266="","", INDEX(CS!$B$1:$B$15026,MATCH($A266,CS!$B:$B,0)+COLUMN(F$1),1))</f>
        <v>尾</v>
      </c>
      <c r="BM266" s="79" t="str">
        <f t="array" ref="BM266">IF($A266="","", INDEX(CS!$B$1:$B$15026,MATCH($A266,CS!$B:$B,0)+COLUMN(G$1),1))</f>
        <v>尾操作</v>
      </c>
      <c r="BN266" s="79" t="str">
        <f t="array" ref="BN266">IF($A266="","", INDEX(CS!$B$1:$B$15026,MATCH($A266,CS!$B:$B,0)+COLUMN(H$1),1))</f>
        <v/>
      </c>
      <c r="BO266" s="79" t="str">
        <f t="array" ref="BO266">IF($A266="","", INDEX(CS!$B$1:$B$15026,MATCH($A266,CS!$B:$B,0)+COLUMN(I$1),1))</f>
        <v>鋭き尾</v>
      </c>
      <c r="BP266" s="79" t="str">
        <f t="array" ref="BP266">IF($A266="","", INDEX(CS!$B$1:$B$15026,MATCH($A266,CS!$B:$B,0)+COLUMN(J$1),1))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INDEX(CS!$B$1:$B$15026,MATCH($A268,CS!$B:$B,0)+COLUMN(A$1),1))</f>
        <v/>
      </c>
      <c r="BH268" s="79" t="str">
        <f t="array" ref="BH268">IF($A268="","", INDEX(CS!$B$1:$B$15026,MATCH($A268,CS!$B:$B,0)+COLUMN(B$1),1))</f>
        <v/>
      </c>
      <c r="BI268" s="79" t="str">
        <f t="array" ref="BI268">IF($A268="","", INDEX(CS!$B$1:$B$15026,MATCH($A268,CS!$B:$B,0)+COLUMN(C$1),1))</f>
        <v/>
      </c>
      <c r="BJ268" s="79" t="str">
        <f t="array" ref="BJ268">IF($A268="","", INDEX(CS!$B$1:$B$15026,MATCH($A268,CS!$B:$B,0)+COLUMN(D$1),1))</f>
        <v/>
      </c>
      <c r="BK268" s="79" t="str">
        <f t="array" ref="BK268">IF($A268="","", INDEX(CS!$B$1:$B$15026,MATCH($A268,CS!$B:$B,0)+COLUMN(E$1),1))</f>
        <v/>
      </c>
      <c r="BL268" s="79" t="str">
        <f t="array" ref="BL268">IF($A268="","", INDEX(CS!$B$1:$B$15026,MATCH($A268,CS!$B:$B,0)+COLUMN(F$1),1))</f>
        <v/>
      </c>
      <c r="BM268" s="79" t="str">
        <f t="array" ref="BM268">IF($A268="","", INDEX(CS!$B$1:$B$15026,MATCH($A268,CS!$B:$B,0)+COLUMN(G$1),1))</f>
        <v/>
      </c>
      <c r="BN268" s="79" t="str">
        <f t="array" ref="BN268">IF($A268="","", INDEX(CS!$B$1:$B$15026,MATCH($A268,CS!$B:$B,0)+COLUMN(H$1),1))</f>
        <v/>
      </c>
      <c r="BO268" s="79" t="str">
        <f t="array" ref="BO268">IF($A268="","", INDEX(CS!$B$1:$B$15026,MATCH($A268,CS!$B:$B,0)+COLUMN(I$1),1))</f>
        <v/>
      </c>
      <c r="BP268" s="79" t="str">
        <f t="array" ref="BP268">IF($A268="","", INDEX(CS!$B$1:$B$15026,MATCH($A268,CS!$B:$B,0)+COLUMN(J$1),1))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INDEX(CS!$B$1:$B$15026,MATCH($A269,CS!$B:$B,0)+COLUMN(A$1),1))</f>
        <v/>
      </c>
      <c r="BH269" s="79" t="str">
        <f t="array" ref="BH269">IF($A269="","", INDEX(CS!$B$1:$B$15026,MATCH($A269,CS!$B:$B,0)+COLUMN(B$1),1))</f>
        <v/>
      </c>
      <c r="BI269" s="79" t="str">
        <f t="array" ref="BI269">IF($A269="","", INDEX(CS!$B$1:$B$15026,MATCH($A269,CS!$B:$B,0)+COLUMN(C$1),1))</f>
        <v/>
      </c>
      <c r="BJ269" s="79" t="str">
        <f t="array" ref="BJ269">IF($A269="","", INDEX(CS!$B$1:$B$15026,MATCH($A269,CS!$B:$B,0)+COLUMN(D$1),1))</f>
        <v/>
      </c>
      <c r="BK269" s="79" t="str">
        <f t="array" ref="BK269">IF($A269="","", INDEX(CS!$B$1:$B$15026,MATCH($A269,CS!$B:$B,0)+COLUMN(E$1),1))</f>
        <v/>
      </c>
      <c r="BL269" s="79" t="str">
        <f t="array" ref="BL269">IF($A269="","", INDEX(CS!$B$1:$B$15026,MATCH($A269,CS!$B:$B,0)+COLUMN(F$1),1))</f>
        <v/>
      </c>
      <c r="BM269" s="79" t="str">
        <f t="array" ref="BM269">IF($A269="","", INDEX(CS!$B$1:$B$15026,MATCH($A269,CS!$B:$B,0)+COLUMN(G$1),1))</f>
        <v/>
      </c>
      <c r="BN269" s="79" t="str">
        <f t="array" ref="BN269">IF($A269="","", INDEX(CS!$B$1:$B$15026,MATCH($A269,CS!$B:$B,0)+COLUMN(H$1),1))</f>
        <v/>
      </c>
      <c r="BO269" s="79" t="str">
        <f t="array" ref="BO269">IF($A269="","", INDEX(CS!$B$1:$B$15026,MATCH($A269,CS!$B:$B,0)+COLUMN(I$1),1))</f>
        <v/>
      </c>
      <c r="BP269" s="79" t="str">
        <f t="array" ref="BP269">IF($A269="","", INDEX(CS!$B$1:$B$15026,MATCH($A269,CS!$B:$B,0)+COLUMN(J$1),1))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INDEX(CS!$B$1:$B$15026,MATCH($A270,CS!$B:$B,0)+COLUMN(A$1),1))</f>
        <v>炎の適用</v>
      </c>
      <c r="BH270" s="79" t="str">
        <f t="array" ref="BH270">IF($A270="","", INDEX(CS!$B$1:$B$15026,MATCH($A270,CS!$B:$B,0)+COLUMN(B$1),1))</f>
        <v>火炎</v>
      </c>
      <c r="BI270" s="79" t="str">
        <f t="array" ref="BI270">IF($A270="","", INDEX(CS!$B$1:$B$15026,MATCH($A270,CS!$B:$B,0)+COLUMN(C$1),1))</f>
        <v>炎の体</v>
      </c>
      <c r="BJ270" s="79" t="str">
        <f t="array" ref="BJ270">IF($A270="","", INDEX(CS!$B$1:$B$15026,MATCH($A270,CS!$B:$B,0)+COLUMN(D$1),1))</f>
        <v/>
      </c>
      <c r="BK270" s="79" t="str">
        <f t="array" ref="BK270">IF($A270="","", INDEX(CS!$B$1:$B$15026,MATCH($A270,CS!$B:$B,0)+COLUMN(E$1),1))</f>
        <v>反応</v>
      </c>
      <c r="BL270" s="79" t="str">
        <f t="array" ref="BL270">IF($A270="","", INDEX(CS!$B$1:$B$15026,MATCH($A270,CS!$B:$B,0)+COLUMN(F$1),1))</f>
        <v/>
      </c>
      <c r="BM270" s="79" t="str">
        <f t="array" ref="BM270">IF($A270="","", INDEX(CS!$B$1:$B$15026,MATCH($A270,CS!$B:$B,0)+COLUMN(G$1),1))</f>
        <v>火球</v>
      </c>
      <c r="BN270" s="79" t="str">
        <f t="array" ref="BN270">IF($A270="","", INDEX(CS!$B$1:$B$15026,MATCH($A270,CS!$B:$B,0)+COLUMN(H$1),1))</f>
        <v/>
      </c>
      <c r="BO270" s="79" t="str">
        <f t="array" ref="BO270">IF($A270="","", INDEX(CS!$B$1:$B$15026,MATCH($A270,CS!$B:$B,0)+COLUMN(I$1),1))</f>
        <v>炎強化</v>
      </c>
      <c r="BP270" s="79" t="str">
        <f t="array" ref="BP270">IF($A270="","", INDEX(CS!$B$1:$B$15026,MATCH($A270,CS!$B:$B,0)+COLUMN(J$1),1))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INDEX(CS!$B$1:$B$15026,MATCH($A271,CS!$B:$B,0)+COLUMN(A$1),1))</f>
        <v>氷の適用</v>
      </c>
      <c r="BH271" s="79" t="str">
        <f t="array" ref="BH271">IF($A271="","", INDEX(CS!$B$1:$B$15026,MATCH($A271,CS!$B:$B,0)+COLUMN(B$1),1))</f>
        <v>冷気の光線</v>
      </c>
      <c r="BI271" s="79" t="str">
        <f t="array" ref="BI271">IF($A271="","", INDEX(CS!$B$1:$B$15026,MATCH($A271,CS!$B:$B,0)+COLUMN(C$1),1))</f>
        <v>氷の体</v>
      </c>
      <c r="BJ271" s="79" t="str">
        <f t="array" ref="BJ271">IF($A271="","", INDEX(CS!$B$1:$B$15026,MATCH($A271,CS!$B:$B,0)+COLUMN(D$1),1))</f>
        <v/>
      </c>
      <c r="BK271" s="79" t="str">
        <f t="array" ref="BK271">IF($A271="","", INDEX(CS!$B$1:$B$15026,MATCH($A271,CS!$B:$B,0)+COLUMN(E$1),1))</f>
        <v>反応</v>
      </c>
      <c r="BL271" s="79" t="str">
        <f t="array" ref="BL271">IF($A271="","", INDEX(CS!$B$1:$B$15026,MATCH($A271,CS!$B:$B,0)+COLUMN(F$1),1))</f>
        <v/>
      </c>
      <c r="BM271" s="79" t="str">
        <f t="array" ref="BM271">IF($A271="","", INDEX(CS!$B$1:$B$15026,MATCH($A271,CS!$B:$B,0)+COLUMN(G$1),1))</f>
        <v>氷柱弾</v>
      </c>
      <c r="BN271" s="79" t="str">
        <f t="array" ref="BN271">IF($A271="","", INDEX(CS!$B$1:$B$15026,MATCH($A271,CS!$B:$B,0)+COLUMN(H$1),1))</f>
        <v/>
      </c>
      <c r="BO271" s="79" t="str">
        <f t="array" ref="BO271">IF($A271="","", INDEX(CS!$B$1:$B$15026,MATCH($A271,CS!$B:$B,0)+COLUMN(I$1),1))</f>
        <v>氷強化</v>
      </c>
      <c r="BP271" s="79" t="str">
        <f t="array" ref="BP271">IF($A271="","", INDEX(CS!$B$1:$B$15026,MATCH($A271,CS!$B:$B,0)+COLUMN(J$1),1))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INDEX(CS!$B$1:$B$15026,MATCH($A272,CS!$B:$B,0)+COLUMN(A$1),1))</f>
        <v>風の適用</v>
      </c>
      <c r="BH272" s="79" t="str">
        <f t="array" ref="BH272">IF($A272="","", INDEX(CS!$B$1:$B$15026,MATCH($A272,CS!$B:$B,0)+COLUMN(B$1),1))</f>
        <v>突風</v>
      </c>
      <c r="BI272" s="79" t="str">
        <f t="array" ref="BI272">IF($A272="","", INDEX(CS!$B$1:$B$15026,MATCH($A272,CS!$B:$B,0)+COLUMN(C$1),1))</f>
        <v>風の体</v>
      </c>
      <c r="BJ272" s="79" t="str">
        <f t="array" ref="BJ272">IF($A272="","", INDEX(CS!$B$1:$B$15026,MATCH($A272,CS!$B:$B,0)+COLUMN(D$1),1))</f>
        <v/>
      </c>
      <c r="BK272" s="79" t="str">
        <f t="array" ref="BK272">IF($A272="","", INDEX(CS!$B$1:$B$15026,MATCH($A272,CS!$B:$B,0)+COLUMN(E$1),1))</f>
        <v>反応</v>
      </c>
      <c r="BL272" s="79" t="str">
        <f t="array" ref="BL272">IF($A272="","", INDEX(CS!$B$1:$B$15026,MATCH($A272,CS!$B:$B,0)+COLUMN(F$1),1))</f>
        <v/>
      </c>
      <c r="BM272" s="79" t="str">
        <f t="array" ref="BM272">IF($A272="","", INDEX(CS!$B$1:$B$15026,MATCH($A272,CS!$B:$B,0)+COLUMN(G$1),1))</f>
        <v>上昇烈風</v>
      </c>
      <c r="BN272" s="79" t="str">
        <f t="array" ref="BN272">IF($A272="","", INDEX(CS!$B$1:$B$15026,MATCH($A272,CS!$B:$B,0)+COLUMN(H$1),1))</f>
        <v/>
      </c>
      <c r="BO272" s="79" t="str">
        <f t="array" ref="BO272">IF($A272="","", INDEX(CS!$B$1:$B$15026,MATCH($A272,CS!$B:$B,0)+COLUMN(I$1),1))</f>
        <v>風強化</v>
      </c>
      <c r="BP272" s="79" t="str">
        <f t="array" ref="BP272">IF($A272="","", INDEX(CS!$B$1:$B$15026,MATCH($A272,CS!$B:$B,0)+COLUMN(J$1),1))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INDEX(CS!$B$1:$B$15026,MATCH($A273,CS!$B:$B,0)+COLUMN(A$1),1))</f>
        <v>雷の適用</v>
      </c>
      <c r="BH273" s="79" t="str">
        <f t="array" ref="BH273">IF($A273="","", INDEX(CS!$B$1:$B$15026,MATCH($A273,CS!$B:$B,0)+COLUMN(B$1),1))</f>
        <v>放電</v>
      </c>
      <c r="BI273" s="79" t="str">
        <f t="array" ref="BI273">IF($A273="","", INDEX(CS!$B$1:$B$15026,MATCH($A273,CS!$B:$B,0)+COLUMN(C$1),1))</f>
        <v>雷の体</v>
      </c>
      <c r="BJ273" s="79" t="str">
        <f t="array" ref="BJ273">IF($A273="","", INDEX(CS!$B$1:$B$15026,MATCH($A273,CS!$B:$B,0)+COLUMN(D$1),1))</f>
        <v/>
      </c>
      <c r="BK273" s="79" t="str">
        <f t="array" ref="BK273">IF($A273="","", INDEX(CS!$B$1:$B$15026,MATCH($A273,CS!$B:$B,0)+COLUMN(E$1),1))</f>
        <v>反応</v>
      </c>
      <c r="BL273" s="79" t="str">
        <f t="array" ref="BL273">IF($A273="","", INDEX(CS!$B$1:$B$15026,MATCH($A273,CS!$B:$B,0)+COLUMN(F$1),1))</f>
        <v/>
      </c>
      <c r="BM273" s="79" t="str">
        <f t="array" ref="BM273">IF($A273="","", INDEX(CS!$B$1:$B$15026,MATCH($A273,CS!$B:$B,0)+COLUMN(G$1),1))</f>
        <v>電弧放電</v>
      </c>
      <c r="BN273" s="79" t="str">
        <f t="array" ref="BN273">IF($A273="","", INDEX(CS!$B$1:$B$15026,MATCH($A273,CS!$B:$B,0)+COLUMN(H$1),1))</f>
        <v/>
      </c>
      <c r="BO273" s="79" t="str">
        <f t="array" ref="BO273">IF($A273="","", INDEX(CS!$B$1:$B$15026,MATCH($A273,CS!$B:$B,0)+COLUMN(I$1),1))</f>
        <v>雷強化</v>
      </c>
      <c r="BP273" s="79" t="str">
        <f t="array" ref="BP273">IF($A273="","", INDEX(CS!$B$1:$B$15026,MATCH($A273,CS!$B:$B,0)+COLUMN(J$1),1))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INDEX(CS!$B$1:$B$15026,MATCH($A274,CS!$B:$B,0)+COLUMN(A$1),1))</f>
        <v>毒の適用</v>
      </c>
      <c r="BH274" s="79" t="str">
        <f t="array" ref="BH274">IF($A274="","", INDEX(CS!$B$1:$B$15026,MATCH($A274,CS!$B:$B,0)+COLUMN(B$1),1))</f>
        <v>酸滴</v>
      </c>
      <c r="BI274" s="79" t="str">
        <f t="array" ref="BI274">IF($A274="","", INDEX(CS!$B$1:$B$15026,MATCH($A274,CS!$B:$B,0)+COLUMN(C$1),1))</f>
        <v>毒の体</v>
      </c>
      <c r="BJ274" s="79" t="str">
        <f t="array" ref="BJ274">IF($A274="","", INDEX(CS!$B$1:$B$15026,MATCH($A274,CS!$B:$B,0)+COLUMN(D$1),1))</f>
        <v/>
      </c>
      <c r="BK274" s="79" t="str">
        <f t="array" ref="BK274">IF($A274="","", INDEX(CS!$B$1:$B$15026,MATCH($A274,CS!$B:$B,0)+COLUMN(E$1),1))</f>
        <v>反応</v>
      </c>
      <c r="BL274" s="79" t="str">
        <f t="array" ref="BL274">IF($A274="","", INDEX(CS!$B$1:$B$15026,MATCH($A274,CS!$B:$B,0)+COLUMN(F$1),1))</f>
        <v/>
      </c>
      <c r="BM274" s="79" t="str">
        <f t="array" ref="BM274">IF($A274="","", INDEX(CS!$B$1:$B$15026,MATCH($A274,CS!$B:$B,0)+COLUMN(G$1),1))</f>
        <v>毒霧</v>
      </c>
      <c r="BN274" s="79" t="str">
        <f t="array" ref="BN274">IF($A274="","", INDEX(CS!$B$1:$B$15026,MATCH($A274,CS!$B:$B,0)+COLUMN(H$1),1))</f>
        <v/>
      </c>
      <c r="BO274" s="79" t="str">
        <f t="array" ref="BO274">IF($A274="","", INDEX(CS!$B$1:$B$15026,MATCH($A274,CS!$B:$B,0)+COLUMN(I$1),1))</f>
        <v>毒強化</v>
      </c>
      <c r="BP274" s="79" t="str">
        <f t="array" ref="BP274">IF($A274="","", INDEX(CS!$B$1:$B$15026,MATCH($A274,CS!$B:$B,0)+COLUMN(J$1),1))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INDEX(CS!$B$1:$B$15026,MATCH($A275,CS!$B:$B,0)+COLUMN(A$1),1))</f>
        <v>水の適用</v>
      </c>
      <c r="BH275" s="79" t="str">
        <f t="array" ref="BH275">IF($A275="","", INDEX(CS!$B$1:$B$15026,MATCH($A275,CS!$B:$B,0)+COLUMN(B$1),1))</f>
        <v>水力</v>
      </c>
      <c r="BI275" s="79" t="str">
        <f t="array" ref="BI275">IF($A275="","", INDEX(CS!$B$1:$B$15026,MATCH($A275,CS!$B:$B,0)+COLUMN(C$1),1))</f>
        <v>水の体</v>
      </c>
      <c r="BJ275" s="79" t="str">
        <f t="array" ref="BJ275">IF($A275="","", INDEX(CS!$B$1:$B$15026,MATCH($A275,CS!$B:$B,0)+COLUMN(D$1),1))</f>
        <v/>
      </c>
      <c r="BK275" s="79" t="str">
        <f t="array" ref="BK275">IF($A275="","", INDEX(CS!$B$1:$B$15026,MATCH($A275,CS!$B:$B,0)+COLUMN(E$1),1))</f>
        <v>反応</v>
      </c>
      <c r="BL275" s="79" t="str">
        <f t="array" ref="BL275">IF($A275="","", INDEX(CS!$B$1:$B$15026,MATCH($A275,CS!$B:$B,0)+COLUMN(F$1),1))</f>
        <v/>
      </c>
      <c r="BM275" s="79" t="str">
        <f t="array" ref="BM275">IF($A275="","", INDEX(CS!$B$1:$B$15026,MATCH($A275,CS!$B:$B,0)+COLUMN(G$1),1))</f>
        <v>川の鞭</v>
      </c>
      <c r="BN275" s="79" t="str">
        <f t="array" ref="BN275">IF($A275="","", INDEX(CS!$B$1:$B$15026,MATCH($A275,CS!$B:$B,0)+COLUMN(H$1),1))</f>
        <v/>
      </c>
      <c r="BO275" s="79" t="str">
        <f t="array" ref="BO275">IF($A275="","", INDEX(CS!$B$1:$B$15026,MATCH($A275,CS!$B:$B,0)+COLUMN(I$1),1))</f>
        <v>水強化</v>
      </c>
      <c r="BP275" s="79" t="str">
        <f t="array" ref="BP275">IF($A275="","", INDEX(CS!$B$1:$B$15026,MATCH($A275,CS!$B:$B,0)+COLUMN(J$1),1))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INDEX(CS!$B$1:$B$15026,MATCH($A276,CS!$B:$B,0)+COLUMN(A$1),1))</f>
        <v>石の適用</v>
      </c>
      <c r="BH276" s="79" t="str">
        <f t="array" ref="BH276">IF($A276="","", INDEX(CS!$B$1:$B$15026,MATCH($A276,CS!$B:$B,0)+COLUMN(B$1),1))</f>
        <v>魔法の石</v>
      </c>
      <c r="BI276" s="79" t="str">
        <f t="array" ref="BI276">IF($A276="","", INDEX(CS!$B$1:$B$15026,MATCH($A276,CS!$B:$B,0)+COLUMN(C$1),1))</f>
        <v>石の体</v>
      </c>
      <c r="BJ276" s="79" t="str">
        <f t="array" ref="BJ276">IF($A276="","", INDEX(CS!$B$1:$B$15026,MATCH($A276,CS!$B:$B,0)+COLUMN(D$1),1))</f>
        <v/>
      </c>
      <c r="BK276" s="79" t="str">
        <f t="array" ref="BK276">IF($A276="","", INDEX(CS!$B$1:$B$15026,MATCH($A276,CS!$B:$B,0)+COLUMN(E$1),1))</f>
        <v>反応</v>
      </c>
      <c r="BL276" s="79" t="str">
        <f t="array" ref="BL276">IF($A276="","", INDEX(CS!$B$1:$B$15026,MATCH($A276,CS!$B:$B,0)+COLUMN(F$1),1))</f>
        <v/>
      </c>
      <c r="BM276" s="79" t="str">
        <f t="array" ref="BM276">IF($A276="","", INDEX(CS!$B$1:$B$15026,MATCH($A276,CS!$B:$B,0)+COLUMN(G$1),1))</f>
        <v>水晶片</v>
      </c>
      <c r="BN276" s="79" t="str">
        <f t="array" ref="BN276">IF($A276="","", INDEX(CS!$B$1:$B$15026,MATCH($A276,CS!$B:$B,0)+COLUMN(H$1),1))</f>
        <v/>
      </c>
      <c r="BO276" s="79" t="str">
        <f t="array" ref="BO276">IF($A276="","", INDEX(CS!$B$1:$B$15026,MATCH($A276,CS!$B:$B,0)+COLUMN(I$1),1))</f>
        <v>地強化</v>
      </c>
      <c r="BP276" s="79" t="str">
        <f t="array" ref="BP276">IF($A276="","", INDEX(CS!$B$1:$B$15026,MATCH($A276,CS!$B:$B,0)+COLUMN(J$1),1))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INDEX(CS!$B$1:$B$15026,MATCH($A277,CS!$B:$B,0)+COLUMN(A$1),1))</f>
        <v>太陽の適用</v>
      </c>
      <c r="BH277" s="79" t="str">
        <f t="array" ref="BH277">IF($A277="","", INDEX(CS!$B$1:$B$15026,MATCH($A277,CS!$B:$B,0)+COLUMN(B$1),1))</f>
        <v>光線</v>
      </c>
      <c r="BI277" s="79" t="str">
        <f t="array" ref="BI277">IF($A277="","", INDEX(CS!$B$1:$B$15026,MATCH($A277,CS!$B:$B,0)+COLUMN(C$1),1))</f>
        <v>太陽の体</v>
      </c>
      <c r="BJ277" s="79" t="str">
        <f t="array" ref="BJ277">IF($A277="","", INDEX(CS!$B$1:$B$15026,MATCH($A277,CS!$B:$B,0)+COLUMN(D$1),1))</f>
        <v/>
      </c>
      <c r="BK277" s="79" t="str">
        <f t="array" ref="BK277">IF($A277="","", INDEX(CS!$B$1:$B$15026,MATCH($A277,CS!$B:$B,0)+COLUMN(E$1),1))</f>
        <v>反応</v>
      </c>
      <c r="BL277" s="79" t="str">
        <f t="array" ref="BL277">IF($A277="","", INDEX(CS!$B$1:$B$15026,MATCH($A277,CS!$B:$B,0)+COLUMN(F$1),1))</f>
        <v/>
      </c>
      <c r="BM277" s="79" t="str">
        <f t="array" ref="BM277">IF($A277="","", INDEX(CS!$B$1:$B$15026,MATCH($A277,CS!$B:$B,0)+COLUMN(G$1),1))</f>
        <v>火球</v>
      </c>
      <c r="BN277" s="79" t="str">
        <f t="array" ref="BN277">IF($A277="","", INDEX(CS!$B$1:$B$15026,MATCH($A277,CS!$B:$B,0)+COLUMN(H$1),1))</f>
        <v/>
      </c>
      <c r="BO277" s="79" t="str">
        <f t="array" ref="BO277">IF($A277="","", INDEX(CS!$B$1:$B$15026,MATCH($A277,CS!$B:$B,0)+COLUMN(I$1),1))</f>
        <v>太陽強化</v>
      </c>
      <c r="BP277" s="79" t="str">
        <f t="array" ref="BP277">IF($A277="","", INDEX(CS!$B$1:$B$15026,MATCH($A277,CS!$B:$B,0)+COLUMN(J$1),1))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INDEX(CS!$B$1:$B$15026,MATCH($A278,CS!$B:$B,0)+COLUMN(A$1),1))</f>
        <v>月の適用</v>
      </c>
      <c r="BH278" s="79" t="str">
        <f t="array" ref="BH278">IF($A278="","", INDEX(CS!$B$1:$B$15026,MATCH($A278,CS!$B:$B,0)+COLUMN(B$1),1))</f>
        <v>冷気の光線</v>
      </c>
      <c r="BI278" s="79" t="str">
        <f t="array" ref="BI278">IF($A278="","", INDEX(CS!$B$1:$B$15026,MATCH($A278,CS!$B:$B,0)+COLUMN(C$1),1))</f>
        <v>月の体</v>
      </c>
      <c r="BJ278" s="79" t="str">
        <f t="array" ref="BJ278">IF($A278="","", INDEX(CS!$B$1:$B$15026,MATCH($A278,CS!$B:$B,0)+COLUMN(D$1),1))</f>
        <v/>
      </c>
      <c r="BK278" s="79" t="str">
        <f t="array" ref="BK278">IF($A278="","", INDEX(CS!$B$1:$B$15026,MATCH($A278,CS!$B:$B,0)+COLUMN(E$1),1))</f>
        <v>反応</v>
      </c>
      <c r="BL278" s="79" t="str">
        <f t="array" ref="BL278">IF($A278="","", INDEX(CS!$B$1:$B$15026,MATCH($A278,CS!$B:$B,0)+COLUMN(F$1),1))</f>
        <v/>
      </c>
      <c r="BM278" s="79" t="str">
        <f t="array" ref="BM278">IF($A278="","", INDEX(CS!$B$1:$B$15026,MATCH($A278,CS!$B:$B,0)+COLUMN(G$1),1))</f>
        <v>光線</v>
      </c>
      <c r="BN278" s="79" t="str">
        <f t="array" ref="BN278">IF($A278="","", INDEX(CS!$B$1:$B$15026,MATCH($A278,CS!$B:$B,0)+COLUMN(H$1),1))</f>
        <v/>
      </c>
      <c r="BO278" s="79" t="str">
        <f t="array" ref="BO278">IF($A278="","", INDEX(CS!$B$1:$B$15026,MATCH($A278,CS!$B:$B,0)+COLUMN(I$1),1))</f>
        <v>月光強化</v>
      </c>
      <c r="BP278" s="79" t="str">
        <f t="array" ref="BP278">IF($A278="","", INDEX(CS!$B$1:$B$15026,MATCH($A278,CS!$B:$B,0)+COLUMN(J$1),1))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INDEX(CS!$B$1:$B$15026,MATCH($A279,CS!$B:$B,0)+COLUMN(A$1),1))</f>
        <v/>
      </c>
      <c r="BH279" s="79" t="str">
        <f t="array" ref="BH279">IF($A279="","", INDEX(CS!$B$1:$B$15026,MATCH($A279,CS!$B:$B,0)+COLUMN(B$1),1))</f>
        <v/>
      </c>
      <c r="BI279" s="79" t="str">
        <f t="array" ref="BI279">IF($A279="","", INDEX(CS!$B$1:$B$15026,MATCH($A279,CS!$B:$B,0)+COLUMN(C$1),1))</f>
        <v/>
      </c>
      <c r="BJ279" s="79" t="str">
        <f t="array" ref="BJ279">IF($A279="","", INDEX(CS!$B$1:$B$15026,MATCH($A279,CS!$B:$B,0)+COLUMN(D$1),1))</f>
        <v/>
      </c>
      <c r="BK279" s="79" t="str">
        <f t="array" ref="BK279">IF($A279="","", INDEX(CS!$B$1:$B$15026,MATCH($A279,CS!$B:$B,0)+COLUMN(E$1),1))</f>
        <v/>
      </c>
      <c r="BL279" s="79" t="str">
        <f t="array" ref="BL279">IF($A279="","", INDEX(CS!$B$1:$B$15026,MATCH($A279,CS!$B:$B,0)+COLUMN(F$1),1))</f>
        <v/>
      </c>
      <c r="BM279" s="79" t="str">
        <f t="array" ref="BM279">IF($A279="","", INDEX(CS!$B$1:$B$15026,MATCH($A279,CS!$B:$B,0)+COLUMN(G$1),1))</f>
        <v/>
      </c>
      <c r="BN279" s="79" t="str">
        <f t="array" ref="BN279">IF($A279="","", INDEX(CS!$B$1:$B$15026,MATCH($A279,CS!$B:$B,0)+COLUMN(H$1),1))</f>
        <v/>
      </c>
      <c r="BO279" s="79" t="str">
        <f t="array" ref="BO279">IF($A279="","", INDEX(CS!$B$1:$B$15026,MATCH($A279,CS!$B:$B,0)+COLUMN(I$1),1))</f>
        <v/>
      </c>
      <c r="BP279" s="79" t="str">
        <f t="array" ref="BP279">IF($A279="","", INDEX(CS!$B$1:$B$15026,MATCH($A279,CS!$B:$B,0)+COLUMN(J$1),1))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INDEX(CS!$B$1:$B$15026,MATCH($A280,CS!$B:$B,0)+COLUMN(A$1),1))</f>
        <v>幻獣の肉体</v>
      </c>
      <c r="BH280" s="79" t="str">
        <f t="array" ref="BH280">IF($A280="","", INDEX(CS!$B$1:$B$15026,MATCH($A280,CS!$B:$B,0)+COLUMN(B$1),1))</f>
        <v/>
      </c>
      <c r="BI280" s="79" t="str">
        <f t="array" ref="BI280">IF($A280="","", INDEX(CS!$B$1:$B$15026,MATCH($A280,CS!$B:$B,0)+COLUMN(C$1),1))</f>
        <v>再生</v>
      </c>
      <c r="BJ280" s="79" t="str">
        <f t="array" ref="BJ280">IF($A280="","", INDEX(CS!$B$1:$B$15026,MATCH($A280,CS!$B:$B,0)+COLUMN(D$1),1))</f>
        <v/>
      </c>
      <c r="BK280" s="79" t="str">
        <f t="array" ref="BK280">IF($A280="","", INDEX(CS!$B$1:$B$15026,MATCH($A280,CS!$B:$B,0)+COLUMN(E$1),1))</f>
        <v>超常感覚</v>
      </c>
      <c r="BL280" s="79" t="str">
        <f t="array" ref="BL280">IF($A280="","", INDEX(CS!$B$1:$B$15026,MATCH($A280,CS!$B:$B,0)+COLUMN(F$1),1))</f>
        <v/>
      </c>
      <c r="BM280" s="79" t="str">
        <f t="array" ref="BM280">IF($A280="","", INDEX(CS!$B$1:$B$15026,MATCH($A280,CS!$B:$B,0)+COLUMN(G$1),1))</f>
        <v>超常移動</v>
      </c>
      <c r="BN280" s="79" t="str">
        <f t="array" ref="BN280">IF($A280="","", INDEX(CS!$B$1:$B$15026,MATCH($A280,CS!$B:$B,0)+COLUMN(H$1),1))</f>
        <v/>
      </c>
      <c r="BO280" s="79" t="str">
        <f t="array" ref="BO280">IF($A280="","", INDEX(CS!$B$1:$B$15026,MATCH($A280,CS!$B:$B,0)+COLUMN(I$1),1))</f>
        <v>幻獣の生命力</v>
      </c>
      <c r="BP280" s="79" t="str">
        <f t="array" ref="BP280">IF($A280="","", INDEX(CS!$B$1:$B$15026,MATCH($A280,CS!$B:$B,0)+COLUMN(J$1),1))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INDEX(CS!$B$1:$B$15026,MATCH($A281,CS!$B:$B,0)+COLUMN(A$1),1))</f>
        <v>結界</v>
      </c>
      <c r="BH281" s="79" t="str">
        <f t="array" ref="BH281">IF($A281="","", INDEX(CS!$B$1:$B$15026,MATCH($A281,CS!$B:$B,0)+COLUMN(B$1),1))</f>
        <v/>
      </c>
      <c r="BI281" s="79" t="str">
        <f t="array" ref="BI281">IF($A281="","", INDEX(CS!$B$1:$B$15026,MATCH($A281,CS!$B:$B,0)+COLUMN(C$1),1))</f>
        <v>耐性貫通</v>
      </c>
      <c r="BJ281" s="79" t="str">
        <f t="array" ref="BJ281">IF($A281="","", INDEX(CS!$B$1:$B$15026,MATCH($A281,CS!$B:$B,0)+COLUMN(D$1),1))</f>
        <v/>
      </c>
      <c r="BK281" s="79" t="str">
        <f t="array" ref="BK281">IF($A281="","", INDEX(CS!$B$1:$B$15026,MATCH($A281,CS!$B:$B,0)+COLUMN(E$1),1))</f>
        <v>浄化</v>
      </c>
      <c r="BL281" s="79" t="str">
        <f t="array" ref="BL281">IF($A281="","", INDEX(CS!$B$1:$B$15026,MATCH($A281,CS!$B:$B,0)+COLUMN(F$1),1))</f>
        <v/>
      </c>
      <c r="BM281" s="79" t="str">
        <f t="array" ref="BM281">IF($A281="","", INDEX(CS!$B$1:$B$15026,MATCH($A281,CS!$B:$B,0)+COLUMN(G$1),1))</f>
        <v>ダメージ安定化</v>
      </c>
      <c r="BN281" s="79" t="str">
        <f t="array" ref="BN281">IF($A281="","", INDEX(CS!$B$1:$B$15026,MATCH($A281,CS!$B:$B,0)+COLUMN(H$1),1))</f>
        <v/>
      </c>
      <c r="BO281" s="79" t="str">
        <f t="array" ref="BO281">IF($A281="","", INDEX(CS!$B$1:$B$15026,MATCH($A281,CS!$B:$B,0)+COLUMN(I$1),1))</f>
        <v>神獣の加護</v>
      </c>
      <c r="BP281" s="79" t="str">
        <f t="array" ref="BP281">IF($A281="","", INDEX(CS!$B$1:$B$15026,MATCH($A281,CS!$B:$B,0)+COLUMN(J$1),1))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INDEX(CS!$B$1:$B$15026,MATCH($A282,CS!$B:$B,0)+COLUMN(A$1),1))</f>
        <v>高威圧</v>
      </c>
      <c r="BH282" s="79" t="str">
        <f t="array" ref="BH282">IF($A282="","", INDEX(CS!$B$1:$B$15026,MATCH($A282,CS!$B:$B,0)+COLUMN(B$1),1))</f>
        <v/>
      </c>
      <c r="BI282" s="79" t="str">
        <f t="array" ref="BI282">IF($A282="","", INDEX(CS!$B$1:$B$15026,MATCH($A282,CS!$B:$B,0)+COLUMN(C$1),1))</f>
        <v>狂気の咆哮</v>
      </c>
      <c r="BJ282" s="79" t="str">
        <f t="array" ref="BJ282">IF($A282="","", INDEX(CS!$B$1:$B$15026,MATCH($A282,CS!$B:$B,0)+COLUMN(D$1),1))</f>
        <v/>
      </c>
      <c r="BK282" s="79" t="str">
        <f t="array" ref="BK282">IF($A282="","", INDEX(CS!$B$1:$B$15026,MATCH($A282,CS!$B:$B,0)+COLUMN(E$1),1))</f>
        <v>凶獣の疾走</v>
      </c>
      <c r="BL282" s="79" t="str">
        <f t="array" ref="BL282">IF($A282="","", INDEX(CS!$B$1:$B$15026,MATCH($A282,CS!$B:$B,0)+COLUMN(F$1),1))</f>
        <v/>
      </c>
      <c r="BM282" s="79" t="str">
        <f t="array" ref="BM282">IF($A282="","", INDEX(CS!$B$1:$B$15026,MATCH($A282,CS!$B:$B,0)+COLUMN(G$1),1))</f>
        <v>血の匂い</v>
      </c>
      <c r="BN282" s="79" t="str">
        <f t="array" ref="BN282">IF($A282="","", INDEX(CS!$B$1:$B$15026,MATCH($A282,CS!$B:$B,0)+COLUMN(H$1),1))</f>
        <v/>
      </c>
      <c r="BO282" s="79" t="str">
        <f t="array" ref="BO282">IF($A282="","", INDEX(CS!$B$1:$B$15026,MATCH($A282,CS!$B:$B,0)+COLUMN(I$1),1))</f>
        <v>蹂躙強化</v>
      </c>
      <c r="BP282" s="79" t="str">
        <f t="array" ref="BP282">IF($A282="","", INDEX(CS!$B$1:$B$15026,MATCH($A282,CS!$B:$B,0)+COLUMN(J$1),1))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INDEX(CS!$B$1:$B$15026,MATCH($A283,CS!$B:$B,0)+COLUMN(A$1),1))</f>
        <v>妖気</v>
      </c>
      <c r="BH283" s="79" t="str">
        <f t="array" ref="BH283">IF($A283="","", INDEX(CS!$B$1:$B$15026,MATCH($A283,CS!$B:$B,0)+COLUMN(B$1),1))</f>
        <v/>
      </c>
      <c r="BI283" s="79" t="str">
        <f t="array" ref="BI283">IF($A283="","", INDEX(CS!$B$1:$B$15026,MATCH($A283,CS!$B:$B,0)+COLUMN(C$1),1))</f>
        <v>幻惑</v>
      </c>
      <c r="BJ283" s="79" t="str">
        <f t="array" ref="BJ283">IF($A283="","", INDEX(CS!$B$1:$B$15026,MATCH($A283,CS!$B:$B,0)+COLUMN(D$1),1))</f>
        <v/>
      </c>
      <c r="BK283" s="79" t="str">
        <f t="array" ref="BK283">IF($A283="","", INDEX(CS!$B$1:$B$15026,MATCH($A283,CS!$B:$B,0)+COLUMN(E$1),1))</f>
        <v>隠形</v>
      </c>
      <c r="BL283" s="79" t="str">
        <f t="array" ref="BL283">IF($A283="","", INDEX(CS!$B$1:$B$15026,MATCH($A283,CS!$B:$B,0)+COLUMN(F$1),1))</f>
        <v/>
      </c>
      <c r="BM283" s="79" t="str">
        <f t="array" ref="BM283">IF($A283="","", INDEX(CS!$B$1:$B$15026,MATCH($A283,CS!$B:$B,0)+COLUMN(G$1),1))</f>
        <v>変化</v>
      </c>
      <c r="BN283" s="79" t="str">
        <f t="array" ref="BN283">IF($A283="","", INDEX(CS!$B$1:$B$15026,MATCH($A283,CS!$B:$B,0)+COLUMN(H$1),1))</f>
        <v/>
      </c>
      <c r="BO283" s="79" t="str">
        <f t="array" ref="BO283">IF($A283="","", INDEX(CS!$B$1:$B$15026,MATCH($A283,CS!$B:$B,0)+COLUMN(I$1),1))</f>
        <v>呪詛</v>
      </c>
      <c r="BP283" s="79" t="str">
        <f t="array" ref="BP283">IF($A283="","", INDEX(CS!$B$1:$B$15026,MATCH($A283,CS!$B:$B,0)+COLUMN(J$1),1))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INDEX(CS!$B$1:$B$15026,MATCH($A284,CS!$B:$B,0)+COLUMN(A$1),1))</f>
        <v>多頭化Ⅰ</v>
      </c>
      <c r="BH284" s="79" t="str">
        <f t="array" ref="BH284">IF($A284="","", INDEX(CS!$B$1:$B$15026,MATCH($A284,CS!$B:$B,0)+COLUMN(B$1),1))</f>
        <v/>
      </c>
      <c r="BI284" s="79" t="str">
        <f t="array" ref="BI284">IF($A284="","", INDEX(CS!$B$1:$B$15026,MATCH($A284,CS!$B:$B,0)+COLUMN(C$1),1))</f>
        <v>多方向警戒</v>
      </c>
      <c r="BJ284" s="79" t="str">
        <f t="array" ref="BJ284">IF($A284="","", INDEX(CS!$B$1:$B$15026,MATCH($A284,CS!$B:$B,0)+COLUMN(D$1),1))</f>
        <v/>
      </c>
      <c r="BK284" s="79" t="str">
        <f t="array" ref="BK284">IF($A284="","", INDEX(CS!$B$1:$B$15026,MATCH($A284,CS!$B:$B,0)+COLUMN(E$1),1))</f>
        <v>多頭制御</v>
      </c>
      <c r="BL284" s="79" t="str">
        <f t="array" ref="BL284">IF($A284="","", INDEX(CS!$B$1:$B$15026,MATCH($A284,CS!$B:$B,0)+COLUMN(F$1),1))</f>
        <v/>
      </c>
      <c r="BM284" s="79" t="str">
        <f t="array" ref="BM284">IF($A284="","", INDEX(CS!$B$1:$B$15026,MATCH($A284,CS!$B:$B,0)+COLUMN(G$1),1))</f>
        <v>多頭連携</v>
      </c>
      <c r="BN284" s="79" t="str">
        <f t="array" ref="BN284">IF($A284="","", INDEX(CS!$B$1:$B$15026,MATCH($A284,CS!$B:$B,0)+COLUMN(H$1),1))</f>
        <v/>
      </c>
      <c r="BO284" s="79" t="str">
        <f t="array" ref="BO284">IF($A284="","", INDEX(CS!$B$1:$B$15026,MATCH($A284,CS!$B:$B,0)+COLUMN(I$1),1))</f>
        <v>多頭化Ⅱ</v>
      </c>
      <c r="BP284" s="79" t="str">
        <f t="array" ref="BP284">IF($A284="","", INDEX(CS!$B$1:$B$15026,MATCH($A284,CS!$B:$B,0)+COLUMN(J$1),1))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INDEX(CS!$B$1:$B$15026,MATCH($A286,CS!$B:$B,0)+COLUMN(A$1),1))</f>
        <v/>
      </c>
      <c r="BH286" s="79" t="str">
        <f t="array" ref="BH286">IF($A286="","", INDEX(CS!$B$1:$B$15026,MATCH($A286,CS!$B:$B,0)+COLUMN(B$1),1))</f>
        <v/>
      </c>
      <c r="BI286" s="79" t="str">
        <f t="array" ref="BI286">IF($A286="","", INDEX(CS!$B$1:$B$15026,MATCH($A286,CS!$B:$B,0)+COLUMN(C$1),1))</f>
        <v/>
      </c>
      <c r="BJ286" s="79" t="str">
        <f t="array" ref="BJ286">IF($A286="","", INDEX(CS!$B$1:$B$15026,MATCH($A286,CS!$B:$B,0)+COLUMN(D$1),1))</f>
        <v/>
      </c>
      <c r="BK286" s="79" t="str">
        <f t="array" ref="BK286">IF($A286="","", INDEX(CS!$B$1:$B$15026,MATCH($A286,CS!$B:$B,0)+COLUMN(E$1),1))</f>
        <v/>
      </c>
      <c r="BL286" s="79" t="str">
        <f t="array" ref="BL286">IF($A286="","", INDEX(CS!$B$1:$B$15026,MATCH($A286,CS!$B:$B,0)+COLUMN(F$1),1))</f>
        <v/>
      </c>
      <c r="BM286" s="79" t="str">
        <f t="array" ref="BM286">IF($A286="","", INDEX(CS!$B$1:$B$15026,MATCH($A286,CS!$B:$B,0)+COLUMN(G$1),1))</f>
        <v/>
      </c>
      <c r="BN286" s="79" t="str">
        <f t="array" ref="BN286">IF($A286="","", INDEX(CS!$B$1:$B$15026,MATCH($A286,CS!$B:$B,0)+COLUMN(H$1),1))</f>
        <v/>
      </c>
      <c r="BO286" s="79" t="str">
        <f t="array" ref="BO286">IF($A286="","", INDEX(CS!$B$1:$B$15026,MATCH($A286,CS!$B:$B,0)+COLUMN(I$1),1))</f>
        <v/>
      </c>
      <c r="BP286" s="79" t="str">
        <f t="array" ref="BP286">IF($A286="","", INDEX(CS!$B$1:$B$15026,MATCH($A286,CS!$B:$B,0)+COLUMN(J$1),1))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INDEX(CS!$B$1:$B$15026,MATCH($A287,CS!$B:$B,0)+COLUMN(A$1),1))</f>
        <v/>
      </c>
      <c r="BH287" s="79" t="str">
        <f t="array" ref="BH287">IF($A287="","", INDEX(CS!$B$1:$B$15026,MATCH($A287,CS!$B:$B,0)+COLUMN(B$1),1))</f>
        <v/>
      </c>
      <c r="BI287" s="79" t="str">
        <f t="array" ref="BI287">IF($A287="","", INDEX(CS!$B$1:$B$15026,MATCH($A287,CS!$B:$B,0)+COLUMN(C$1),1))</f>
        <v/>
      </c>
      <c r="BJ287" s="79" t="str">
        <f t="array" ref="BJ287">IF($A287="","", INDEX(CS!$B$1:$B$15026,MATCH($A287,CS!$B:$B,0)+COLUMN(D$1),1))</f>
        <v/>
      </c>
      <c r="BK287" s="79" t="str">
        <f t="array" ref="BK287">IF($A287="","", INDEX(CS!$B$1:$B$15026,MATCH($A287,CS!$B:$B,0)+COLUMN(E$1),1))</f>
        <v/>
      </c>
      <c r="BL287" s="79" t="str">
        <f t="array" ref="BL287">IF($A287="","", INDEX(CS!$B$1:$B$15026,MATCH($A287,CS!$B:$B,0)+COLUMN(F$1),1))</f>
        <v/>
      </c>
      <c r="BM287" s="79" t="str">
        <f t="array" ref="BM287">IF($A287="","", INDEX(CS!$B$1:$B$15026,MATCH($A287,CS!$B:$B,0)+COLUMN(G$1),1))</f>
        <v/>
      </c>
      <c r="BN287" s="79" t="str">
        <f t="array" ref="BN287">IF($A287="","", INDEX(CS!$B$1:$B$15026,MATCH($A287,CS!$B:$B,0)+COLUMN(H$1),1))</f>
        <v/>
      </c>
      <c r="BO287" s="79" t="str">
        <f t="array" ref="BO287">IF($A287="","", INDEX(CS!$B$1:$B$15026,MATCH($A287,CS!$B:$B,0)+COLUMN(I$1),1))</f>
        <v/>
      </c>
      <c r="BP287" s="79" t="str">
        <f t="array" ref="BP287">IF($A287="","", INDEX(CS!$B$1:$B$15026,MATCH($A287,CS!$B:$B,0)+COLUMN(J$1),1))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INDEX(CS!$B$1:$B$15026,MATCH($A288,CS!$B:$B,0)+COLUMN(A$1),1))</f>
        <v/>
      </c>
      <c r="BH288" s="79" t="str">
        <f t="array" ref="BH288">IF($A288="","", INDEX(CS!$B$1:$B$15026,MATCH($A288,CS!$B:$B,0)+COLUMN(B$1),1))</f>
        <v/>
      </c>
      <c r="BI288" s="79" t="str">
        <f t="array" ref="BI288">IF($A288="","", INDEX(CS!$B$1:$B$15026,MATCH($A288,CS!$B:$B,0)+COLUMN(C$1),1))</f>
        <v/>
      </c>
      <c r="BJ288" s="79" t="str">
        <f t="array" ref="BJ288">IF($A288="","", INDEX(CS!$B$1:$B$15026,MATCH($A288,CS!$B:$B,0)+COLUMN(D$1),1))</f>
        <v/>
      </c>
      <c r="BK288" s="79" t="str">
        <f t="array" ref="BK288">IF($A288="","", INDEX(CS!$B$1:$B$15026,MATCH($A288,CS!$B:$B,0)+COLUMN(E$1),1))</f>
        <v/>
      </c>
      <c r="BL288" s="79" t="str">
        <f t="array" ref="BL288">IF($A288="","", INDEX(CS!$B$1:$B$15026,MATCH($A288,CS!$B:$B,0)+COLUMN(F$1),1))</f>
        <v/>
      </c>
      <c r="BM288" s="79" t="str">
        <f t="array" ref="BM288">IF($A288="","", INDEX(CS!$B$1:$B$15026,MATCH($A288,CS!$B:$B,0)+COLUMN(G$1),1))</f>
        <v/>
      </c>
      <c r="BN288" s="79" t="str">
        <f t="array" ref="BN288">IF($A288="","", INDEX(CS!$B$1:$B$15026,MATCH($A288,CS!$B:$B,0)+COLUMN(H$1),1))</f>
        <v/>
      </c>
      <c r="BO288" s="79" t="str">
        <f t="array" ref="BO288">IF($A288="","", INDEX(CS!$B$1:$B$15026,MATCH($A288,CS!$B:$B,0)+COLUMN(I$1),1))</f>
        <v/>
      </c>
      <c r="BP288" s="79" t="str">
        <f t="array" ref="BP288">IF($A288="","", INDEX(CS!$B$1:$B$15026,MATCH($A288,CS!$B:$B,0)+COLUMN(J$1),1))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INDEX(CS!$B$1:$B$15026,MATCH($A289,CS!$B:$B,0)+COLUMN(A$1),1))</f>
        <v/>
      </c>
      <c r="BH289" s="79" t="str">
        <f t="array" ref="BH289">IF($A289="","", INDEX(CS!$B$1:$B$15026,MATCH($A289,CS!$B:$B,0)+COLUMN(B$1),1))</f>
        <v/>
      </c>
      <c r="BI289" s="79" t="str">
        <f t="array" ref="BI289">IF($A289="","", INDEX(CS!$B$1:$B$15026,MATCH($A289,CS!$B:$B,0)+COLUMN(C$1),1))</f>
        <v/>
      </c>
      <c r="BJ289" s="79" t="str">
        <f t="array" ref="BJ289">IF($A289="","", INDEX(CS!$B$1:$B$15026,MATCH($A289,CS!$B:$B,0)+COLUMN(D$1),1))</f>
        <v/>
      </c>
      <c r="BK289" s="79" t="str">
        <f t="array" ref="BK289">IF($A289="","", INDEX(CS!$B$1:$B$15026,MATCH($A289,CS!$B:$B,0)+COLUMN(E$1),1))</f>
        <v/>
      </c>
      <c r="BL289" s="79" t="str">
        <f t="array" ref="BL289">IF($A289="","", INDEX(CS!$B$1:$B$15026,MATCH($A289,CS!$B:$B,0)+COLUMN(F$1),1))</f>
        <v/>
      </c>
      <c r="BM289" s="79" t="str">
        <f t="array" ref="BM289">IF($A289="","", INDEX(CS!$B$1:$B$15026,MATCH($A289,CS!$B:$B,0)+COLUMN(G$1),1))</f>
        <v/>
      </c>
      <c r="BN289" s="79" t="str">
        <f t="array" ref="BN289">IF($A289="","", INDEX(CS!$B$1:$B$15026,MATCH($A289,CS!$B:$B,0)+COLUMN(H$1),1))</f>
        <v/>
      </c>
      <c r="BO289" s="79" t="str">
        <f t="array" ref="BO289">IF($A289="","", INDEX(CS!$B$1:$B$15026,MATCH($A289,CS!$B:$B,0)+COLUMN(I$1),1))</f>
        <v/>
      </c>
      <c r="BP289" s="79" t="str">
        <f t="array" ref="BP289">IF($A289="","", INDEX(CS!$B$1:$B$15026,MATCH($A289,CS!$B:$B,0)+COLUMN(J$1),1))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INDEX(CS!$B$1:$B$15026,MATCH($A290,CS!$B:$B,0)+COLUMN(A$1),1))</f>
        <v>粘液体当たり</v>
      </c>
      <c r="BH290" s="79" t="str">
        <f t="array" ref="BH290">IF($A290="","", INDEX(CS!$B$1:$B$15026,MATCH($A290,CS!$B:$B,0)+COLUMN(B$1),1))</f>
        <v>粘液拘束</v>
      </c>
      <c r="BI290" s="79" t="str">
        <f t="array" ref="BI290">IF($A290="","", INDEX(CS!$B$1:$B$15026,MATCH($A290,CS!$B:$B,0)+COLUMN(C$1),1))</f>
        <v>軟体</v>
      </c>
      <c r="BJ290" s="79" t="str">
        <f t="array" ref="BJ290">IF($A290="","", INDEX(CS!$B$1:$B$15026,MATCH($A290,CS!$B:$B,0)+COLUMN(D$1),1))</f>
        <v/>
      </c>
      <c r="BK290" s="79" t="str">
        <f t="array" ref="BK290">IF($A290="","", INDEX(CS!$B$1:$B$15026,MATCH($A290,CS!$B:$B,0)+COLUMN(E$1),1))</f>
        <v>粘液噴射</v>
      </c>
      <c r="BL290" s="79" t="str">
        <f t="array" ref="BL290">IF($A290="","", INDEX(CS!$B$1:$B$15026,MATCH($A290,CS!$B:$B,0)+COLUMN(F$1),1))</f>
        <v/>
      </c>
      <c r="BM290" s="79" t="str">
        <f t="array" ref="BM290">IF($A290="","", INDEX(CS!$B$1:$B$15026,MATCH($A290,CS!$B:$B,0)+COLUMN(G$1),1))</f>
        <v>粘液防御</v>
      </c>
      <c r="BN290" s="79" t="str">
        <f t="array" ref="BN290">IF($A290="","", INDEX(CS!$B$1:$B$15026,MATCH($A290,CS!$B:$B,0)+COLUMN(H$1),1))</f>
        <v/>
      </c>
      <c r="BO290" s="79" t="str">
        <f t="array" ref="BO290">IF($A290="","", INDEX(CS!$B$1:$B$15026,MATCH($A290,CS!$B:$B,0)+COLUMN(I$1),1))</f>
        <v>粘液強化</v>
      </c>
      <c r="BP290" s="79" t="str">
        <f t="array" ref="BP290">IF($A290="","", INDEX(CS!$B$1:$B$15026,MATCH($A290,CS!$B:$B,0)+COLUMN(J$1),1))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INDEX(CS!$B$1:$B$15026,MATCH($A291,CS!$B:$B,0)+COLUMN(A$1),1))</f>
        <v>粘液体当たり</v>
      </c>
      <c r="BH291" s="79" t="str">
        <f t="array" ref="BH291">IF($A291="","", INDEX(CS!$B$1:$B$15026,MATCH($A291,CS!$B:$B,0)+COLUMN(B$1),1))</f>
        <v>毒性粘液</v>
      </c>
      <c r="BI291" s="79" t="str">
        <f t="array" ref="BI291">IF($A291="","", INDEX(CS!$B$1:$B$15026,MATCH($A291,CS!$B:$B,0)+COLUMN(C$1),1))</f>
        <v>粘液拘束</v>
      </c>
      <c r="BJ291" s="79" t="str">
        <f t="array" ref="BJ291">IF($A291="","", INDEX(CS!$B$1:$B$15026,MATCH($A291,CS!$B:$B,0)+COLUMN(D$1),1))</f>
        <v/>
      </c>
      <c r="BK291" s="79" t="str">
        <f t="array" ref="BK291">IF($A291="","", INDEX(CS!$B$1:$B$15026,MATCH($A291,CS!$B:$B,0)+COLUMN(E$1),1))</f>
        <v>粘液噴射</v>
      </c>
      <c r="BL291" s="79" t="str">
        <f t="array" ref="BL291">IF($A291="","", INDEX(CS!$B$1:$B$15026,MATCH($A291,CS!$B:$B,0)+COLUMN(F$1),1))</f>
        <v/>
      </c>
      <c r="BM291" s="79" t="str">
        <f t="array" ref="BM291">IF($A291="","", INDEX(CS!$B$1:$B$15026,MATCH($A291,CS!$B:$B,0)+COLUMN(G$1),1))</f>
        <v>粘液防御</v>
      </c>
      <c r="BN291" s="79" t="str">
        <f t="array" ref="BN291">IF($A291="","", INDEX(CS!$B$1:$B$15026,MATCH($A291,CS!$B:$B,0)+COLUMN(H$1),1))</f>
        <v/>
      </c>
      <c r="BO291" s="79" t="str">
        <f t="array" ref="BO291">IF($A291="","", INDEX(CS!$B$1:$B$15026,MATCH($A291,CS!$B:$B,0)+COLUMN(I$1),1))</f>
        <v>軟体</v>
      </c>
      <c r="BP291" s="79" t="str">
        <f t="array" ref="BP291">IF($A291="","", INDEX(CS!$B$1:$B$15026,MATCH($A291,CS!$B:$B,0)+COLUMN(J$1),1))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INDEX(CS!$B$1:$B$15026,MATCH($A292,CS!$B:$B,0)+COLUMN(A$1),1))</f>
        <v>粘液体当たり</v>
      </c>
      <c r="BH292" s="79" t="str">
        <f t="array" ref="BH292">IF($A292="","", INDEX(CS!$B$1:$B$15026,MATCH($A292,CS!$B:$B,0)+COLUMN(B$1),1))</f>
        <v>灼熱粘液</v>
      </c>
      <c r="BI292" s="79" t="str">
        <f t="array" ref="BI292">IF($A292="","", INDEX(CS!$B$1:$B$15026,MATCH($A292,CS!$B:$B,0)+COLUMN(C$1),1))</f>
        <v>火炎飛沫</v>
      </c>
      <c r="BJ292" s="79" t="str">
        <f t="array" ref="BJ292">IF($A292="","", INDEX(CS!$B$1:$B$15026,MATCH($A292,CS!$B:$B,0)+COLUMN(D$1),1))</f>
        <v/>
      </c>
      <c r="BK292" s="79" t="str">
        <f t="array" ref="BK292">IF($A292="","", INDEX(CS!$B$1:$B$15026,MATCH($A292,CS!$B:$B,0)+COLUMN(E$1),1))</f>
        <v>粘液拘束</v>
      </c>
      <c r="BL292" s="79" t="str">
        <f t="array" ref="BL292">IF($A292="","", INDEX(CS!$B$1:$B$15026,MATCH($A292,CS!$B:$B,0)+COLUMN(F$1),1))</f>
        <v/>
      </c>
      <c r="BM292" s="79" t="str">
        <f t="array" ref="BM292">IF($A292="","", INDEX(CS!$B$1:$B$15026,MATCH($A292,CS!$B:$B,0)+COLUMN(G$1),1))</f>
        <v>軟体</v>
      </c>
      <c r="BN292" s="79" t="str">
        <f t="array" ref="BN292">IF($A292="","", INDEX(CS!$B$1:$B$15026,MATCH($A292,CS!$B:$B,0)+COLUMN(H$1),1))</f>
        <v/>
      </c>
      <c r="BO292" s="79" t="str">
        <f t="array" ref="BO292">IF($A292="","", INDEX(CS!$B$1:$B$15026,MATCH($A292,CS!$B:$B,0)+COLUMN(I$1),1))</f>
        <v>粘液防御</v>
      </c>
      <c r="BP292" s="79" t="str">
        <f t="array" ref="BP292">IF($A292="","", INDEX(CS!$B$1:$B$15026,MATCH($A292,CS!$B:$B,0)+COLUMN(J$1),1))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INDEX(CS!$B$1:$B$15026,MATCH($A293,CS!$B:$B,0)+COLUMN(A$1),1))</f>
        <v>粘液体当たり</v>
      </c>
      <c r="BH293" s="79" t="str">
        <f t="array" ref="BH293">IF($A293="","", INDEX(CS!$B$1:$B$15026,MATCH($A293,CS!$B:$B,0)+COLUMN(B$1),1))</f>
        <v>結晶突起</v>
      </c>
      <c r="BI293" s="79" t="str">
        <f t="array" ref="BI293">IF($A293="","", INDEX(CS!$B$1:$B$15026,MATCH($A293,CS!$B:$B,0)+COLUMN(C$1),1))</f>
        <v>結晶突起強化</v>
      </c>
      <c r="BJ293" s="79" t="str">
        <f t="array" ref="BJ293">IF($A293="","", INDEX(CS!$B$1:$B$15026,MATCH($A293,CS!$B:$B,0)+COLUMN(D$1),1))</f>
        <v/>
      </c>
      <c r="BK293" s="79" t="str">
        <f t="array" ref="BK293">IF($A293="","", INDEX(CS!$B$1:$B$15026,MATCH($A293,CS!$B:$B,0)+COLUMN(E$1),1))</f>
        <v>粘液拘束</v>
      </c>
      <c r="BL293" s="79" t="str">
        <f t="array" ref="BL293">IF($A293="","", INDEX(CS!$B$1:$B$15026,MATCH($A293,CS!$B:$B,0)+COLUMN(F$1),1))</f>
        <v/>
      </c>
      <c r="BM293" s="79" t="str">
        <f t="array" ref="BM293">IF($A293="","", INDEX(CS!$B$1:$B$15026,MATCH($A293,CS!$B:$B,0)+COLUMN(G$1),1))</f>
        <v>軟体</v>
      </c>
      <c r="BN293" s="79" t="str">
        <f t="array" ref="BN293">IF($A293="","", INDEX(CS!$B$1:$B$15026,MATCH($A293,CS!$B:$B,0)+COLUMN(H$1),1))</f>
        <v/>
      </c>
      <c r="BO293" s="79" t="str">
        <f t="array" ref="BO293">IF($A293="","", INDEX(CS!$B$1:$B$15026,MATCH($A293,CS!$B:$B,0)+COLUMN(I$1),1))</f>
        <v>粘液防御</v>
      </c>
      <c r="BP293" s="79" t="str">
        <f t="array" ref="BP293">IF($A293="","", INDEX(CS!$B$1:$B$15026,MATCH($A293,CS!$B:$B,0)+COLUMN(J$1),1))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INDEX(CS!$B$1:$B$15026,MATCH($A294,CS!$B:$B,0)+COLUMN(A$1),1))</f>
        <v>粘液体当たり</v>
      </c>
      <c r="BH294" s="79" t="str">
        <f t="array" ref="BH294">IF($A294="","", INDEX(CS!$B$1:$B$15026,MATCH($A294,CS!$B:$B,0)+COLUMN(B$1),1))</f>
        <v>氷結粘液</v>
      </c>
      <c r="BI294" s="79" t="str">
        <f t="array" ref="BI294">IF($A294="","", INDEX(CS!$B$1:$B$15026,MATCH($A294,CS!$B:$B,0)+COLUMN(C$1),1))</f>
        <v>氷片飛ばし</v>
      </c>
      <c r="BJ294" s="79" t="str">
        <f t="array" ref="BJ294">IF($A294="","", INDEX(CS!$B$1:$B$15026,MATCH($A294,CS!$B:$B,0)+COLUMN(D$1),1))</f>
        <v/>
      </c>
      <c r="BK294" s="79" t="str">
        <f t="array" ref="BK294">IF($A294="","", INDEX(CS!$B$1:$B$15026,MATCH($A294,CS!$B:$B,0)+COLUMN(E$1),1))</f>
        <v>粘液拘束</v>
      </c>
      <c r="BL294" s="79" t="str">
        <f t="array" ref="BL294">IF($A294="","", INDEX(CS!$B$1:$B$15026,MATCH($A294,CS!$B:$B,0)+COLUMN(F$1),1))</f>
        <v/>
      </c>
      <c r="BM294" s="79" t="str">
        <f t="array" ref="BM294">IF($A294="","", INDEX(CS!$B$1:$B$15026,MATCH($A294,CS!$B:$B,0)+COLUMN(G$1),1))</f>
        <v>軟体</v>
      </c>
      <c r="BN294" s="79" t="str">
        <f t="array" ref="BN294">IF($A294="","", INDEX(CS!$B$1:$B$15026,MATCH($A294,CS!$B:$B,0)+COLUMN(H$1),1))</f>
        <v/>
      </c>
      <c r="BO294" s="79" t="str">
        <f t="array" ref="BO294">IF($A294="","", INDEX(CS!$B$1:$B$15026,MATCH($A294,CS!$B:$B,0)+COLUMN(I$1),1))</f>
        <v>粘液防御</v>
      </c>
      <c r="BP294" s="79" t="str">
        <f t="array" ref="BP294">IF($A294="","", INDEX(CS!$B$1:$B$15026,MATCH($A294,CS!$B:$B,0)+COLUMN(J$1),1))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INDEX(CS!$B$1:$B$15026,MATCH($A295,CS!$B:$B,0)+COLUMN(A$1),1))</f>
        <v>触手乱打</v>
      </c>
      <c r="BH295" s="79" t="str">
        <f t="array" ref="BH295">IF($A295="","", INDEX(CS!$B$1:$B$15026,MATCH($A295,CS!$B:$B,0)+COLUMN(B$1),1))</f>
        <v>触手拘束</v>
      </c>
      <c r="BI295" s="79" t="str">
        <f t="array" ref="BI295">IF($A295="","", INDEX(CS!$B$1:$B$15026,MATCH($A295,CS!$B:$B,0)+COLUMN(C$1),1))</f>
        <v>異形の触手</v>
      </c>
      <c r="BJ295" s="79" t="str">
        <f t="array" ref="BJ295">IF($A295="","", INDEX(CS!$B$1:$B$15026,MATCH($A295,CS!$B:$B,0)+COLUMN(D$1),1))</f>
        <v>軟体</v>
      </c>
      <c r="BK295" s="79" t="str">
        <f t="array" ref="BK295">IF($A295="","", INDEX(CS!$B$1:$B$15026,MATCH($A295,CS!$B:$B,0)+COLUMN(E$1),1))</f>
        <v/>
      </c>
      <c r="BL295" s="79" t="str">
        <f t="array" ref="BL295">IF($A295="","", INDEX(CS!$B$1:$B$15026,MATCH($A295,CS!$B:$B,0)+COLUMN(F$1),1))</f>
        <v>粘液噴射</v>
      </c>
      <c r="BM295" s="79" t="str">
        <f t="array" ref="BM295">IF($A295="","", INDEX(CS!$B$1:$B$15026,MATCH($A295,CS!$B:$B,0)+COLUMN(G$1),1))</f>
        <v/>
      </c>
      <c r="BN295" s="79" t="str">
        <f t="array" ref="BN295">IF($A295="","", INDEX(CS!$B$1:$B$15026,MATCH($A295,CS!$B:$B,0)+COLUMN(H$1),1))</f>
        <v>粘液防御</v>
      </c>
      <c r="BO295" s="79" t="str">
        <f t="array" ref="BO295">IF($A295="","", INDEX(CS!$B$1:$B$15026,MATCH($A295,CS!$B:$B,0)+COLUMN(I$1),1))</f>
        <v/>
      </c>
      <c r="BP295" s="79" t="str">
        <f t="array" ref="BP295">IF($A295="","", INDEX(CS!$B$1:$B$15026,MATCH($A295,CS!$B:$B,0)+COLUMN(J$1),1))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INDEX(CS!$B$1:$B$15026,MATCH($A296,CS!$B:$B,0)+COLUMN(A$1),1))</f>
        <v/>
      </c>
      <c r="BH296" s="79" t="str">
        <f t="array" ref="BH296">IF($A296="","", INDEX(CS!$B$1:$B$15026,MATCH($A296,CS!$B:$B,0)+COLUMN(B$1),1))</f>
        <v/>
      </c>
      <c r="BI296" s="79" t="str">
        <f t="array" ref="BI296">IF($A296="","", INDEX(CS!$B$1:$B$15026,MATCH($A296,CS!$B:$B,0)+COLUMN(C$1),1))</f>
        <v/>
      </c>
      <c r="BJ296" s="79" t="str">
        <f t="array" ref="BJ296">IF($A296="","", INDEX(CS!$B$1:$B$15026,MATCH($A296,CS!$B:$B,0)+COLUMN(D$1),1))</f>
        <v/>
      </c>
      <c r="BK296" s="79" t="str">
        <f t="array" ref="BK296">IF($A296="","", INDEX(CS!$B$1:$B$15026,MATCH($A296,CS!$B:$B,0)+COLUMN(E$1),1))</f>
        <v/>
      </c>
      <c r="BL296" s="79" t="str">
        <f t="array" ref="BL296">IF($A296="","", INDEX(CS!$B$1:$B$15026,MATCH($A296,CS!$B:$B,0)+COLUMN(F$1),1))</f>
        <v/>
      </c>
      <c r="BM296" s="79" t="str">
        <f t="array" ref="BM296">IF($A296="","", INDEX(CS!$B$1:$B$15026,MATCH($A296,CS!$B:$B,0)+COLUMN(G$1),1))</f>
        <v/>
      </c>
      <c r="BN296" s="79" t="str">
        <f t="array" ref="BN296">IF($A296="","", INDEX(CS!$B$1:$B$15026,MATCH($A296,CS!$B:$B,0)+COLUMN(H$1),1))</f>
        <v/>
      </c>
      <c r="BO296" s="79" t="str">
        <f t="array" ref="BO296">IF($A296="","", INDEX(CS!$B$1:$B$15026,MATCH($A296,CS!$B:$B,0)+COLUMN(I$1),1))</f>
        <v/>
      </c>
      <c r="BP296" s="79" t="str">
        <f t="array" ref="BP296">IF($A296="","", INDEX(CS!$B$1:$B$15026,MATCH($A296,CS!$B:$B,0)+COLUMN(J$1),1))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INDEX(CS!$B$1:$B$15026,MATCH($A297,CS!$B:$B,0)+COLUMN(A$1),1))</f>
        <v/>
      </c>
      <c r="BH297" s="79" t="str">
        <f t="array" ref="BH297">IF($A297="","", INDEX(CS!$B$1:$B$15026,MATCH($A297,CS!$B:$B,0)+COLUMN(B$1),1))</f>
        <v/>
      </c>
      <c r="BI297" s="79" t="str">
        <f t="array" ref="BI297">IF($A297="","", INDEX(CS!$B$1:$B$15026,MATCH($A297,CS!$B:$B,0)+COLUMN(C$1),1))</f>
        <v/>
      </c>
      <c r="BJ297" s="79" t="str">
        <f t="array" ref="BJ297">IF($A297="","", INDEX(CS!$B$1:$B$15026,MATCH($A297,CS!$B:$B,0)+COLUMN(D$1),1))</f>
        <v/>
      </c>
      <c r="BK297" s="79" t="str">
        <f t="array" ref="BK297">IF($A297="","", INDEX(CS!$B$1:$B$15026,MATCH($A297,CS!$B:$B,0)+COLUMN(E$1),1))</f>
        <v/>
      </c>
      <c r="BL297" s="79" t="str">
        <f t="array" ref="BL297">IF($A297="","", INDEX(CS!$B$1:$B$15026,MATCH($A297,CS!$B:$B,0)+COLUMN(F$1),1))</f>
        <v/>
      </c>
      <c r="BM297" s="79" t="str">
        <f t="array" ref="BM297">IF($A297="","", INDEX(CS!$B$1:$B$15026,MATCH($A297,CS!$B:$B,0)+COLUMN(G$1),1))</f>
        <v/>
      </c>
      <c r="BN297" s="79" t="str">
        <f t="array" ref="BN297">IF($A297="","", INDEX(CS!$B$1:$B$15026,MATCH($A297,CS!$B:$B,0)+COLUMN(H$1),1))</f>
        <v/>
      </c>
      <c r="BO297" s="79" t="str">
        <f t="array" ref="BO297">IF($A297="","", INDEX(CS!$B$1:$B$15026,MATCH($A297,CS!$B:$B,0)+COLUMN(I$1),1))</f>
        <v/>
      </c>
      <c r="BP297" s="79" t="str">
        <f t="array" ref="BP297">IF($A297="","", INDEX(CS!$B$1:$B$15026,MATCH($A297,CS!$B:$B,0)+COLUMN(J$1),1))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INDEX(CS!$B$1:$B$15026,MATCH($A298,CS!$B:$B,0)+COLUMN(A$1),1))</f>
        <v>ゴーレム拳</v>
      </c>
      <c r="BH298" s="79" t="str">
        <f t="array" ref="BH298">IF($A298="","", INDEX(CS!$B$1:$B$15026,MATCH($A298,CS!$B:$B,0)+COLUMN(B$1),1))</f>
        <v>ゴーレム投石</v>
      </c>
      <c r="BI298" s="79" t="str">
        <f t="array" ref="BI298">IF($A298="","", INDEX(CS!$B$1:$B$15026,MATCH($A298,CS!$B:$B,0)+COLUMN(C$1),1))</f>
        <v>堅牢な体</v>
      </c>
      <c r="BJ298" s="79" t="str">
        <f t="array" ref="BJ298">IF($A298="","", INDEX(CS!$B$1:$B$15026,MATCH($A298,CS!$B:$B,0)+COLUMN(D$1),1))</f>
        <v/>
      </c>
      <c r="BK298" s="79" t="str">
        <f t="array" ref="BK298">IF($A298="","", INDEX(CS!$B$1:$B$15026,MATCH($A298,CS!$B:$B,0)+COLUMN(E$1),1))</f>
        <v>踏みつけ</v>
      </c>
      <c r="BL298" s="79" t="str">
        <f t="array" ref="BL298">IF($A298="","", INDEX(CS!$B$1:$B$15026,MATCH($A298,CS!$B:$B,0)+COLUMN(F$1),1))</f>
        <v/>
      </c>
      <c r="BM298" s="79" t="str">
        <f t="array" ref="BM298">IF($A298="","", INDEX(CS!$B$1:$B$15026,MATCH($A298,CS!$B:$B,0)+COLUMN(G$1),1))</f>
        <v>魔法核</v>
      </c>
      <c r="BN298" s="79" t="str">
        <f t="array" ref="BN298">IF($A298="","", INDEX(CS!$B$1:$B$15026,MATCH($A298,CS!$B:$B,0)+COLUMN(H$1),1))</f>
        <v/>
      </c>
      <c r="BO298" s="79" t="str">
        <f t="array" ref="BO298">IF($A298="","", INDEX(CS!$B$1:$B$15026,MATCH($A298,CS!$B:$B,0)+COLUMN(I$1),1))</f>
        <v>樹皮</v>
      </c>
      <c r="BP298" s="79" t="str">
        <f t="array" ref="BP298">IF($A298="","", INDEX(CS!$B$1:$B$15026,MATCH($A298,CS!$B:$B,0)+COLUMN(J$1),1))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INDEX(CS!$B$1:$B$15026,MATCH($A299,CS!$B:$B,0)+COLUMN(A$1),1))</f>
        <v>ゴーレム拳</v>
      </c>
      <c r="BH299" s="79" t="str">
        <f t="array" ref="BH299">IF($A299="","", INDEX(CS!$B$1:$B$15026,MATCH($A299,CS!$B:$B,0)+COLUMN(B$1),1))</f>
        <v>ゴーレム投石</v>
      </c>
      <c r="BI299" s="79" t="str">
        <f t="array" ref="BI299">IF($A299="","", INDEX(CS!$B$1:$B$15026,MATCH($A299,CS!$B:$B,0)+COLUMN(C$1),1))</f>
        <v>堅牢な体</v>
      </c>
      <c r="BJ299" s="79" t="str">
        <f t="array" ref="BJ299">IF($A299="","", INDEX(CS!$B$1:$B$15026,MATCH($A299,CS!$B:$B,0)+COLUMN(D$1),1))</f>
        <v/>
      </c>
      <c r="BK299" s="79" t="str">
        <f t="array" ref="BK299">IF($A299="","", INDEX(CS!$B$1:$B$15026,MATCH($A299,CS!$B:$B,0)+COLUMN(E$1),1))</f>
        <v>踏みつけ</v>
      </c>
      <c r="BL299" s="79" t="str">
        <f t="array" ref="BL299">IF($A299="","", INDEX(CS!$B$1:$B$15026,MATCH($A299,CS!$B:$B,0)+COLUMN(F$1),1))</f>
        <v/>
      </c>
      <c r="BM299" s="79" t="str">
        <f t="array" ref="BM299">IF($A299="","", INDEX(CS!$B$1:$B$15026,MATCH($A299,CS!$B:$B,0)+COLUMN(G$1),1))</f>
        <v>魔法核</v>
      </c>
      <c r="BN299" s="79" t="str">
        <f t="array" ref="BN299">IF($A299="","", INDEX(CS!$B$1:$B$15026,MATCH($A299,CS!$B:$B,0)+COLUMN(H$1),1))</f>
        <v/>
      </c>
      <c r="BO299" s="79" t="str">
        <f t="array" ref="BO299">IF($A299="","", INDEX(CS!$B$1:$B$15026,MATCH($A299,CS!$B:$B,0)+COLUMN(I$1),1))</f>
        <v>軟体</v>
      </c>
      <c r="BP299" s="79" t="str">
        <f t="array" ref="BP299">IF($A299="","", INDEX(CS!$B$1:$B$15026,MATCH($A299,CS!$B:$B,0)+COLUMN(J$1),1))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INDEX(CS!$B$1:$B$15026,MATCH($A300,CS!$B:$B,0)+COLUMN(A$1),1))</f>
        <v>ゴーレム拳</v>
      </c>
      <c r="BH300" s="79" t="str">
        <f t="array" ref="BH300">IF($A300="","", INDEX(CS!$B$1:$B$15026,MATCH($A300,CS!$B:$B,0)+COLUMN(B$1),1))</f>
        <v>ゴーレム投石</v>
      </c>
      <c r="BI300" s="79" t="str">
        <f t="array" ref="BI300">IF($A300="","", INDEX(CS!$B$1:$B$15026,MATCH($A300,CS!$B:$B,0)+COLUMN(C$1),1))</f>
        <v>堅牢な体</v>
      </c>
      <c r="BJ300" s="79" t="str">
        <f t="array" ref="BJ300">IF($A300="","", INDEX(CS!$B$1:$B$15026,MATCH($A300,CS!$B:$B,0)+COLUMN(D$1),1))</f>
        <v/>
      </c>
      <c r="BK300" s="79" t="str">
        <f t="array" ref="BK300">IF($A300="","", INDEX(CS!$B$1:$B$15026,MATCH($A300,CS!$B:$B,0)+COLUMN(E$1),1))</f>
        <v>踏みつけ</v>
      </c>
      <c r="BL300" s="79" t="str">
        <f t="array" ref="BL300">IF($A300="","", INDEX(CS!$B$1:$B$15026,MATCH($A300,CS!$B:$B,0)+COLUMN(F$1),1))</f>
        <v/>
      </c>
      <c r="BM300" s="79" t="str">
        <f t="array" ref="BM300">IF($A300="","", INDEX(CS!$B$1:$B$15026,MATCH($A300,CS!$B:$B,0)+COLUMN(G$1),1))</f>
        <v>魔法核</v>
      </c>
      <c r="BN300" s="79" t="str">
        <f t="array" ref="BN300">IF($A300="","", INDEX(CS!$B$1:$B$15026,MATCH($A300,CS!$B:$B,0)+COLUMN(H$1),1))</f>
        <v/>
      </c>
      <c r="BO300" s="79" t="str">
        <f t="array" ref="BO300">IF($A300="","", INDEX(CS!$B$1:$B$15026,MATCH($A300,CS!$B:$B,0)+COLUMN(I$1),1))</f>
        <v>石の体</v>
      </c>
      <c r="BP300" s="79" t="str">
        <f t="array" ref="BP300">IF($A300="","", INDEX(CS!$B$1:$B$15026,MATCH($A300,CS!$B:$B,0)+COLUMN(J$1),1))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INDEX(CS!$B$1:$B$15026,MATCH($A301,CS!$B:$B,0)+COLUMN(A$1),1))</f>
        <v>ゴーレム拳</v>
      </c>
      <c r="BH301" s="79" t="str">
        <f t="array" ref="BH301">IF($A301="","", INDEX(CS!$B$1:$B$15026,MATCH($A301,CS!$B:$B,0)+COLUMN(B$1),1))</f>
        <v>ゴーレム投石</v>
      </c>
      <c r="BI301" s="79" t="str">
        <f t="array" ref="BI301">IF($A301="","", INDEX(CS!$B$1:$B$15026,MATCH($A301,CS!$B:$B,0)+COLUMN(C$1),1))</f>
        <v>堅牢な体</v>
      </c>
      <c r="BJ301" s="79" t="str">
        <f t="array" ref="BJ301">IF($A301="","", INDEX(CS!$B$1:$B$15026,MATCH($A301,CS!$B:$B,0)+COLUMN(D$1),1))</f>
        <v/>
      </c>
      <c r="BK301" s="79" t="str">
        <f t="array" ref="BK301">IF($A301="","", INDEX(CS!$B$1:$B$15026,MATCH($A301,CS!$B:$B,0)+COLUMN(E$1),1))</f>
        <v>踏みつけ</v>
      </c>
      <c r="BL301" s="79" t="str">
        <f t="array" ref="BL301">IF($A301="","", INDEX(CS!$B$1:$B$15026,MATCH($A301,CS!$B:$B,0)+COLUMN(F$1),1))</f>
        <v/>
      </c>
      <c r="BM301" s="79" t="str">
        <f t="array" ref="BM301">IF($A301="","", INDEX(CS!$B$1:$B$15026,MATCH($A301,CS!$B:$B,0)+COLUMN(G$1),1))</f>
        <v>魔法核</v>
      </c>
      <c r="BN301" s="79" t="str">
        <f t="array" ref="BN301">IF($A301="","", INDEX(CS!$B$1:$B$15026,MATCH($A301,CS!$B:$B,0)+COLUMN(H$1),1))</f>
        <v/>
      </c>
      <c r="BO301" s="79" t="str">
        <f t="array" ref="BO301">IF($A301="","", INDEX(CS!$B$1:$B$15026,MATCH($A301,CS!$B:$B,0)+COLUMN(I$1),1))</f>
        <v>外皮</v>
      </c>
      <c r="BP301" s="79" t="str">
        <f t="array" ref="BP301">IF($A301="","", INDEX(CS!$B$1:$B$15026,MATCH($A301,CS!$B:$B,0)+COLUMN(J$1),1))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INDEX(CS!$B$1:$B$15026,MATCH($A302,CS!$B:$B,0)+COLUMN(A$1),1))</f>
        <v>ゴーレム拳</v>
      </c>
      <c r="BH302" s="79" t="str">
        <f t="array" ref="BH302">IF($A302="","", INDEX(CS!$B$1:$B$15026,MATCH($A302,CS!$B:$B,0)+COLUMN(B$1),1))</f>
        <v>ゴーレム投石</v>
      </c>
      <c r="BI302" s="79" t="str">
        <f t="array" ref="BI302">IF($A302="","", INDEX(CS!$B$1:$B$15026,MATCH($A302,CS!$B:$B,0)+COLUMN(C$1),1))</f>
        <v>堅牢な体</v>
      </c>
      <c r="BJ302" s="79" t="str">
        <f t="array" ref="BJ302">IF($A302="","", INDEX(CS!$B$1:$B$15026,MATCH($A302,CS!$B:$B,0)+COLUMN(D$1),1))</f>
        <v/>
      </c>
      <c r="BK302" s="79" t="str">
        <f t="array" ref="BK302">IF($A302="","", INDEX(CS!$B$1:$B$15026,MATCH($A302,CS!$B:$B,0)+COLUMN(E$1),1))</f>
        <v>踏みつけ</v>
      </c>
      <c r="BL302" s="79" t="str">
        <f t="array" ref="BL302">IF($A302="","", INDEX(CS!$B$1:$B$15026,MATCH($A302,CS!$B:$B,0)+COLUMN(F$1),1))</f>
        <v/>
      </c>
      <c r="BM302" s="79" t="str">
        <f t="array" ref="BM302">IF($A302="","", INDEX(CS!$B$1:$B$15026,MATCH($A302,CS!$B:$B,0)+COLUMN(G$1),1))</f>
        <v>魔法核</v>
      </c>
      <c r="BN302" s="79" t="str">
        <f t="array" ref="BN302">IF($A302="","", INDEX(CS!$B$1:$B$15026,MATCH($A302,CS!$B:$B,0)+COLUMN(H$1),1))</f>
        <v/>
      </c>
      <c r="BO302" s="79" t="str">
        <f t="array" ref="BO302">IF($A302="","", INDEX(CS!$B$1:$B$15026,MATCH($A302,CS!$B:$B,0)+COLUMN(I$1),1))</f>
        <v>屍者の肉体</v>
      </c>
      <c r="BP302" s="79" t="str">
        <f t="array" ref="BP302">IF($A302="","", INDEX(CS!$B$1:$B$15026,MATCH($A302,CS!$B:$B,0)+COLUMN(J$1),1))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INDEX(CS!$B$1:$B$15026,MATCH($A303,CS!$B:$B,0)+COLUMN(A$1),1))</f>
        <v>ゴーレム拳</v>
      </c>
      <c r="BH303" s="79" t="str">
        <f t="array" ref="BH303">IF($A303="","", INDEX(CS!$B$1:$B$15026,MATCH($A303,CS!$B:$B,0)+COLUMN(B$1),1))</f>
        <v>ゴーレム投石</v>
      </c>
      <c r="BI303" s="79" t="str">
        <f t="array" ref="BI303">IF($A303="","", INDEX(CS!$B$1:$B$15026,MATCH($A303,CS!$B:$B,0)+COLUMN(C$1),1))</f>
        <v>堅牢な体</v>
      </c>
      <c r="BJ303" s="79" t="str">
        <f t="array" ref="BJ303">IF($A303="","", INDEX(CS!$B$1:$B$15026,MATCH($A303,CS!$B:$B,0)+COLUMN(D$1),1))</f>
        <v/>
      </c>
      <c r="BK303" s="79" t="str">
        <f t="array" ref="BK303">IF($A303="","", INDEX(CS!$B$1:$B$15026,MATCH($A303,CS!$B:$B,0)+COLUMN(E$1),1))</f>
        <v>踏みつけ</v>
      </c>
      <c r="BL303" s="79" t="str">
        <f t="array" ref="BL303">IF($A303="","", INDEX(CS!$B$1:$B$15026,MATCH($A303,CS!$B:$B,0)+COLUMN(F$1),1))</f>
        <v/>
      </c>
      <c r="BM303" s="79" t="str">
        <f t="array" ref="BM303">IF($A303="","", INDEX(CS!$B$1:$B$15026,MATCH($A303,CS!$B:$B,0)+COLUMN(G$1),1))</f>
        <v>魔法核</v>
      </c>
      <c r="BN303" s="79" t="str">
        <f t="array" ref="BN303">IF($A303="","", INDEX(CS!$B$1:$B$15026,MATCH($A303,CS!$B:$B,0)+COLUMN(H$1),1))</f>
        <v/>
      </c>
      <c r="BO303" s="79" t="str">
        <f t="array" ref="BO303">IF($A303="","", INDEX(CS!$B$1:$B$15026,MATCH($A303,CS!$B:$B,0)+COLUMN(I$1),1))</f>
        <v>骨の身体</v>
      </c>
      <c r="BP303" s="79" t="str">
        <f t="array" ref="BP303">IF($A303="","", INDEX(CS!$B$1:$B$15026,MATCH($A303,CS!$B:$B,0)+COLUMN(J$1),1))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INDEX(CS!$B$1:$B$15026,MATCH($A304,CS!$B:$B,0)+COLUMN(A$1),1))</f>
        <v>ゴーレム拳</v>
      </c>
      <c r="BH304" s="79" t="str">
        <f t="array" ref="BH304">IF($A304="","", INDEX(CS!$B$1:$B$15026,MATCH($A304,CS!$B:$B,0)+COLUMN(B$1),1))</f>
        <v>ゴーレム投石</v>
      </c>
      <c r="BI304" s="79" t="str">
        <f t="array" ref="BI304">IF($A304="","", INDEX(CS!$B$1:$B$15026,MATCH($A304,CS!$B:$B,0)+COLUMN(C$1),1))</f>
        <v>堅牢な体</v>
      </c>
      <c r="BJ304" s="79" t="str">
        <f t="array" ref="BJ304">IF($A304="","", INDEX(CS!$B$1:$B$15026,MATCH($A304,CS!$B:$B,0)+COLUMN(D$1),1))</f>
        <v/>
      </c>
      <c r="BK304" s="79" t="str">
        <f t="array" ref="BK304">IF($A304="","", INDEX(CS!$B$1:$B$15026,MATCH($A304,CS!$B:$B,0)+COLUMN(E$1),1))</f>
        <v>踏みつけ</v>
      </c>
      <c r="BL304" s="79" t="str">
        <f t="array" ref="BL304">IF($A304="","", INDEX(CS!$B$1:$B$15026,MATCH($A304,CS!$B:$B,0)+COLUMN(F$1),1))</f>
        <v/>
      </c>
      <c r="BM304" s="79" t="str">
        <f t="array" ref="BM304">IF($A304="","", INDEX(CS!$B$1:$B$15026,MATCH($A304,CS!$B:$B,0)+COLUMN(G$1),1))</f>
        <v>魔法核</v>
      </c>
      <c r="BN304" s="79" t="str">
        <f t="array" ref="BN304">IF($A304="","", INDEX(CS!$B$1:$B$15026,MATCH($A304,CS!$B:$B,0)+COLUMN(H$1),1))</f>
        <v/>
      </c>
      <c r="BO304" s="79" t="str">
        <f t="array" ref="BO304">IF($A304="","", INDEX(CS!$B$1:$B$15026,MATCH($A304,CS!$B:$B,0)+COLUMN(I$1),1))</f>
        <v>結晶突起</v>
      </c>
      <c r="BP304" s="79" t="str">
        <f t="array" ref="BP304">IF($A304="","", INDEX(CS!$B$1:$B$15026,MATCH($A304,CS!$B:$B,0)+COLUMN(J$1),1))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INDEX(CS!$B$1:$B$15026,MATCH($A305,CS!$B:$B,0)+COLUMN(A$1),1))</f>
        <v>ゴーレム拳</v>
      </c>
      <c r="BH305" s="79" t="str">
        <f t="array" ref="BH305">IF($A305="","", INDEX(CS!$B$1:$B$15026,MATCH($A305,CS!$B:$B,0)+COLUMN(B$1),1))</f>
        <v>ゴーレム投石</v>
      </c>
      <c r="BI305" s="79" t="str">
        <f t="array" ref="BI305">IF($A305="","", INDEX(CS!$B$1:$B$15026,MATCH($A305,CS!$B:$B,0)+COLUMN(C$1),1))</f>
        <v>堅牢な体</v>
      </c>
      <c r="BJ305" s="79" t="str">
        <f t="array" ref="BJ305">IF($A305="","", INDEX(CS!$B$1:$B$15026,MATCH($A305,CS!$B:$B,0)+COLUMN(D$1),1))</f>
        <v/>
      </c>
      <c r="BK305" s="79" t="str">
        <f t="array" ref="BK305">IF($A305="","", INDEX(CS!$B$1:$B$15026,MATCH($A305,CS!$B:$B,0)+COLUMN(E$1),1))</f>
        <v>踏みつけ</v>
      </c>
      <c r="BL305" s="79" t="str">
        <f t="array" ref="BL305">IF($A305="","", INDEX(CS!$B$1:$B$15026,MATCH($A305,CS!$B:$B,0)+COLUMN(F$1),1))</f>
        <v/>
      </c>
      <c r="BM305" s="79" t="str">
        <f t="array" ref="BM305">IF($A305="","", INDEX(CS!$B$1:$B$15026,MATCH($A305,CS!$B:$B,0)+COLUMN(G$1),1))</f>
        <v>魔法核</v>
      </c>
      <c r="BN305" s="79" t="str">
        <f t="array" ref="BN305">IF($A305="","", INDEX(CS!$B$1:$B$15026,MATCH($A305,CS!$B:$B,0)+COLUMN(H$1),1))</f>
        <v/>
      </c>
      <c r="BO305" s="79" t="str">
        <f t="array" ref="BO305">IF($A305="","", INDEX(CS!$B$1:$B$15026,MATCH($A305,CS!$B:$B,0)+COLUMN(I$1),1))</f>
        <v>氷の体</v>
      </c>
      <c r="BP305" s="79" t="str">
        <f t="array" ref="BP305">IF($A305="","", INDEX(CS!$B$1:$B$15026,MATCH($A305,CS!$B:$B,0)+COLUMN(J$1),1))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INDEX(CS!$B$1:$B$15026,MATCH($A306,CS!$B:$B,0)+COLUMN(A$1),1))</f>
        <v>ゴーレム拳</v>
      </c>
      <c r="BH306" s="79" t="str">
        <f t="array" ref="BH306">IF($A306="","", INDEX(CS!$B$1:$B$15026,MATCH($A306,CS!$B:$B,0)+COLUMN(B$1),1))</f>
        <v>ゴーレム投石</v>
      </c>
      <c r="BI306" s="79" t="str">
        <f t="array" ref="BI306">IF($A306="","", INDEX(CS!$B$1:$B$15026,MATCH($A306,CS!$B:$B,0)+COLUMN(C$1),1))</f>
        <v>堅牢な体</v>
      </c>
      <c r="BJ306" s="79" t="str">
        <f t="array" ref="BJ306">IF($A306="","", INDEX(CS!$B$1:$B$15026,MATCH($A306,CS!$B:$B,0)+COLUMN(D$1),1))</f>
        <v/>
      </c>
      <c r="BK306" s="79" t="str">
        <f t="array" ref="BK306">IF($A306="","", INDEX(CS!$B$1:$B$15026,MATCH($A306,CS!$B:$B,0)+COLUMN(E$1),1))</f>
        <v>踏みつけ</v>
      </c>
      <c r="BL306" s="79" t="str">
        <f t="array" ref="BL306">IF($A306="","", INDEX(CS!$B$1:$B$15026,MATCH($A306,CS!$B:$B,0)+COLUMN(F$1),1))</f>
        <v/>
      </c>
      <c r="BM306" s="79" t="str">
        <f t="array" ref="BM306">IF($A306="","", INDEX(CS!$B$1:$B$15026,MATCH($A306,CS!$B:$B,0)+COLUMN(G$1),1))</f>
        <v>魔法核</v>
      </c>
      <c r="BN306" s="79" t="str">
        <f t="array" ref="BN306">IF($A306="","", INDEX(CS!$B$1:$B$15026,MATCH($A306,CS!$B:$B,0)+COLUMN(H$1),1))</f>
        <v/>
      </c>
      <c r="BO306" s="79" t="str">
        <f t="array" ref="BO306">IF($A306="","", INDEX(CS!$B$1:$B$15026,MATCH($A306,CS!$B:$B,0)+COLUMN(I$1),1))</f>
        <v>炎の体</v>
      </c>
      <c r="BP306" s="79" t="str">
        <f t="array" ref="BP306">IF($A306="","", INDEX(CS!$B$1:$B$15026,MATCH($A306,CS!$B:$B,0)+COLUMN(J$1),1))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INDEX(CS!$B$1:$B$15026,MATCH($A307,CS!$B:$B,0)+COLUMN(A$1),1))</f>
        <v>ゴーレム拳</v>
      </c>
      <c r="BH307" s="79" t="str">
        <f t="array" ref="BH307">IF($A307="","", INDEX(CS!$B$1:$B$15026,MATCH($A307,CS!$B:$B,0)+COLUMN(B$1),1))</f>
        <v>ゴーレム投石</v>
      </c>
      <c r="BI307" s="79" t="str">
        <f t="array" ref="BI307">IF($A307="","", INDEX(CS!$B$1:$B$15026,MATCH($A307,CS!$B:$B,0)+COLUMN(C$1),1))</f>
        <v>堅牢な体</v>
      </c>
      <c r="BJ307" s="79" t="str">
        <f t="array" ref="BJ307">IF($A307="","", INDEX(CS!$B$1:$B$15026,MATCH($A307,CS!$B:$B,0)+COLUMN(D$1),1))</f>
        <v/>
      </c>
      <c r="BK307" s="79" t="str">
        <f t="array" ref="BK307">IF($A307="","", INDEX(CS!$B$1:$B$15026,MATCH($A307,CS!$B:$B,0)+COLUMN(E$1),1))</f>
        <v>踏みつけ</v>
      </c>
      <c r="BL307" s="79" t="str">
        <f t="array" ref="BL307">IF($A307="","", INDEX(CS!$B$1:$B$15026,MATCH($A307,CS!$B:$B,0)+COLUMN(F$1),1))</f>
        <v/>
      </c>
      <c r="BM307" s="79" t="str">
        <f t="array" ref="BM307">IF($A307="","", INDEX(CS!$B$1:$B$15026,MATCH($A307,CS!$B:$B,0)+COLUMN(G$1),1))</f>
        <v>魔法核</v>
      </c>
      <c r="BN307" s="79" t="str">
        <f t="array" ref="BN307">IF($A307="","", INDEX(CS!$B$1:$B$15026,MATCH($A307,CS!$B:$B,0)+COLUMN(H$1),1))</f>
        <v/>
      </c>
      <c r="BO307" s="79" t="str">
        <f t="array" ref="BO307">IF($A307="","", INDEX(CS!$B$1:$B$15026,MATCH($A307,CS!$B:$B,0)+COLUMN(I$1),1))</f>
        <v>地の適用</v>
      </c>
      <c r="BP307" s="79" t="str">
        <f t="array" ref="BP307">IF($A307="","", INDEX(CS!$B$1:$B$15026,MATCH($A307,CS!$B:$B,0)+COLUMN(J$1),1))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INDEX(CS!$B$1:$B$15026,MATCH($A308,CS!$B:$B,0)+COLUMN(A$1),1))</f>
        <v>ゴーレム拳</v>
      </c>
      <c r="BH308" s="79" t="str">
        <f t="array" ref="BH308">IF($A308="","", INDEX(CS!$B$1:$B$15026,MATCH($A308,CS!$B:$B,0)+COLUMN(B$1),1))</f>
        <v>ゴーレム投石</v>
      </c>
      <c r="BI308" s="79" t="str">
        <f t="array" ref="BI308">IF($A308="","", INDEX(CS!$B$1:$B$15026,MATCH($A308,CS!$B:$B,0)+COLUMN(C$1),1))</f>
        <v>堅牢な体</v>
      </c>
      <c r="BJ308" s="79" t="str">
        <f t="array" ref="BJ308">IF($A308="","", INDEX(CS!$B$1:$B$15026,MATCH($A308,CS!$B:$B,0)+COLUMN(D$1),1))</f>
        <v/>
      </c>
      <c r="BK308" s="79" t="str">
        <f t="array" ref="BK308">IF($A308="","", INDEX(CS!$B$1:$B$15026,MATCH($A308,CS!$B:$B,0)+COLUMN(E$1),1))</f>
        <v>踏みつけ</v>
      </c>
      <c r="BL308" s="79" t="str">
        <f t="array" ref="BL308">IF($A308="","", INDEX(CS!$B$1:$B$15026,MATCH($A308,CS!$B:$B,0)+COLUMN(F$1),1))</f>
        <v/>
      </c>
      <c r="BM308" s="79" t="str">
        <f t="array" ref="BM308">IF($A308="","", INDEX(CS!$B$1:$B$15026,MATCH($A308,CS!$B:$B,0)+COLUMN(G$1),1))</f>
        <v>魔法核</v>
      </c>
      <c r="BN308" s="79" t="str">
        <f t="array" ref="BN308">IF($A308="","", INDEX(CS!$B$1:$B$15026,MATCH($A308,CS!$B:$B,0)+COLUMN(H$1),1))</f>
        <v/>
      </c>
      <c r="BO308" s="79" t="str">
        <f t="array" ref="BO308">IF($A308="","", INDEX(CS!$B$1:$B$15026,MATCH($A308,CS!$B:$B,0)+COLUMN(I$1),1))</f>
        <v>魔法の守り</v>
      </c>
      <c r="BP308" s="79" t="str">
        <f t="array" ref="BP308">IF($A308="","", INDEX(CS!$B$1:$B$15026,MATCH($A308,CS!$B:$B,0)+COLUMN(J$1),1))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INDEX(CS!$B$1:$B$15026,MATCH($A309,CS!$B:$B,0)+COLUMN(A$1),1))</f>
        <v>ゴーレム拳</v>
      </c>
      <c r="BH309" s="79" t="str">
        <f t="array" ref="BH309">IF($A309="","", INDEX(CS!$B$1:$B$15026,MATCH($A309,CS!$B:$B,0)+COLUMN(B$1),1))</f>
        <v>ゴーレム投石</v>
      </c>
      <c r="BI309" s="79" t="str">
        <f t="array" ref="BI309">IF($A309="","", INDEX(CS!$B$1:$B$15026,MATCH($A309,CS!$B:$B,0)+COLUMN(C$1),1))</f>
        <v>堅牢な体</v>
      </c>
      <c r="BJ309" s="79" t="str">
        <f t="array" ref="BJ309">IF($A309="","", INDEX(CS!$B$1:$B$15026,MATCH($A309,CS!$B:$B,0)+COLUMN(D$1),1))</f>
        <v/>
      </c>
      <c r="BK309" s="79" t="str">
        <f t="array" ref="BK309">IF($A309="","", INDEX(CS!$B$1:$B$15026,MATCH($A309,CS!$B:$B,0)+COLUMN(E$1),1))</f>
        <v>踏みつけ</v>
      </c>
      <c r="BL309" s="79" t="str">
        <f t="array" ref="BL309">IF($A309="","", INDEX(CS!$B$1:$B$15026,MATCH($A309,CS!$B:$B,0)+COLUMN(F$1),1))</f>
        <v/>
      </c>
      <c r="BM309" s="79" t="str">
        <f t="array" ref="BM309">IF($A309="","", INDEX(CS!$B$1:$B$15026,MATCH($A309,CS!$B:$B,0)+COLUMN(G$1),1))</f>
        <v>魔法核</v>
      </c>
      <c r="BN309" s="79" t="str">
        <f t="array" ref="BN309">IF($A309="","", INDEX(CS!$B$1:$B$15026,MATCH($A309,CS!$B:$B,0)+COLUMN(H$1),1))</f>
        <v/>
      </c>
      <c r="BO309" s="79" t="str">
        <f t="array" ref="BO309">IF($A309="","", INDEX(CS!$B$1:$B$15026,MATCH($A309,CS!$B:$B,0)+COLUMN(I$1),1))</f>
        <v>硬質外殻</v>
      </c>
      <c r="BP309" s="79" t="str">
        <f t="array" ref="BP309">IF($A309="","", INDEX(CS!$B$1:$B$15026,MATCH($A309,CS!$B:$B,0)+COLUMN(J$1),1))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INDEX(CS!$B$1:$B$15026,MATCH($A310,CS!$B:$B,0)+COLUMN(A$1),1))</f>
        <v>ゴーレム拳</v>
      </c>
      <c r="BH310" s="79" t="str">
        <f t="array" ref="BH310">IF($A310="","", INDEX(CS!$B$1:$B$15026,MATCH($A310,CS!$B:$B,0)+COLUMN(B$1),1))</f>
        <v>ゴーレム投石</v>
      </c>
      <c r="BI310" s="79" t="str">
        <f t="array" ref="BI310">IF($A310="","", INDEX(CS!$B$1:$B$15026,MATCH($A310,CS!$B:$B,0)+COLUMN(C$1),1))</f>
        <v>堅牢な体</v>
      </c>
      <c r="BJ310" s="79" t="str">
        <f t="array" ref="BJ310">IF($A310="","", INDEX(CS!$B$1:$B$15026,MATCH($A310,CS!$B:$B,0)+COLUMN(D$1),1))</f>
        <v/>
      </c>
      <c r="BK310" s="79" t="str">
        <f t="array" ref="BK310">IF($A310="","", INDEX(CS!$B$1:$B$15026,MATCH($A310,CS!$B:$B,0)+COLUMN(E$1),1))</f>
        <v>踏みつけ</v>
      </c>
      <c r="BL310" s="79" t="str">
        <f t="array" ref="BL310">IF($A310="","", INDEX(CS!$B$1:$B$15026,MATCH($A310,CS!$B:$B,0)+COLUMN(F$1),1))</f>
        <v/>
      </c>
      <c r="BM310" s="79" t="str">
        <f t="array" ref="BM310">IF($A310="","", INDEX(CS!$B$1:$B$15026,MATCH($A310,CS!$B:$B,0)+COLUMN(G$1),1))</f>
        <v>魔法核</v>
      </c>
      <c r="BN310" s="79" t="str">
        <f t="array" ref="BN310">IF($A310="","", INDEX(CS!$B$1:$B$15026,MATCH($A310,CS!$B:$B,0)+COLUMN(H$1),1))</f>
        <v/>
      </c>
      <c r="BO310" s="79" t="str">
        <f t="array" ref="BO310">IF($A310="","", INDEX(CS!$B$1:$B$15026,MATCH($A310,CS!$B:$B,0)+COLUMN(I$1),1))</f>
        <v>軟体</v>
      </c>
      <c r="BP310" s="79" t="str">
        <f t="array" ref="BP310">IF($A310="","", INDEX(CS!$B$1:$B$15026,MATCH($A310,CS!$B:$B,0)+COLUMN(J$1),1))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INDEX(CS!$B$1:$B$15026,MATCH($A311,CS!$B:$B,0)+COLUMN(A$1),1))</f>
        <v/>
      </c>
      <c r="BH311" s="79" t="str">
        <f t="array" ref="BH311">IF($A311="","", INDEX(CS!$B$1:$B$15026,MATCH($A311,CS!$B:$B,0)+COLUMN(B$1),1))</f>
        <v/>
      </c>
      <c r="BI311" s="79" t="str">
        <f t="array" ref="BI311">IF($A311="","", INDEX(CS!$B$1:$B$15026,MATCH($A311,CS!$B:$B,0)+COLUMN(C$1),1))</f>
        <v/>
      </c>
      <c r="BJ311" s="79" t="str">
        <f t="array" ref="BJ311">IF($A311="","", INDEX(CS!$B$1:$B$15026,MATCH($A311,CS!$B:$B,0)+COLUMN(D$1),1))</f>
        <v/>
      </c>
      <c r="BK311" s="79" t="str">
        <f t="array" ref="BK311">IF($A311="","", INDEX(CS!$B$1:$B$15026,MATCH($A311,CS!$B:$B,0)+COLUMN(E$1),1))</f>
        <v/>
      </c>
      <c r="BL311" s="79" t="str">
        <f t="array" ref="BL311">IF($A311="","", INDEX(CS!$B$1:$B$15026,MATCH($A311,CS!$B:$B,0)+COLUMN(F$1),1))</f>
        <v/>
      </c>
      <c r="BM311" s="79" t="str">
        <f t="array" ref="BM311">IF($A311="","", INDEX(CS!$B$1:$B$15026,MATCH($A311,CS!$B:$B,0)+COLUMN(G$1),1))</f>
        <v/>
      </c>
      <c r="BN311" s="79" t="str">
        <f t="array" ref="BN311">IF($A311="","", INDEX(CS!$B$1:$B$15026,MATCH($A311,CS!$B:$B,0)+COLUMN(H$1),1))</f>
        <v/>
      </c>
      <c r="BO311" s="79" t="str">
        <f t="array" ref="BO311">IF($A311="","", INDEX(CS!$B$1:$B$15026,MATCH($A311,CS!$B:$B,0)+COLUMN(I$1),1))</f>
        <v/>
      </c>
      <c r="BP311" s="79" t="str">
        <f t="array" ref="BP311">IF($A311="","", INDEX(CS!$B$1:$B$15026,MATCH($A311,CS!$B:$B,0)+COLUMN(J$1),1))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INDEX(CS!$B$1:$B$15026,MATCH($A312,CS!$B:$B,0)+COLUMN(A$1),1))</f>
        <v/>
      </c>
      <c r="BH312" s="79" t="str">
        <f t="array" ref="BH312">IF($A312="","", INDEX(CS!$B$1:$B$15026,MATCH($A312,CS!$B:$B,0)+COLUMN(B$1),1))</f>
        <v/>
      </c>
      <c r="BI312" s="79" t="str">
        <f t="array" ref="BI312">IF($A312="","", INDEX(CS!$B$1:$B$15026,MATCH($A312,CS!$B:$B,0)+COLUMN(C$1),1))</f>
        <v/>
      </c>
      <c r="BJ312" s="79" t="str">
        <f t="array" ref="BJ312">IF($A312="","", INDEX(CS!$B$1:$B$15026,MATCH($A312,CS!$B:$B,0)+COLUMN(D$1),1))</f>
        <v/>
      </c>
      <c r="BK312" s="79" t="str">
        <f t="array" ref="BK312">IF($A312="","", INDEX(CS!$B$1:$B$15026,MATCH($A312,CS!$B:$B,0)+COLUMN(E$1),1))</f>
        <v/>
      </c>
      <c r="BL312" s="79" t="str">
        <f t="array" ref="BL312">IF($A312="","", INDEX(CS!$B$1:$B$15026,MATCH($A312,CS!$B:$B,0)+COLUMN(F$1),1))</f>
        <v/>
      </c>
      <c r="BM312" s="79" t="str">
        <f t="array" ref="BM312">IF($A312="","", INDEX(CS!$B$1:$B$15026,MATCH($A312,CS!$B:$B,0)+COLUMN(G$1),1))</f>
        <v/>
      </c>
      <c r="BN312" s="79" t="str">
        <f t="array" ref="BN312">IF($A312="","", INDEX(CS!$B$1:$B$15026,MATCH($A312,CS!$B:$B,0)+COLUMN(H$1),1))</f>
        <v/>
      </c>
      <c r="BO312" s="79" t="str">
        <f t="array" ref="BO312">IF($A312="","", INDEX(CS!$B$1:$B$15026,MATCH($A312,CS!$B:$B,0)+COLUMN(I$1),1))</f>
        <v/>
      </c>
      <c r="BP312" s="79" t="str">
        <f t="array" ref="BP312">IF($A312="","", INDEX(CS!$B$1:$B$15026,MATCH($A312,CS!$B:$B,0)+COLUMN(J$1),1))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INDEX(CS!$B$1:$B$15026,MATCH($A313,CS!$B:$B,0)+COLUMN(A$1),1))</f>
        <v>爪</v>
      </c>
      <c r="BH313" s="79" t="str">
        <f t="array" ref="BH313">IF($A313="","", INDEX(CS!$B$1:$B$15026,MATCH($A313,CS!$B:$B,0)+COLUMN(B$1),1))</f>
        <v/>
      </c>
      <c r="BI313" s="79" t="str">
        <f t="array" ref="BI313">IF($A313="","", INDEX(CS!$B$1:$B$15026,MATCH($A313,CS!$B:$B,0)+COLUMN(C$1),1))</f>
        <v>翼</v>
      </c>
      <c r="BJ313" s="79" t="str">
        <f t="array" ref="BJ313">IF($A313="","", INDEX(CS!$B$1:$B$15026,MATCH($A313,CS!$B:$B,0)+COLUMN(D$1),1))</f>
        <v/>
      </c>
      <c r="BK313" s="79" t="str">
        <f t="array" ref="BK313">IF($A313="","", INDEX(CS!$B$1:$B$15026,MATCH($A313,CS!$B:$B,0)+COLUMN(E$1),1))</f>
        <v>威圧</v>
      </c>
      <c r="BL313" s="79" t="str">
        <f t="array" ref="BL313">IF($A313="","", INDEX(CS!$B$1:$B$15026,MATCH($A313,CS!$B:$B,0)+COLUMN(F$1),1))</f>
        <v>毒の唾</v>
      </c>
      <c r="BM313" s="79" t="str">
        <f t="array" ref="BM313">IF($A313="","", INDEX(CS!$B$1:$B$15026,MATCH($A313,CS!$B:$B,0)+COLUMN(G$1),1))</f>
        <v/>
      </c>
      <c r="BN313" s="79" t="str">
        <f t="array" ref="BN313">IF($A313="","", INDEX(CS!$B$1:$B$15026,MATCH($A313,CS!$B:$B,0)+COLUMN(H$1),1))</f>
        <v>毒の尾</v>
      </c>
      <c r="BO313" s="79" t="str">
        <f t="array" ref="BO313">IF($A313="","", INDEX(CS!$B$1:$B$15026,MATCH($A313,CS!$B:$B,0)+COLUMN(I$1),1))</f>
        <v>外皮</v>
      </c>
      <c r="BP313" s="79" t="str">
        <f t="array" ref="BP313">IF($A313="","", INDEX(CS!$B$1:$B$15026,MATCH($A313,CS!$B:$B,0)+COLUMN(J$1),1))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INDEX(CS!$B$1:$B$15026,MATCH($A314,CS!$B:$B,0)+COLUMN(A$1),1))</f>
        <v>毒の唾</v>
      </c>
      <c r="BH314" s="37" t="str">
        <f t="array" ref="BH314">IF($A314="","", INDEX(CS!$B$1:$B$15026,MATCH($A314,CS!$B:$B,0)+COLUMN(B$1),1))</f>
        <v>爪</v>
      </c>
      <c r="BI314" s="37" t="str">
        <f t="array" ref="BI314">IF($A314="","", INDEX(CS!$B$1:$B$15026,MATCH($A314,CS!$B:$B,0)+COLUMN(C$1),1))</f>
        <v>外皮</v>
      </c>
      <c r="BJ314" s="37" t="str">
        <f t="array" ref="BJ314">IF($A314="","", INDEX(CS!$B$1:$B$15026,MATCH($A314,CS!$B:$B,0)+COLUMN(D$1),1))</f>
        <v/>
      </c>
      <c r="BK314" s="37" t="str">
        <f t="array" ref="BK314">IF($A314="","", INDEX(CS!$B$1:$B$15026,MATCH($A314,CS!$B:$B,0)+COLUMN(E$1),1))</f>
        <v>地竜の吐息</v>
      </c>
      <c r="BL314" s="37" t="str">
        <f t="array" ref="BL314">IF($A314="","", INDEX(CS!$B$1:$B$15026,MATCH($A314,CS!$B:$B,0)+COLUMN(F$1),1))</f>
        <v/>
      </c>
      <c r="BM314" s="37" t="str">
        <f t="array" ref="BM314">IF($A314="","", INDEX(CS!$B$1:$B$15026,MATCH($A314,CS!$B:$B,0)+COLUMN(G$1),1))</f>
        <v>踏みつけ</v>
      </c>
      <c r="BN314" s="37" t="str">
        <f t="array" ref="BN314">IF($A314="","", INDEX(CS!$B$1:$B$15026,MATCH($A314,CS!$B:$B,0)+COLUMN(H$1),1))</f>
        <v/>
      </c>
      <c r="BO314" s="37" t="str">
        <f t="array" ref="BO314">IF($A314="","", INDEX(CS!$B$1:$B$15026,MATCH($A314,CS!$B:$B,0)+COLUMN(I$1),1))</f>
        <v>尾</v>
      </c>
      <c r="BP314" s="37" t="str">
        <f t="array" ref="BP314">IF($A314="","", INDEX(CS!$B$1:$B$15026,MATCH($A314,CS!$B:$B,0)+COLUMN(J$1),1))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INDEX(CS!$B$1:$B$15026,MATCH($A315,CS!$B:$B,0)+COLUMN(A$1),1))</f>
        <v/>
      </c>
      <c r="BH315" s="79" t="str">
        <f t="array" ref="BH315">IF($A315="","", INDEX(CS!$B$1:$B$15026,MATCH($A315,CS!$B:$B,0)+COLUMN(B$1),1))</f>
        <v/>
      </c>
      <c r="BI315" s="79" t="str">
        <f t="array" ref="BI315">IF($A315="","", INDEX(CS!$B$1:$B$15026,MATCH($A315,CS!$B:$B,0)+COLUMN(C$1),1))</f>
        <v/>
      </c>
      <c r="BJ315" s="79" t="str">
        <f t="array" ref="BJ315">IF($A315="","", INDEX(CS!$B$1:$B$15026,MATCH($A315,CS!$B:$B,0)+COLUMN(D$1),1))</f>
        <v/>
      </c>
      <c r="BK315" s="79" t="str">
        <f t="array" ref="BK315">IF($A315="","", INDEX(CS!$B$1:$B$15026,MATCH($A315,CS!$B:$B,0)+COLUMN(E$1),1))</f>
        <v/>
      </c>
      <c r="BL315" s="79" t="str">
        <f t="array" ref="BL315">IF($A315="","", INDEX(CS!$B$1:$B$15026,MATCH($A315,CS!$B:$B,0)+COLUMN(F$1),1))</f>
        <v/>
      </c>
      <c r="BM315" s="79" t="str">
        <f t="array" ref="BM315">IF($A315="","", INDEX(CS!$B$1:$B$15026,MATCH($A315,CS!$B:$B,0)+COLUMN(G$1),1))</f>
        <v/>
      </c>
      <c r="BN315" s="79" t="str">
        <f t="array" ref="BN315">IF($A315="","", INDEX(CS!$B$1:$B$15026,MATCH($A315,CS!$B:$B,0)+COLUMN(H$1),1))</f>
        <v/>
      </c>
      <c r="BO315" s="79" t="str">
        <f t="array" ref="BO315">IF($A315="","", INDEX(CS!$B$1:$B$15026,MATCH($A315,CS!$B:$B,0)+COLUMN(I$1),1))</f>
        <v/>
      </c>
      <c r="BP315" s="79" t="str">
        <f t="array" ref="BP315">IF($A315="","", INDEX(CS!$B$1:$B$15026,MATCH($A315,CS!$B:$B,0)+COLUMN(J$1),1))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INDEX(CS!$B$1:$B$15026,MATCH($A316,CS!$B:$B,0)+COLUMN(A$1),1))</f>
        <v/>
      </c>
      <c r="BH316" s="79" t="str">
        <f t="array" ref="BH316">IF($A316="","", INDEX(CS!$B$1:$B$15026,MATCH($A316,CS!$B:$B,0)+COLUMN(B$1),1))</f>
        <v/>
      </c>
      <c r="BI316" s="79" t="str">
        <f t="array" ref="BI316">IF($A316="","", INDEX(CS!$B$1:$B$15026,MATCH($A316,CS!$B:$B,0)+COLUMN(C$1),1))</f>
        <v/>
      </c>
      <c r="BJ316" s="79" t="str">
        <f t="array" ref="BJ316">IF($A316="","", INDEX(CS!$B$1:$B$15026,MATCH($A316,CS!$B:$B,0)+COLUMN(D$1),1))</f>
        <v/>
      </c>
      <c r="BK316" s="79" t="str">
        <f t="array" ref="BK316">IF($A316="","", INDEX(CS!$B$1:$B$15026,MATCH($A316,CS!$B:$B,0)+COLUMN(E$1),1))</f>
        <v/>
      </c>
      <c r="BL316" s="79" t="str">
        <f t="array" ref="BL316">IF($A316="","", INDEX(CS!$B$1:$B$15026,MATCH($A316,CS!$B:$B,0)+COLUMN(F$1),1))</f>
        <v/>
      </c>
      <c r="BM316" s="79" t="str">
        <f t="array" ref="BM316">IF($A316="","", INDEX(CS!$B$1:$B$15026,MATCH($A316,CS!$B:$B,0)+COLUMN(G$1),1))</f>
        <v/>
      </c>
      <c r="BN316" s="79" t="str">
        <f t="array" ref="BN316">IF($A316="","", INDEX(CS!$B$1:$B$15026,MATCH($A316,CS!$B:$B,0)+COLUMN(H$1),1))</f>
        <v/>
      </c>
      <c r="BO316" s="79" t="str">
        <f t="array" ref="BO316">IF($A316="","", INDEX(CS!$B$1:$B$15026,MATCH($A316,CS!$B:$B,0)+COLUMN(I$1),1))</f>
        <v/>
      </c>
      <c r="BP316" s="79" t="str">
        <f t="array" ref="BP316">IF($A316="","", INDEX(CS!$B$1:$B$15026,MATCH($A316,CS!$B:$B,0)+COLUMN(J$1),1))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INDEX(CS!$B$1:$B$15026,MATCH($A317,CS!$B:$B,0)+COLUMN(A$1),1))</f>
        <v/>
      </c>
      <c r="BH317" s="79" t="str">
        <f t="array" ref="BH317">IF($A317="","", INDEX(CS!$B$1:$B$15026,MATCH($A317,CS!$B:$B,0)+COLUMN(B$1),1))</f>
        <v/>
      </c>
      <c r="BI317" s="79" t="str">
        <f t="array" ref="BI317">IF($A317="","", INDEX(CS!$B$1:$B$15026,MATCH($A317,CS!$B:$B,0)+COLUMN(C$1),1))</f>
        <v/>
      </c>
      <c r="BJ317" s="79" t="str">
        <f t="array" ref="BJ317">IF($A317="","", INDEX(CS!$B$1:$B$15026,MATCH($A317,CS!$B:$B,0)+COLUMN(D$1),1))</f>
        <v/>
      </c>
      <c r="BK317" s="79" t="str">
        <f t="array" ref="BK317">IF($A317="","", INDEX(CS!$B$1:$B$15026,MATCH($A317,CS!$B:$B,0)+COLUMN(E$1),1))</f>
        <v/>
      </c>
      <c r="BL317" s="79" t="str">
        <f t="array" ref="BL317">IF($A317="","", INDEX(CS!$B$1:$B$15026,MATCH($A317,CS!$B:$B,0)+COLUMN(F$1),1))</f>
        <v/>
      </c>
      <c r="BM317" s="79" t="str">
        <f t="array" ref="BM317">IF($A317="","", INDEX(CS!$B$1:$B$15026,MATCH($A317,CS!$B:$B,0)+COLUMN(G$1),1))</f>
        <v/>
      </c>
      <c r="BN317" s="79" t="str">
        <f t="array" ref="BN317">IF($A317="","", INDEX(CS!$B$1:$B$15026,MATCH($A317,CS!$B:$B,0)+COLUMN(H$1),1))</f>
        <v/>
      </c>
      <c r="BO317" s="79" t="str">
        <f t="array" ref="BO317">IF($A317="","", INDEX(CS!$B$1:$B$15026,MATCH($A317,CS!$B:$B,0)+COLUMN(I$1),1))</f>
        <v/>
      </c>
      <c r="BP317" s="79" t="str">
        <f t="array" ref="BP317">IF($A317="","", INDEX(CS!$B$1:$B$15026,MATCH($A317,CS!$B:$B,0)+COLUMN(J$1),1))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INDEX(CS!$B$1:$B$15026,MATCH($A318,CS!$B:$B,0)+COLUMN(A$1),1))</f>
        <v/>
      </c>
      <c r="BH318" s="79" t="str">
        <f t="array" ref="BH318">IF($A318="","", INDEX(CS!$B$1:$B$15026,MATCH($A318,CS!$B:$B,0)+COLUMN(B$1),1))</f>
        <v/>
      </c>
      <c r="BI318" s="79" t="str">
        <f t="array" ref="BI318">IF($A318="","", INDEX(CS!$B$1:$B$15026,MATCH($A318,CS!$B:$B,0)+COLUMN(C$1),1))</f>
        <v/>
      </c>
      <c r="BJ318" s="79" t="str">
        <f t="array" ref="BJ318">IF($A318="","", INDEX(CS!$B$1:$B$15026,MATCH($A318,CS!$B:$B,0)+COLUMN(D$1),1))</f>
        <v/>
      </c>
      <c r="BK318" s="79" t="str">
        <f t="array" ref="BK318">IF($A318="","", INDEX(CS!$B$1:$B$15026,MATCH($A318,CS!$B:$B,0)+COLUMN(E$1),1))</f>
        <v/>
      </c>
      <c r="BL318" s="79" t="str">
        <f t="array" ref="BL318">IF($A318="","", INDEX(CS!$B$1:$B$15026,MATCH($A318,CS!$B:$B,0)+COLUMN(F$1),1))</f>
        <v/>
      </c>
      <c r="BM318" s="79" t="str">
        <f t="array" ref="BM318">IF($A318="","", INDEX(CS!$B$1:$B$15026,MATCH($A318,CS!$B:$B,0)+COLUMN(G$1),1))</f>
        <v/>
      </c>
      <c r="BN318" s="79" t="str">
        <f t="array" ref="BN318">IF($A318="","", INDEX(CS!$B$1:$B$15026,MATCH($A318,CS!$B:$B,0)+COLUMN(H$1),1))</f>
        <v/>
      </c>
      <c r="BO318" s="79" t="str">
        <f t="array" ref="BO318">IF($A318="","", INDEX(CS!$B$1:$B$15026,MATCH($A318,CS!$B:$B,0)+COLUMN(I$1),1))</f>
        <v/>
      </c>
      <c r="BP318" s="79" t="str">
        <f t="array" ref="BP318">IF($A318="","", INDEX(CS!$B$1:$B$15026,MATCH($A318,CS!$B:$B,0)+COLUMN(J$1),1))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INDEX(CS!$B$1:$B$15026,MATCH($A319,CS!$B:$B,0)+COLUMN(A$1),1))</f>
        <v/>
      </c>
      <c r="BH319" s="79" t="str">
        <f t="array" ref="BH319">IF($A319="","", INDEX(CS!$B$1:$B$15026,MATCH($A319,CS!$B:$B,0)+COLUMN(B$1),1))</f>
        <v/>
      </c>
      <c r="BI319" s="79" t="str">
        <f t="array" ref="BI319">IF($A319="","", INDEX(CS!$B$1:$B$15026,MATCH($A319,CS!$B:$B,0)+COLUMN(C$1),1))</f>
        <v/>
      </c>
      <c r="BJ319" s="79" t="str">
        <f t="array" ref="BJ319">IF($A319="","", INDEX(CS!$B$1:$B$15026,MATCH($A319,CS!$B:$B,0)+COLUMN(D$1),1))</f>
        <v/>
      </c>
      <c r="BK319" s="79" t="str">
        <f t="array" ref="BK319">IF($A319="","", INDEX(CS!$B$1:$B$15026,MATCH($A319,CS!$B:$B,0)+COLUMN(E$1),1))</f>
        <v/>
      </c>
      <c r="BL319" s="79" t="str">
        <f t="array" ref="BL319">IF($A319="","", INDEX(CS!$B$1:$B$15026,MATCH($A319,CS!$B:$B,0)+COLUMN(F$1),1))</f>
        <v/>
      </c>
      <c r="BM319" s="79" t="str">
        <f t="array" ref="BM319">IF($A319="","", INDEX(CS!$B$1:$B$15026,MATCH($A319,CS!$B:$B,0)+COLUMN(G$1),1))</f>
        <v/>
      </c>
      <c r="BN319" s="79" t="str">
        <f t="array" ref="BN319">IF($A319="","", INDEX(CS!$B$1:$B$15026,MATCH($A319,CS!$B:$B,0)+COLUMN(H$1),1))</f>
        <v/>
      </c>
      <c r="BO319" s="79" t="str">
        <f t="array" ref="BO319">IF($A319="","", INDEX(CS!$B$1:$B$15026,MATCH($A319,CS!$B:$B,0)+COLUMN(I$1),1))</f>
        <v/>
      </c>
      <c r="BP319" s="79" t="str">
        <f t="array" ref="BP319">IF($A319="","", INDEX(CS!$B$1:$B$15026,MATCH($A319,CS!$B:$B,0)+COLUMN(J$1),1))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INDEX(CS!$B$1:$B$15026,MATCH($A320,CS!$B:$B,0)+COLUMN(A$1),1))</f>
        <v/>
      </c>
      <c r="BH320" s="79" t="str">
        <f t="array" ref="BH320">IF($A320="","", INDEX(CS!$B$1:$B$15026,MATCH($A320,CS!$B:$B,0)+COLUMN(B$1),1))</f>
        <v/>
      </c>
      <c r="BI320" s="79" t="str">
        <f t="array" ref="BI320">IF($A320="","", INDEX(CS!$B$1:$B$15026,MATCH($A320,CS!$B:$B,0)+COLUMN(C$1),1))</f>
        <v/>
      </c>
      <c r="BJ320" s="79" t="str">
        <f t="array" ref="BJ320">IF($A320="","", INDEX(CS!$B$1:$B$15026,MATCH($A320,CS!$B:$B,0)+COLUMN(D$1),1))</f>
        <v/>
      </c>
      <c r="BK320" s="79" t="str">
        <f t="array" ref="BK320">IF($A320="","", INDEX(CS!$B$1:$B$15026,MATCH($A320,CS!$B:$B,0)+COLUMN(E$1),1))</f>
        <v/>
      </c>
      <c r="BL320" s="79" t="str">
        <f t="array" ref="BL320">IF($A320="","", INDEX(CS!$B$1:$B$15026,MATCH($A320,CS!$B:$B,0)+COLUMN(F$1),1))</f>
        <v/>
      </c>
      <c r="BM320" s="79" t="str">
        <f t="array" ref="BM320">IF($A320="","", INDEX(CS!$B$1:$B$15026,MATCH($A320,CS!$B:$B,0)+COLUMN(G$1),1))</f>
        <v/>
      </c>
      <c r="BN320" s="79" t="str">
        <f t="array" ref="BN320">IF($A320="","", INDEX(CS!$B$1:$B$15026,MATCH($A320,CS!$B:$B,0)+COLUMN(H$1),1))</f>
        <v/>
      </c>
      <c r="BO320" s="79" t="str">
        <f t="array" ref="BO320">IF($A320="","", INDEX(CS!$B$1:$B$15026,MATCH($A320,CS!$B:$B,0)+COLUMN(I$1),1))</f>
        <v/>
      </c>
      <c r="BP320" s="79" t="str">
        <f t="array" ref="BP320">IF($A320="","", INDEX(CS!$B$1:$B$15026,MATCH($A320,CS!$B:$B,0)+COLUMN(J$1),1))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INDEX(CS!$B$1:$B$15026,MATCH($A321,CS!$B:$B,0)+COLUMN(A$1),1))</f>
        <v/>
      </c>
      <c r="BH321" s="79" t="str">
        <f t="array" ref="BH321">IF($A321="","", INDEX(CS!$B$1:$B$15026,MATCH($A321,CS!$B:$B,0)+COLUMN(B$1),1))</f>
        <v/>
      </c>
      <c r="BI321" s="79" t="str">
        <f t="array" ref="BI321">IF($A321="","", INDEX(CS!$B$1:$B$15026,MATCH($A321,CS!$B:$B,0)+COLUMN(C$1),1))</f>
        <v/>
      </c>
      <c r="BJ321" s="79" t="str">
        <f t="array" ref="BJ321">IF($A321="","", INDEX(CS!$B$1:$B$15026,MATCH($A321,CS!$B:$B,0)+COLUMN(D$1),1))</f>
        <v/>
      </c>
      <c r="BK321" s="79" t="str">
        <f t="array" ref="BK321">IF($A321="","", INDEX(CS!$B$1:$B$15026,MATCH($A321,CS!$B:$B,0)+COLUMN(E$1),1))</f>
        <v/>
      </c>
      <c r="BL321" s="79" t="str">
        <f t="array" ref="BL321">IF($A321="","", INDEX(CS!$B$1:$B$15026,MATCH($A321,CS!$B:$B,0)+COLUMN(F$1),1))</f>
        <v/>
      </c>
      <c r="BM321" s="79" t="str">
        <f t="array" ref="BM321">IF($A321="","", INDEX(CS!$B$1:$B$15026,MATCH($A321,CS!$B:$B,0)+COLUMN(G$1),1))</f>
        <v/>
      </c>
      <c r="BN321" s="79" t="str">
        <f t="array" ref="BN321">IF($A321="","", INDEX(CS!$B$1:$B$15026,MATCH($A321,CS!$B:$B,0)+COLUMN(H$1),1))</f>
        <v/>
      </c>
      <c r="BO321" s="79" t="str">
        <f t="array" ref="BO321">IF($A321="","", INDEX(CS!$B$1:$B$15026,MATCH($A321,CS!$B:$B,0)+COLUMN(I$1),1))</f>
        <v/>
      </c>
      <c r="BP321" s="79" t="str">
        <f t="array" ref="BP321">IF($A321="","", INDEX(CS!$B$1:$B$15026,MATCH($A321,CS!$B:$B,0)+COLUMN(J$1),1))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INDEX(CS!$B$1:$B$15026,MATCH($A322,CS!$B:$B,0)+COLUMN(A$1),1))</f>
        <v/>
      </c>
      <c r="BH322" s="79" t="str">
        <f t="array" ref="BH322">IF($A322="","", INDEX(CS!$B$1:$B$15026,MATCH($A322,CS!$B:$B,0)+COLUMN(B$1),1))</f>
        <v/>
      </c>
      <c r="BI322" s="79" t="str">
        <f t="array" ref="BI322">IF($A322="","", INDEX(CS!$B$1:$B$15026,MATCH($A322,CS!$B:$B,0)+COLUMN(C$1),1))</f>
        <v/>
      </c>
      <c r="BJ322" s="79" t="str">
        <f t="array" ref="BJ322">IF($A322="","", INDEX(CS!$B$1:$B$15026,MATCH($A322,CS!$B:$B,0)+COLUMN(D$1),1))</f>
        <v/>
      </c>
      <c r="BK322" s="79" t="str">
        <f t="array" ref="BK322">IF($A322="","", INDEX(CS!$B$1:$B$15026,MATCH($A322,CS!$B:$B,0)+COLUMN(E$1),1))</f>
        <v/>
      </c>
      <c r="BL322" s="79" t="str">
        <f t="array" ref="BL322">IF($A322="","", INDEX(CS!$B$1:$B$15026,MATCH($A322,CS!$B:$B,0)+COLUMN(F$1),1))</f>
        <v/>
      </c>
      <c r="BM322" s="79" t="str">
        <f t="array" ref="BM322">IF($A322="","", INDEX(CS!$B$1:$B$15026,MATCH($A322,CS!$B:$B,0)+COLUMN(G$1),1))</f>
        <v/>
      </c>
      <c r="BN322" s="79" t="str">
        <f t="array" ref="BN322">IF($A322="","", INDEX(CS!$B$1:$B$15026,MATCH($A322,CS!$B:$B,0)+COLUMN(H$1),1))</f>
        <v/>
      </c>
      <c r="BO322" s="79" t="str">
        <f t="array" ref="BO322">IF($A322="","", INDEX(CS!$B$1:$B$15026,MATCH($A322,CS!$B:$B,0)+COLUMN(I$1),1))</f>
        <v/>
      </c>
      <c r="BP322" s="79" t="str">
        <f t="array" ref="BP322">IF($A322="","", INDEX(CS!$B$1:$B$15026,MATCH($A322,CS!$B:$B,0)+COLUMN(J$1),1))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INDEX(CS!$B$1:$B$15026,MATCH($A323,CS!$B:$B,0)+COLUMN(A$1),1))</f>
        <v/>
      </c>
      <c r="BH323" s="79" t="str">
        <f t="array" ref="BH323">IF($A323="","", INDEX(CS!$B$1:$B$15026,MATCH($A323,CS!$B:$B,0)+COLUMN(B$1),1))</f>
        <v/>
      </c>
      <c r="BI323" s="79" t="str">
        <f t="array" ref="BI323">IF($A323="","", INDEX(CS!$B$1:$B$15026,MATCH($A323,CS!$B:$B,0)+COLUMN(C$1),1))</f>
        <v/>
      </c>
      <c r="BJ323" s="79" t="str">
        <f t="array" ref="BJ323">IF($A323="","", INDEX(CS!$B$1:$B$15026,MATCH($A323,CS!$B:$B,0)+COLUMN(D$1),1))</f>
        <v/>
      </c>
      <c r="BK323" s="79" t="str">
        <f t="array" ref="BK323">IF($A323="","", INDEX(CS!$B$1:$B$15026,MATCH($A323,CS!$B:$B,0)+COLUMN(E$1),1))</f>
        <v/>
      </c>
      <c r="BL323" s="79" t="str">
        <f t="array" ref="BL323">IF($A323="","", INDEX(CS!$B$1:$B$15026,MATCH($A323,CS!$B:$B,0)+COLUMN(F$1),1))</f>
        <v/>
      </c>
      <c r="BM323" s="79" t="str">
        <f t="array" ref="BM323">IF($A323="","", INDEX(CS!$B$1:$B$15026,MATCH($A323,CS!$B:$B,0)+COLUMN(G$1),1))</f>
        <v/>
      </c>
      <c r="BN323" s="79" t="str">
        <f t="array" ref="BN323">IF($A323="","", INDEX(CS!$B$1:$B$15026,MATCH($A323,CS!$B:$B,0)+COLUMN(H$1),1))</f>
        <v/>
      </c>
      <c r="BO323" s="79" t="str">
        <f t="array" ref="BO323">IF($A323="","", INDEX(CS!$B$1:$B$15026,MATCH($A323,CS!$B:$B,0)+COLUMN(I$1),1))</f>
        <v/>
      </c>
      <c r="BP323" s="79" t="str">
        <f t="array" ref="BP323">IF($A323="","", INDEX(CS!$B$1:$B$15026,MATCH($A323,CS!$B:$B,0)+COLUMN(J$1),1))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INDEX(CS!$B$1:$B$15026,MATCH($A324,CS!$B:$B,0)+COLUMN(A$1),1))</f>
        <v/>
      </c>
      <c r="BH324" s="79" t="str">
        <f t="array" ref="BH324">IF($A324="","", INDEX(CS!$B$1:$B$15026,MATCH($A324,CS!$B:$B,0)+COLUMN(B$1),1))</f>
        <v/>
      </c>
      <c r="BI324" s="79" t="str">
        <f t="array" ref="BI324">IF($A324="","", INDEX(CS!$B$1:$B$15026,MATCH($A324,CS!$B:$B,0)+COLUMN(C$1),1))</f>
        <v/>
      </c>
      <c r="BJ324" s="79" t="str">
        <f t="array" ref="BJ324">IF($A324="","", INDEX(CS!$B$1:$B$15026,MATCH($A324,CS!$B:$B,0)+COLUMN(D$1),1))</f>
        <v/>
      </c>
      <c r="BK324" s="79" t="str">
        <f t="array" ref="BK324">IF($A324="","", INDEX(CS!$B$1:$B$15026,MATCH($A324,CS!$B:$B,0)+COLUMN(E$1),1))</f>
        <v/>
      </c>
      <c r="BL324" s="79" t="str">
        <f t="array" ref="BL324">IF($A324="","", INDEX(CS!$B$1:$B$15026,MATCH($A324,CS!$B:$B,0)+COLUMN(F$1),1))</f>
        <v/>
      </c>
      <c r="BM324" s="79" t="str">
        <f t="array" ref="BM324">IF($A324="","", INDEX(CS!$B$1:$B$15026,MATCH($A324,CS!$B:$B,0)+COLUMN(G$1),1))</f>
        <v/>
      </c>
      <c r="BN324" s="79" t="str">
        <f t="array" ref="BN324">IF($A324="","", INDEX(CS!$B$1:$B$15026,MATCH($A324,CS!$B:$B,0)+COLUMN(H$1),1))</f>
        <v/>
      </c>
      <c r="BO324" s="79" t="str">
        <f t="array" ref="BO324">IF($A324="","", INDEX(CS!$B$1:$B$15026,MATCH($A324,CS!$B:$B,0)+COLUMN(I$1),1))</f>
        <v/>
      </c>
      <c r="BP324" s="79" t="str">
        <f t="array" ref="BP324">IF($A324="","", INDEX(CS!$B$1:$B$15026,MATCH($A324,CS!$B:$B,0)+COLUMN(J$1),1))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INDEX(CS!$B$1:$B$15026,MATCH($A325,CS!$B:$B,0)+COLUMN(A$1),1))</f>
        <v/>
      </c>
      <c r="BH325" s="79" t="str">
        <f t="array" ref="BH325">IF($A325="","", INDEX(CS!$B$1:$B$15026,MATCH($A325,CS!$B:$B,0)+COLUMN(B$1),1))</f>
        <v/>
      </c>
      <c r="BI325" s="79" t="str">
        <f t="array" ref="BI325">IF($A325="","", INDEX(CS!$B$1:$B$15026,MATCH($A325,CS!$B:$B,0)+COLUMN(C$1),1))</f>
        <v/>
      </c>
      <c r="BJ325" s="79" t="str">
        <f t="array" ref="BJ325">IF($A325="","", INDEX(CS!$B$1:$B$15026,MATCH($A325,CS!$B:$B,0)+COLUMN(D$1),1))</f>
        <v/>
      </c>
      <c r="BK325" s="79" t="str">
        <f t="array" ref="BK325">IF($A325="","", INDEX(CS!$B$1:$B$15026,MATCH($A325,CS!$B:$B,0)+COLUMN(E$1),1))</f>
        <v/>
      </c>
      <c r="BL325" s="79" t="str">
        <f t="array" ref="BL325">IF($A325="","", INDEX(CS!$B$1:$B$15026,MATCH($A325,CS!$B:$B,0)+COLUMN(F$1),1))</f>
        <v/>
      </c>
      <c r="BM325" s="79" t="str">
        <f t="array" ref="BM325">IF($A325="","", INDEX(CS!$B$1:$B$15026,MATCH($A325,CS!$B:$B,0)+COLUMN(G$1),1))</f>
        <v/>
      </c>
      <c r="BN325" s="79" t="str">
        <f t="array" ref="BN325">IF($A325="","", INDEX(CS!$B$1:$B$15026,MATCH($A325,CS!$B:$B,0)+COLUMN(H$1),1))</f>
        <v/>
      </c>
      <c r="BO325" s="79" t="str">
        <f t="array" ref="BO325">IF($A325="","", INDEX(CS!$B$1:$B$15026,MATCH($A325,CS!$B:$B,0)+COLUMN(I$1),1))</f>
        <v/>
      </c>
      <c r="BP325" s="79" t="str">
        <f t="array" ref="BP325">IF($A325="","", INDEX(CS!$B$1:$B$15026,MATCH($A325,CS!$B:$B,0)+COLUMN(J$1),1))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INDEX(CS!$B$1:$B$15026,MATCH($A326,CS!$B:$B,0)+COLUMN(A$1),1))</f>
        <v/>
      </c>
      <c r="BH326" s="79" t="str">
        <f t="array" ref="BH326">IF($A326="","", INDEX(CS!$B$1:$B$15026,MATCH($A326,CS!$B:$B,0)+COLUMN(B$1),1))</f>
        <v/>
      </c>
      <c r="BI326" s="79" t="str">
        <f t="array" ref="BI326">IF($A326="","", INDEX(CS!$B$1:$B$15026,MATCH($A326,CS!$B:$B,0)+COLUMN(C$1),1))</f>
        <v/>
      </c>
      <c r="BJ326" s="79" t="str">
        <f t="array" ref="BJ326">IF($A326="","", INDEX(CS!$B$1:$B$15026,MATCH($A326,CS!$B:$B,0)+COLUMN(D$1),1))</f>
        <v/>
      </c>
      <c r="BK326" s="79" t="str">
        <f t="array" ref="BK326">IF($A326="","", INDEX(CS!$B$1:$B$15026,MATCH($A326,CS!$B:$B,0)+COLUMN(E$1),1))</f>
        <v/>
      </c>
      <c r="BL326" s="79" t="str">
        <f t="array" ref="BL326">IF($A326="","", INDEX(CS!$B$1:$B$15026,MATCH($A326,CS!$B:$B,0)+COLUMN(F$1),1))</f>
        <v/>
      </c>
      <c r="BM326" s="79" t="str">
        <f t="array" ref="BM326">IF($A326="","", INDEX(CS!$B$1:$B$15026,MATCH($A326,CS!$B:$B,0)+COLUMN(G$1),1))</f>
        <v/>
      </c>
      <c r="BN326" s="79" t="str">
        <f t="array" ref="BN326">IF($A326="","", INDEX(CS!$B$1:$B$15026,MATCH($A326,CS!$B:$B,0)+COLUMN(H$1),1))</f>
        <v/>
      </c>
      <c r="BO326" s="79" t="str">
        <f t="array" ref="BO326">IF($A326="","", INDEX(CS!$B$1:$B$15026,MATCH($A326,CS!$B:$B,0)+COLUMN(I$1),1))</f>
        <v/>
      </c>
      <c r="BP326" s="79" t="str">
        <f t="array" ref="BP326">IF($A326="","", INDEX(CS!$B$1:$B$15026,MATCH($A326,CS!$B:$B,0)+COLUMN(J$1),1))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INDEX(CS!$B$1:$B$15026,MATCH($A327,CS!$B:$B,0)+COLUMN(A$1),1))</f>
        <v/>
      </c>
      <c r="BH327" s="79" t="str">
        <f t="array" ref="BH327">IF($A327="","", INDEX(CS!$B$1:$B$15026,MATCH($A327,CS!$B:$B,0)+COLUMN(B$1),1))</f>
        <v/>
      </c>
      <c r="BI327" s="79" t="str">
        <f t="array" ref="BI327">IF($A327="","", INDEX(CS!$B$1:$B$15026,MATCH($A327,CS!$B:$B,0)+COLUMN(C$1),1))</f>
        <v/>
      </c>
      <c r="BJ327" s="79" t="str">
        <f t="array" ref="BJ327">IF($A327="","", INDEX(CS!$B$1:$B$15026,MATCH($A327,CS!$B:$B,0)+COLUMN(D$1),1))</f>
        <v/>
      </c>
      <c r="BK327" s="79" t="str">
        <f t="array" ref="BK327">IF($A327="","", INDEX(CS!$B$1:$B$15026,MATCH($A327,CS!$B:$B,0)+COLUMN(E$1),1))</f>
        <v/>
      </c>
      <c r="BL327" s="79" t="str">
        <f t="array" ref="BL327">IF($A327="","", INDEX(CS!$B$1:$B$15026,MATCH($A327,CS!$B:$B,0)+COLUMN(F$1),1))</f>
        <v/>
      </c>
      <c r="BM327" s="79" t="str">
        <f t="array" ref="BM327">IF($A327="","", INDEX(CS!$B$1:$B$15026,MATCH($A327,CS!$B:$B,0)+COLUMN(G$1),1))</f>
        <v/>
      </c>
      <c r="BN327" s="79" t="str">
        <f t="array" ref="BN327">IF($A327="","", INDEX(CS!$B$1:$B$15026,MATCH($A327,CS!$B:$B,0)+COLUMN(H$1),1))</f>
        <v/>
      </c>
      <c r="BO327" s="79" t="str">
        <f t="array" ref="BO327">IF($A327="","", INDEX(CS!$B$1:$B$15026,MATCH($A327,CS!$B:$B,0)+COLUMN(I$1),1))</f>
        <v/>
      </c>
      <c r="BP327" s="79" t="str">
        <f t="array" ref="BP327">IF($A327="","", INDEX(CS!$B$1:$B$15026,MATCH($A327,CS!$B:$B,0)+COLUMN(J$1),1))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INDEX(CS!$B$1:$B$15026,MATCH($A328,CS!$B:$B,0)+COLUMN(A$1),1))</f>
        <v/>
      </c>
      <c r="BH328" s="79" t="str">
        <f t="array" ref="BH328">IF($A328="","", INDEX(CS!$B$1:$B$15026,MATCH($A328,CS!$B:$B,0)+COLUMN(B$1),1))</f>
        <v/>
      </c>
      <c r="BI328" s="79" t="str">
        <f t="array" ref="BI328">IF($A328="","", INDEX(CS!$B$1:$B$15026,MATCH($A328,CS!$B:$B,0)+COLUMN(C$1),1))</f>
        <v/>
      </c>
      <c r="BJ328" s="79" t="str">
        <f t="array" ref="BJ328">IF($A328="","", INDEX(CS!$B$1:$B$15026,MATCH($A328,CS!$B:$B,0)+COLUMN(D$1),1))</f>
        <v/>
      </c>
      <c r="BK328" s="79" t="str">
        <f t="array" ref="BK328">IF($A328="","", INDEX(CS!$B$1:$B$15026,MATCH($A328,CS!$B:$B,0)+COLUMN(E$1),1))</f>
        <v/>
      </c>
      <c r="BL328" s="79" t="str">
        <f t="array" ref="BL328">IF($A328="","", INDEX(CS!$B$1:$B$15026,MATCH($A328,CS!$B:$B,0)+COLUMN(F$1),1))</f>
        <v/>
      </c>
      <c r="BM328" s="79" t="str">
        <f t="array" ref="BM328">IF($A328="","", INDEX(CS!$B$1:$B$15026,MATCH($A328,CS!$B:$B,0)+COLUMN(G$1),1))</f>
        <v/>
      </c>
      <c r="BN328" s="79" t="str">
        <f t="array" ref="BN328">IF($A328="","", INDEX(CS!$B$1:$B$15026,MATCH($A328,CS!$B:$B,0)+COLUMN(H$1),1))</f>
        <v/>
      </c>
      <c r="BO328" s="79" t="str">
        <f t="array" ref="BO328">IF($A328="","", INDEX(CS!$B$1:$B$15026,MATCH($A328,CS!$B:$B,0)+COLUMN(I$1),1))</f>
        <v/>
      </c>
      <c r="BP328" s="79" t="str">
        <f t="array" ref="BP328">IF($A328="","", INDEX(CS!$B$1:$B$15026,MATCH($A328,CS!$B:$B,0)+COLUMN(J$1),1))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INDEX(CS!$B$1:$B$15026,MATCH($A329,CS!$B:$B,0)+COLUMN(A$1),1))</f>
        <v/>
      </c>
      <c r="BH329" s="37" t="str">
        <f t="array" ref="BH329">IF($A329="","", INDEX(CS!$B$1:$B$15026,MATCH($A329,CS!$B:$B,0)+COLUMN(B$1),1))</f>
        <v/>
      </c>
      <c r="BI329" s="37" t="str">
        <f t="array" ref="BI329">IF($A329="","", INDEX(CS!$B$1:$B$15026,MATCH($A329,CS!$B:$B,0)+COLUMN(C$1),1))</f>
        <v/>
      </c>
      <c r="BJ329" s="37" t="str">
        <f t="array" ref="BJ329">IF($A329="","", INDEX(CS!$B$1:$B$15026,MATCH($A329,CS!$B:$B,0)+COLUMN(D$1),1))</f>
        <v/>
      </c>
      <c r="BK329" s="37" t="str">
        <f t="array" ref="BK329">IF($A329="","", INDEX(CS!$B$1:$B$15026,MATCH($A329,CS!$B:$B,0)+COLUMN(E$1),1))</f>
        <v/>
      </c>
      <c r="BL329" s="37" t="str">
        <f t="array" ref="BL329">IF($A329="","", INDEX(CS!$B$1:$B$15026,MATCH($A329,CS!$B:$B,0)+COLUMN(F$1),1))</f>
        <v/>
      </c>
      <c r="BM329" s="37" t="str">
        <f t="array" ref="BM329">IF($A329="","", INDEX(CS!$B$1:$B$15026,MATCH($A329,CS!$B:$B,0)+COLUMN(G$1),1))</f>
        <v/>
      </c>
      <c r="BN329" s="37" t="str">
        <f t="array" ref="BN329">IF($A329="","", INDEX(CS!$B$1:$B$15026,MATCH($A329,CS!$B:$B,0)+COLUMN(H$1),1))</f>
        <v/>
      </c>
      <c r="BO329" s="37" t="str">
        <f t="array" ref="BO329">IF($A329="","", INDEX(CS!$B$1:$B$15026,MATCH($A329,CS!$B:$B,0)+COLUMN(I$1),1))</f>
        <v/>
      </c>
      <c r="BP329" s="37" t="str">
        <f t="array" ref="BP329">IF($A329="","", INDEX(CS!$B$1:$B$15026,MATCH($A329,CS!$B:$B,0)+COLUMN(J$1),1))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INDEX(CS!$B$1:$B$15026,MATCH($A330,CS!$B:$B,0)+COLUMN(A$1),1))</f>
        <v/>
      </c>
      <c r="BH330" s="37" t="str">
        <f t="array" ref="BH330">IF($A330="","", INDEX(CS!$B$1:$B$15026,MATCH($A330,CS!$B:$B,0)+COLUMN(B$1),1))</f>
        <v/>
      </c>
      <c r="BI330" s="37" t="str">
        <f t="array" ref="BI330">IF($A330="","", INDEX(CS!$B$1:$B$15026,MATCH($A330,CS!$B:$B,0)+COLUMN(C$1),1))</f>
        <v/>
      </c>
      <c r="BJ330" s="37" t="str">
        <f t="array" ref="BJ330">IF($A330="","", INDEX(CS!$B$1:$B$15026,MATCH($A330,CS!$B:$B,0)+COLUMN(D$1),1))</f>
        <v/>
      </c>
      <c r="BK330" s="37" t="str">
        <f t="array" ref="BK330">IF($A330="","", INDEX(CS!$B$1:$B$15026,MATCH($A330,CS!$B:$B,0)+COLUMN(E$1),1))</f>
        <v/>
      </c>
      <c r="BL330" s="37" t="str">
        <f t="array" ref="BL330">IF($A330="","", INDEX(CS!$B$1:$B$15026,MATCH($A330,CS!$B:$B,0)+COLUMN(F$1),1))</f>
        <v/>
      </c>
      <c r="BM330" s="37" t="str">
        <f t="array" ref="BM330">IF($A330="","", INDEX(CS!$B$1:$B$15026,MATCH($A330,CS!$B:$B,0)+COLUMN(G$1),1))</f>
        <v/>
      </c>
      <c r="BN330" s="37" t="str">
        <f t="array" ref="BN330">IF($A330="","", INDEX(CS!$B$1:$B$15026,MATCH($A330,CS!$B:$B,0)+COLUMN(H$1),1))</f>
        <v/>
      </c>
      <c r="BO330" s="37" t="str">
        <f t="array" ref="BO330">IF($A330="","", INDEX(CS!$B$1:$B$15026,MATCH($A330,CS!$B:$B,0)+COLUMN(I$1),1))</f>
        <v/>
      </c>
      <c r="BP330" s="37" t="str">
        <f t="array" ref="BP330">IF($A330="","", INDEX(CS!$B$1:$B$15026,MATCH($A330,CS!$B:$B,0)+COLUMN(J$1),1))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INDEX(CS!$B$1:$B$15026,MATCH($A331,CS!$B:$B,0)+COLUMN(A$1),1))</f>
        <v/>
      </c>
      <c r="BH331" s="37" t="str">
        <f t="array" ref="BH331">IF($A331="","", INDEX(CS!$B$1:$B$15026,MATCH($A331,CS!$B:$B,0)+COLUMN(B$1),1))</f>
        <v/>
      </c>
      <c r="BI331" s="37" t="str">
        <f t="array" ref="BI331">IF($A331="","", INDEX(CS!$B$1:$B$15026,MATCH($A331,CS!$B:$B,0)+COLUMN(C$1),1))</f>
        <v/>
      </c>
      <c r="BJ331" s="37" t="str">
        <f t="array" ref="BJ331">IF($A331="","", INDEX(CS!$B$1:$B$15026,MATCH($A331,CS!$B:$B,0)+COLUMN(D$1),1))</f>
        <v/>
      </c>
      <c r="BK331" s="37" t="str">
        <f t="array" ref="BK331">IF($A331="","", INDEX(CS!$B$1:$B$15026,MATCH($A331,CS!$B:$B,0)+COLUMN(E$1),1))</f>
        <v/>
      </c>
      <c r="BL331" s="37" t="str">
        <f t="array" ref="BL331">IF($A331="","", INDEX(CS!$B$1:$B$15026,MATCH($A331,CS!$B:$B,0)+COLUMN(F$1),1))</f>
        <v/>
      </c>
      <c r="BM331" s="37" t="str">
        <f t="array" ref="BM331">IF($A331="","", INDEX(CS!$B$1:$B$15026,MATCH($A331,CS!$B:$B,0)+COLUMN(G$1),1))</f>
        <v/>
      </c>
      <c r="BN331" s="37" t="str">
        <f t="array" ref="BN331">IF($A331="","", INDEX(CS!$B$1:$B$15026,MATCH($A331,CS!$B:$B,0)+COLUMN(H$1),1))</f>
        <v/>
      </c>
      <c r="BO331" s="37" t="str">
        <f t="array" ref="BO331">IF($A331="","", INDEX(CS!$B$1:$B$15026,MATCH($A331,CS!$B:$B,0)+COLUMN(I$1),1))</f>
        <v/>
      </c>
      <c r="BP331" s="37" t="str">
        <f t="array" ref="BP331">IF($A331="","", INDEX(CS!$B$1:$B$15026,MATCH($A331,CS!$B:$B,0)+COLUMN(J$1),1))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INDEX(CS!$B$1:$B$15026,MATCH($A332,CS!$B:$B,0)+COLUMN(A$1),1))</f>
        <v/>
      </c>
      <c r="BH332" s="37" t="str">
        <f t="array" ref="BH332">IF($A332="","", INDEX(CS!$B$1:$B$15026,MATCH($A332,CS!$B:$B,0)+COLUMN(B$1),1))</f>
        <v/>
      </c>
      <c r="BI332" s="37" t="str">
        <f t="array" ref="BI332">IF($A332="","", INDEX(CS!$B$1:$B$15026,MATCH($A332,CS!$B:$B,0)+COLUMN(C$1),1))</f>
        <v/>
      </c>
      <c r="BJ332" s="37" t="str">
        <f t="array" ref="BJ332">IF($A332="","", INDEX(CS!$B$1:$B$15026,MATCH($A332,CS!$B:$B,0)+COLUMN(D$1),1))</f>
        <v/>
      </c>
      <c r="BK332" s="37" t="str">
        <f t="array" ref="BK332">IF($A332="","", INDEX(CS!$B$1:$B$15026,MATCH($A332,CS!$B:$B,0)+COLUMN(E$1),1))</f>
        <v/>
      </c>
      <c r="BL332" s="37" t="str">
        <f t="array" ref="BL332">IF($A332="","", INDEX(CS!$B$1:$B$15026,MATCH($A332,CS!$B:$B,0)+COLUMN(F$1),1))</f>
        <v/>
      </c>
      <c r="BM332" s="37" t="str">
        <f t="array" ref="BM332">IF($A332="","", INDEX(CS!$B$1:$B$15026,MATCH($A332,CS!$B:$B,0)+COLUMN(G$1),1))</f>
        <v/>
      </c>
      <c r="BN332" s="37" t="str">
        <f t="array" ref="BN332">IF($A332="","", INDEX(CS!$B$1:$B$15026,MATCH($A332,CS!$B:$B,0)+COLUMN(H$1),1))</f>
        <v/>
      </c>
      <c r="BO332" s="37" t="str">
        <f t="array" ref="BO332">IF($A332="","", INDEX(CS!$B$1:$B$15026,MATCH($A332,CS!$B:$B,0)+COLUMN(I$1),1))</f>
        <v/>
      </c>
      <c r="BP332" s="37" t="str">
        <f t="array" ref="BP332">IF($A332="","", INDEX(CS!$B$1:$B$15026,MATCH($A332,CS!$B:$B,0)+COLUMN(J$1),1))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INDEX(CS!$B$1:$B$15026,MATCH($A333,CS!$B:$B,0)+COLUMN(A$1),1))</f>
        <v/>
      </c>
      <c r="BH333" s="37" t="str">
        <f t="array" ref="BH333">IF($A333="","", INDEX(CS!$B$1:$B$15026,MATCH($A333,CS!$B:$B,0)+COLUMN(B$1),1))</f>
        <v/>
      </c>
      <c r="BI333" s="37" t="str">
        <f t="array" ref="BI333">IF($A333="","", INDEX(CS!$B$1:$B$15026,MATCH($A333,CS!$B:$B,0)+COLUMN(C$1),1))</f>
        <v/>
      </c>
      <c r="BJ333" s="37" t="str">
        <f t="array" ref="BJ333">IF($A333="","", INDEX(CS!$B$1:$B$15026,MATCH($A333,CS!$B:$B,0)+COLUMN(D$1),1))</f>
        <v/>
      </c>
      <c r="BK333" s="37" t="str">
        <f t="array" ref="BK333">IF($A333="","", INDEX(CS!$B$1:$B$15026,MATCH($A333,CS!$B:$B,0)+COLUMN(E$1),1))</f>
        <v/>
      </c>
      <c r="BL333" s="37" t="str">
        <f t="array" ref="BL333">IF($A333="","", INDEX(CS!$B$1:$B$15026,MATCH($A333,CS!$B:$B,0)+COLUMN(F$1),1))</f>
        <v/>
      </c>
      <c r="BM333" s="37" t="str">
        <f t="array" ref="BM333">IF($A333="","", INDEX(CS!$B$1:$B$15026,MATCH($A333,CS!$B:$B,0)+COLUMN(G$1),1))</f>
        <v/>
      </c>
      <c r="BN333" s="37" t="str">
        <f t="array" ref="BN333">IF($A333="","", INDEX(CS!$B$1:$B$15026,MATCH($A333,CS!$B:$B,0)+COLUMN(H$1),1))</f>
        <v/>
      </c>
      <c r="BO333" s="37" t="str">
        <f t="array" ref="BO333">IF($A333="","", INDEX(CS!$B$1:$B$15026,MATCH($A333,CS!$B:$B,0)+COLUMN(I$1),1))</f>
        <v/>
      </c>
      <c r="BP333" s="37" t="str">
        <f t="array" ref="BP333">IF($A333="","", INDEX(CS!$B$1:$B$15026,MATCH($A333,CS!$B:$B,0)+COLUMN(J$1),1))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INDEX(CS!$B$1:$B$15026,MATCH($A334,CS!$B:$B,0)+COLUMN(A$1),1))</f>
        <v/>
      </c>
      <c r="BH334" s="37" t="str">
        <f t="array" ref="BH334">IF($A334="","", INDEX(CS!$B$1:$B$15026,MATCH($A334,CS!$B:$B,0)+COLUMN(B$1),1))</f>
        <v/>
      </c>
      <c r="BI334" s="37" t="str">
        <f t="array" ref="BI334">IF($A334="","", INDEX(CS!$B$1:$B$15026,MATCH($A334,CS!$B:$B,0)+COLUMN(C$1),1))</f>
        <v/>
      </c>
      <c r="BJ334" s="37" t="str">
        <f t="array" ref="BJ334">IF($A334="","", INDEX(CS!$B$1:$B$15026,MATCH($A334,CS!$B:$B,0)+COLUMN(D$1),1))</f>
        <v/>
      </c>
      <c r="BK334" s="37" t="str">
        <f t="array" ref="BK334">IF($A334="","", INDEX(CS!$B$1:$B$15026,MATCH($A334,CS!$B:$B,0)+COLUMN(E$1),1))</f>
        <v/>
      </c>
      <c r="BL334" s="37" t="str">
        <f t="array" ref="BL334">IF($A334="","", INDEX(CS!$B$1:$B$15026,MATCH($A334,CS!$B:$B,0)+COLUMN(F$1),1))</f>
        <v/>
      </c>
      <c r="BM334" s="37" t="str">
        <f t="array" ref="BM334">IF($A334="","", INDEX(CS!$B$1:$B$15026,MATCH($A334,CS!$B:$B,0)+COLUMN(G$1),1))</f>
        <v/>
      </c>
      <c r="BN334" s="37" t="str">
        <f t="array" ref="BN334">IF($A334="","", INDEX(CS!$B$1:$B$15026,MATCH($A334,CS!$B:$B,0)+COLUMN(H$1),1))</f>
        <v/>
      </c>
      <c r="BO334" s="37" t="str">
        <f t="array" ref="BO334">IF($A334="","", INDEX(CS!$B$1:$B$15026,MATCH($A334,CS!$B:$B,0)+COLUMN(I$1),1))</f>
        <v/>
      </c>
      <c r="BP334" s="37" t="str">
        <f t="array" ref="BP334">IF($A334="","", INDEX(CS!$B$1:$B$15026,MATCH($A334,CS!$B:$B,0)+COLUMN(J$1),1))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INDEX(CS!$B$1:$B$15026,MATCH($A335,CS!$B:$B,0)+COLUMN(A$1),1))</f>
        <v/>
      </c>
      <c r="BH335" s="37" t="str">
        <f t="array" ref="BH335">IF($A335="","", INDEX(CS!$B$1:$B$15026,MATCH($A335,CS!$B:$B,0)+COLUMN(B$1),1))</f>
        <v/>
      </c>
      <c r="BI335" s="37" t="str">
        <f t="array" ref="BI335">IF($A335="","", INDEX(CS!$B$1:$B$15026,MATCH($A335,CS!$B:$B,0)+COLUMN(C$1),1))</f>
        <v/>
      </c>
      <c r="BJ335" s="37" t="str">
        <f t="array" ref="BJ335">IF($A335="","", INDEX(CS!$B$1:$B$15026,MATCH($A335,CS!$B:$B,0)+COLUMN(D$1),1))</f>
        <v/>
      </c>
      <c r="BK335" s="37" t="str">
        <f t="array" ref="BK335">IF($A335="","", INDEX(CS!$B$1:$B$15026,MATCH($A335,CS!$B:$B,0)+COLUMN(E$1),1))</f>
        <v/>
      </c>
      <c r="BL335" s="37" t="str">
        <f t="array" ref="BL335">IF($A335="","", INDEX(CS!$B$1:$B$15026,MATCH($A335,CS!$B:$B,0)+COLUMN(F$1),1))</f>
        <v/>
      </c>
      <c r="BM335" s="37" t="str">
        <f t="array" ref="BM335">IF($A335="","", INDEX(CS!$B$1:$B$15026,MATCH($A335,CS!$B:$B,0)+COLUMN(G$1),1))</f>
        <v/>
      </c>
      <c r="BN335" s="37" t="str">
        <f t="array" ref="BN335">IF($A335="","", INDEX(CS!$B$1:$B$15026,MATCH($A335,CS!$B:$B,0)+COLUMN(H$1),1))</f>
        <v/>
      </c>
      <c r="BO335" s="37" t="str">
        <f t="array" ref="BO335">IF($A335="","", INDEX(CS!$B$1:$B$15026,MATCH($A335,CS!$B:$B,0)+COLUMN(I$1),1))</f>
        <v/>
      </c>
      <c r="BP335" s="37" t="str">
        <f t="array" ref="BP335">IF($A335="","", INDEX(CS!$B$1:$B$15026,MATCH($A335,CS!$B:$B,0)+COLUMN(J$1),1))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INDEX(CS!$B$1:$B$15026,MATCH($A336,CS!$B:$B,0)+COLUMN(A$1),1))</f>
        <v/>
      </c>
      <c r="BH336" s="37" t="str">
        <f t="array" ref="BH336">IF($A336="","", INDEX(CS!$B$1:$B$15026,MATCH($A336,CS!$B:$B,0)+COLUMN(B$1),1))</f>
        <v/>
      </c>
      <c r="BI336" s="37" t="str">
        <f t="array" ref="BI336">IF($A336="","", INDEX(CS!$B$1:$B$15026,MATCH($A336,CS!$B:$B,0)+COLUMN(C$1),1))</f>
        <v/>
      </c>
      <c r="BJ336" s="37" t="str">
        <f t="array" ref="BJ336">IF($A336="","", INDEX(CS!$B$1:$B$15026,MATCH($A336,CS!$B:$B,0)+COLUMN(D$1),1))</f>
        <v/>
      </c>
      <c r="BK336" s="37" t="str">
        <f t="array" ref="BK336">IF($A336="","", INDEX(CS!$B$1:$B$15026,MATCH($A336,CS!$B:$B,0)+COLUMN(E$1),1))</f>
        <v/>
      </c>
      <c r="BL336" s="37" t="str">
        <f t="array" ref="BL336">IF($A336="","", INDEX(CS!$B$1:$B$15026,MATCH($A336,CS!$B:$B,0)+COLUMN(F$1),1))</f>
        <v/>
      </c>
      <c r="BM336" s="37" t="str">
        <f t="array" ref="BM336">IF($A336="","", INDEX(CS!$B$1:$B$15026,MATCH($A336,CS!$B:$B,0)+COLUMN(G$1),1))</f>
        <v/>
      </c>
      <c r="BN336" s="37" t="str">
        <f t="array" ref="BN336">IF($A336="","", INDEX(CS!$B$1:$B$15026,MATCH($A336,CS!$B:$B,0)+COLUMN(H$1),1))</f>
        <v/>
      </c>
      <c r="BO336" s="37" t="str">
        <f t="array" ref="BO336">IF($A336="","", INDEX(CS!$B$1:$B$15026,MATCH($A336,CS!$B:$B,0)+COLUMN(I$1),1))</f>
        <v/>
      </c>
      <c r="BP336" s="37" t="str">
        <f t="array" ref="BP336">IF($A336="","", INDEX(CS!$B$1:$B$15026,MATCH($A336,CS!$B:$B,0)+COLUMN(J$1),1))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INDEX(CS!$B$1:$B$15026,MATCH($A337,CS!$B:$B,0)+COLUMN(A$1),1))</f>
        <v/>
      </c>
      <c r="BH337" s="37" t="str">
        <f t="array" ref="BH337">IF($A337="","", INDEX(CS!$B$1:$B$15026,MATCH($A337,CS!$B:$B,0)+COLUMN(B$1),1))</f>
        <v/>
      </c>
      <c r="BI337" s="37" t="str">
        <f t="array" ref="BI337">IF($A337="","", INDEX(CS!$B$1:$B$15026,MATCH($A337,CS!$B:$B,0)+COLUMN(C$1),1))</f>
        <v/>
      </c>
      <c r="BJ337" s="37" t="str">
        <f t="array" ref="BJ337">IF($A337="","", INDEX(CS!$B$1:$B$15026,MATCH($A337,CS!$B:$B,0)+COLUMN(D$1),1))</f>
        <v/>
      </c>
      <c r="BK337" s="37" t="str">
        <f t="array" ref="BK337">IF($A337="","", INDEX(CS!$B$1:$B$15026,MATCH($A337,CS!$B:$B,0)+COLUMN(E$1),1))</f>
        <v/>
      </c>
      <c r="BL337" s="37" t="str">
        <f t="array" ref="BL337">IF($A337="","", INDEX(CS!$B$1:$B$15026,MATCH($A337,CS!$B:$B,0)+COLUMN(F$1),1))</f>
        <v/>
      </c>
      <c r="BM337" s="37" t="str">
        <f t="array" ref="BM337">IF($A337="","", INDEX(CS!$B$1:$B$15026,MATCH($A337,CS!$B:$B,0)+COLUMN(G$1),1))</f>
        <v/>
      </c>
      <c r="BN337" s="37" t="str">
        <f t="array" ref="BN337">IF($A337="","", INDEX(CS!$B$1:$B$15026,MATCH($A337,CS!$B:$B,0)+COLUMN(H$1),1))</f>
        <v/>
      </c>
      <c r="BO337" s="37" t="str">
        <f t="array" ref="BO337">IF($A337="","", INDEX(CS!$B$1:$B$15026,MATCH($A337,CS!$B:$B,0)+COLUMN(I$1),1))</f>
        <v/>
      </c>
      <c r="BP337" s="37" t="str">
        <f t="array" ref="BP337">IF($A337="","", INDEX(CS!$B$1:$B$15026,MATCH($A337,CS!$B:$B,0)+COLUMN(J$1),1))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INDEX(CS!$B$1:$B$15026,MATCH($A338,CS!$B:$B,0)+COLUMN(A$1),1))</f>
        <v/>
      </c>
      <c r="BH338" s="37" t="str">
        <f t="array" ref="BH338">IF($A338="","", INDEX(CS!$B$1:$B$15026,MATCH($A338,CS!$B:$B,0)+COLUMN(B$1),1))</f>
        <v/>
      </c>
      <c r="BI338" s="37" t="str">
        <f t="array" ref="BI338">IF($A338="","", INDEX(CS!$B$1:$B$15026,MATCH($A338,CS!$B:$B,0)+COLUMN(C$1),1))</f>
        <v/>
      </c>
      <c r="BJ338" s="37" t="str">
        <f t="array" ref="BJ338">IF($A338="","", INDEX(CS!$B$1:$B$15026,MATCH($A338,CS!$B:$B,0)+COLUMN(D$1),1))</f>
        <v/>
      </c>
      <c r="BK338" s="37" t="str">
        <f t="array" ref="BK338">IF($A338="","", INDEX(CS!$B$1:$B$15026,MATCH($A338,CS!$B:$B,0)+COLUMN(E$1),1))</f>
        <v/>
      </c>
      <c r="BL338" s="37" t="str">
        <f t="array" ref="BL338">IF($A338="","", INDEX(CS!$B$1:$B$15026,MATCH($A338,CS!$B:$B,0)+COLUMN(F$1),1))</f>
        <v/>
      </c>
      <c r="BM338" s="37" t="str">
        <f t="array" ref="BM338">IF($A338="","", INDEX(CS!$B$1:$B$15026,MATCH($A338,CS!$B:$B,0)+COLUMN(G$1),1))</f>
        <v/>
      </c>
      <c r="BN338" s="37" t="str">
        <f t="array" ref="BN338">IF($A338="","", INDEX(CS!$B$1:$B$15026,MATCH($A338,CS!$B:$B,0)+COLUMN(H$1),1))</f>
        <v/>
      </c>
      <c r="BO338" s="37" t="str">
        <f t="array" ref="BO338">IF($A338="","", INDEX(CS!$B$1:$B$15026,MATCH($A338,CS!$B:$B,0)+COLUMN(I$1),1))</f>
        <v/>
      </c>
      <c r="BP338" s="37" t="str">
        <f t="array" ref="BP338">IF($A338="","", INDEX(CS!$B$1:$B$15026,MATCH($A338,CS!$B:$B,0)+COLUMN(J$1),1))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INDEX(CS!$B$1:$B$15026,MATCH($A339,CS!$B:$B,0)+COLUMN(A$1),1))</f>
        <v/>
      </c>
      <c r="BH339" s="37" t="str">
        <f t="array" ref="BH339">IF($A339="","", INDEX(CS!$B$1:$B$15026,MATCH($A339,CS!$B:$B,0)+COLUMN(B$1),1))</f>
        <v/>
      </c>
      <c r="BI339" s="37" t="str">
        <f t="array" ref="BI339">IF($A339="","", INDEX(CS!$B$1:$B$15026,MATCH($A339,CS!$B:$B,0)+COLUMN(C$1),1))</f>
        <v/>
      </c>
      <c r="BJ339" s="37" t="str">
        <f t="array" ref="BJ339">IF($A339="","", INDEX(CS!$B$1:$B$15026,MATCH($A339,CS!$B:$B,0)+COLUMN(D$1),1))</f>
        <v/>
      </c>
      <c r="BK339" s="37" t="str">
        <f t="array" ref="BK339">IF($A339="","", INDEX(CS!$B$1:$B$15026,MATCH($A339,CS!$B:$B,0)+COLUMN(E$1),1))</f>
        <v/>
      </c>
      <c r="BL339" s="37" t="str">
        <f t="array" ref="BL339">IF($A339="","", INDEX(CS!$B$1:$B$15026,MATCH($A339,CS!$B:$B,0)+COLUMN(F$1),1))</f>
        <v/>
      </c>
      <c r="BM339" s="37" t="str">
        <f t="array" ref="BM339">IF($A339="","", INDEX(CS!$B$1:$B$15026,MATCH($A339,CS!$B:$B,0)+COLUMN(G$1),1))</f>
        <v/>
      </c>
      <c r="BN339" s="37" t="str">
        <f t="array" ref="BN339">IF($A339="","", INDEX(CS!$B$1:$B$15026,MATCH($A339,CS!$B:$B,0)+COLUMN(H$1),1))</f>
        <v/>
      </c>
      <c r="BO339" s="37" t="str">
        <f t="array" ref="BO339">IF($A339="","", INDEX(CS!$B$1:$B$15026,MATCH($A339,CS!$B:$B,0)+COLUMN(I$1),1))</f>
        <v/>
      </c>
      <c r="BP339" s="37" t="str">
        <f t="array" ref="BP339">IF($A339="","", INDEX(CS!$B$1:$B$15026,MATCH($A339,CS!$B:$B,0)+COLUMN(J$1),1))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INDEX(CS!$B$1:$B$15026,MATCH($A340,CS!$B:$B,0)+COLUMN(A$1),1))</f>
        <v/>
      </c>
      <c r="BH340" s="37" t="str">
        <f t="array" ref="BH340">IF($A340="","", INDEX(CS!$B$1:$B$15026,MATCH($A340,CS!$B:$B,0)+COLUMN(B$1),1))</f>
        <v/>
      </c>
      <c r="BI340" s="37" t="str">
        <f t="array" ref="BI340">IF($A340="","", INDEX(CS!$B$1:$B$15026,MATCH($A340,CS!$B:$B,0)+COLUMN(C$1),1))</f>
        <v/>
      </c>
      <c r="BJ340" s="37" t="str">
        <f t="array" ref="BJ340">IF($A340="","", INDEX(CS!$B$1:$B$15026,MATCH($A340,CS!$B:$B,0)+COLUMN(D$1),1))</f>
        <v/>
      </c>
      <c r="BK340" s="37" t="str">
        <f t="array" ref="BK340">IF($A340="","", INDEX(CS!$B$1:$B$15026,MATCH($A340,CS!$B:$B,0)+COLUMN(E$1),1))</f>
        <v/>
      </c>
      <c r="BL340" s="37" t="str">
        <f t="array" ref="BL340">IF($A340="","", INDEX(CS!$B$1:$B$15026,MATCH($A340,CS!$B:$B,0)+COLUMN(F$1),1))</f>
        <v/>
      </c>
      <c r="BM340" s="37" t="str">
        <f t="array" ref="BM340">IF($A340="","", INDEX(CS!$B$1:$B$15026,MATCH($A340,CS!$B:$B,0)+COLUMN(G$1),1))</f>
        <v/>
      </c>
      <c r="BN340" s="37" t="str">
        <f t="array" ref="BN340">IF($A340="","", INDEX(CS!$B$1:$B$15026,MATCH($A340,CS!$B:$B,0)+COLUMN(H$1),1))</f>
        <v/>
      </c>
      <c r="BO340" s="37" t="str">
        <f t="array" ref="BO340">IF($A340="","", INDEX(CS!$B$1:$B$15026,MATCH($A340,CS!$B:$B,0)+COLUMN(I$1),1))</f>
        <v/>
      </c>
      <c r="BP340" s="37" t="str">
        <f t="array" ref="BP340">IF($A340="","", INDEX(CS!$B$1:$B$15026,MATCH($A340,CS!$B:$B,0)+COLUMN(J$1),1))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INDEX(CS!$B$1:$B$15026,MATCH($A341,CS!$B:$B,0)+COLUMN(A$1),1))</f>
        <v/>
      </c>
      <c r="BH341" s="37" t="str">
        <f t="array" ref="BH341">IF($A341="","", INDEX(CS!$B$1:$B$15026,MATCH($A341,CS!$B:$B,0)+COLUMN(B$1),1))</f>
        <v/>
      </c>
      <c r="BI341" s="37" t="str">
        <f t="array" ref="BI341">IF($A341="","", INDEX(CS!$B$1:$B$15026,MATCH($A341,CS!$B:$B,0)+COLUMN(C$1),1))</f>
        <v/>
      </c>
      <c r="BJ341" s="37" t="str">
        <f t="array" ref="BJ341">IF($A341="","", INDEX(CS!$B$1:$B$15026,MATCH($A341,CS!$B:$B,0)+COLUMN(D$1),1))</f>
        <v/>
      </c>
      <c r="BK341" s="37" t="str">
        <f t="array" ref="BK341">IF($A341="","", INDEX(CS!$B$1:$B$15026,MATCH($A341,CS!$B:$B,0)+COLUMN(E$1),1))</f>
        <v/>
      </c>
      <c r="BL341" s="37" t="str">
        <f t="array" ref="BL341">IF($A341="","", INDEX(CS!$B$1:$B$15026,MATCH($A341,CS!$B:$B,0)+COLUMN(F$1),1))</f>
        <v/>
      </c>
      <c r="BM341" s="37" t="str">
        <f t="array" ref="BM341">IF($A341="","", INDEX(CS!$B$1:$B$15026,MATCH($A341,CS!$B:$B,0)+COLUMN(G$1),1))</f>
        <v/>
      </c>
      <c r="BN341" s="37" t="str">
        <f t="array" ref="BN341">IF($A341="","", INDEX(CS!$B$1:$B$15026,MATCH($A341,CS!$B:$B,0)+COLUMN(H$1),1))</f>
        <v/>
      </c>
      <c r="BO341" s="37" t="str">
        <f t="array" ref="BO341">IF($A341="","", INDEX(CS!$B$1:$B$15026,MATCH($A341,CS!$B:$B,0)+COLUMN(I$1),1))</f>
        <v/>
      </c>
      <c r="BP341" s="37" t="str">
        <f t="array" ref="BP341">IF($A341="","", INDEX(CS!$B$1:$B$15026,MATCH($A341,CS!$B:$B,0)+COLUMN(J$1),1))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INDEX(CS!$B$1:$B$15026,MATCH($A342,CS!$B:$B,0)+COLUMN(A$1),1))</f>
        <v/>
      </c>
      <c r="BH342" s="37" t="str">
        <f t="array" ref="BH342">IF($A342="","", INDEX(CS!$B$1:$B$15026,MATCH($A342,CS!$B:$B,0)+COLUMN(B$1),1))</f>
        <v/>
      </c>
      <c r="BI342" s="37" t="str">
        <f t="array" ref="BI342">IF($A342="","", INDEX(CS!$B$1:$B$15026,MATCH($A342,CS!$B:$B,0)+COLUMN(C$1),1))</f>
        <v/>
      </c>
      <c r="BJ342" s="37" t="str">
        <f t="array" ref="BJ342">IF($A342="","", INDEX(CS!$B$1:$B$15026,MATCH($A342,CS!$B:$B,0)+COLUMN(D$1),1))</f>
        <v/>
      </c>
      <c r="BK342" s="37" t="str">
        <f t="array" ref="BK342">IF($A342="","", INDEX(CS!$B$1:$B$15026,MATCH($A342,CS!$B:$B,0)+COLUMN(E$1),1))</f>
        <v/>
      </c>
      <c r="BL342" s="37" t="str">
        <f t="array" ref="BL342">IF($A342="","", INDEX(CS!$B$1:$B$15026,MATCH($A342,CS!$B:$B,0)+COLUMN(F$1),1))</f>
        <v/>
      </c>
      <c r="BM342" s="37" t="str">
        <f t="array" ref="BM342">IF($A342="","", INDEX(CS!$B$1:$B$15026,MATCH($A342,CS!$B:$B,0)+COLUMN(G$1),1))</f>
        <v/>
      </c>
      <c r="BN342" s="37" t="str">
        <f t="array" ref="BN342">IF($A342="","", INDEX(CS!$B$1:$B$15026,MATCH($A342,CS!$B:$B,0)+COLUMN(H$1),1))</f>
        <v/>
      </c>
      <c r="BO342" s="37" t="str">
        <f t="array" ref="BO342">IF($A342="","", INDEX(CS!$B$1:$B$15026,MATCH($A342,CS!$B:$B,0)+COLUMN(I$1),1))</f>
        <v/>
      </c>
      <c r="BP342" s="37" t="str">
        <f t="array" ref="BP342">IF($A342="","", INDEX(CS!$B$1:$B$15026,MATCH($A342,CS!$B:$B,0)+COLUMN(J$1),1))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INDEX(CS!$B$1:$B$15026,MATCH($A343,CS!$B:$B,0)+COLUMN(A$1),1))</f>
        <v/>
      </c>
      <c r="BH343" s="37" t="str">
        <f t="array" ref="BH343">IF($A343="","", INDEX(CS!$B$1:$B$15026,MATCH($A343,CS!$B:$B,0)+COLUMN(B$1),1))</f>
        <v/>
      </c>
      <c r="BI343" s="37" t="str">
        <f t="array" ref="BI343">IF($A343="","", INDEX(CS!$B$1:$B$15026,MATCH($A343,CS!$B:$B,0)+COLUMN(C$1),1))</f>
        <v/>
      </c>
      <c r="BJ343" s="37" t="str">
        <f t="array" ref="BJ343">IF($A343="","", INDEX(CS!$B$1:$B$15026,MATCH($A343,CS!$B:$B,0)+COLUMN(D$1),1))</f>
        <v/>
      </c>
      <c r="BK343" s="37" t="str">
        <f t="array" ref="BK343">IF($A343="","", INDEX(CS!$B$1:$B$15026,MATCH($A343,CS!$B:$B,0)+COLUMN(E$1),1))</f>
        <v/>
      </c>
      <c r="BL343" s="37" t="str">
        <f t="array" ref="BL343">IF($A343="","", INDEX(CS!$B$1:$B$15026,MATCH($A343,CS!$B:$B,0)+COLUMN(F$1),1))</f>
        <v/>
      </c>
      <c r="BM343" s="37" t="str">
        <f t="array" ref="BM343">IF($A343="","", INDEX(CS!$B$1:$B$15026,MATCH($A343,CS!$B:$B,0)+COLUMN(G$1),1))</f>
        <v/>
      </c>
      <c r="BN343" s="37" t="str">
        <f t="array" ref="BN343">IF($A343="","", INDEX(CS!$B$1:$B$15026,MATCH($A343,CS!$B:$B,0)+COLUMN(H$1),1))</f>
        <v/>
      </c>
      <c r="BO343" s="37" t="str">
        <f t="array" ref="BO343">IF($A343="","", INDEX(CS!$B$1:$B$15026,MATCH($A343,CS!$B:$B,0)+COLUMN(I$1),1))</f>
        <v/>
      </c>
      <c r="BP343" s="37" t="str">
        <f t="array" ref="BP343">IF($A343="","", INDEX(CS!$B$1:$B$15026,MATCH($A343,CS!$B:$B,0)+COLUMN(J$1),1))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INDEX(CS!$B$1:$B$15026,MATCH($A344,CS!$B:$B,0)+COLUMN(A$1),1))</f>
        <v/>
      </c>
      <c r="BH344" s="37" t="str">
        <f t="array" ref="BH344">IF($A344="","", INDEX(CS!$B$1:$B$15026,MATCH($A344,CS!$B:$B,0)+COLUMN(B$1),1))</f>
        <v/>
      </c>
      <c r="BI344" s="37" t="str">
        <f t="array" ref="BI344">IF($A344="","", INDEX(CS!$B$1:$B$15026,MATCH($A344,CS!$B:$B,0)+COLUMN(C$1),1))</f>
        <v/>
      </c>
      <c r="BJ344" s="37" t="str">
        <f t="array" ref="BJ344">IF($A344="","", INDEX(CS!$B$1:$B$15026,MATCH($A344,CS!$B:$B,0)+COLUMN(D$1),1))</f>
        <v/>
      </c>
      <c r="BK344" s="37" t="str">
        <f t="array" ref="BK344">IF($A344="","", INDEX(CS!$B$1:$B$15026,MATCH($A344,CS!$B:$B,0)+COLUMN(E$1),1))</f>
        <v/>
      </c>
      <c r="BL344" s="37" t="str">
        <f t="array" ref="BL344">IF($A344="","", INDEX(CS!$B$1:$B$15026,MATCH($A344,CS!$B:$B,0)+COLUMN(F$1),1))</f>
        <v/>
      </c>
      <c r="BM344" s="37" t="str">
        <f t="array" ref="BM344">IF($A344="","", INDEX(CS!$B$1:$B$15026,MATCH($A344,CS!$B:$B,0)+COLUMN(G$1),1))</f>
        <v/>
      </c>
      <c r="BN344" s="37" t="str">
        <f t="array" ref="BN344">IF($A344="","", INDEX(CS!$B$1:$B$15026,MATCH($A344,CS!$B:$B,0)+COLUMN(H$1),1))</f>
        <v/>
      </c>
      <c r="BO344" s="37" t="str">
        <f t="array" ref="BO344">IF($A344="","", INDEX(CS!$B$1:$B$15026,MATCH($A344,CS!$B:$B,0)+COLUMN(I$1),1))</f>
        <v/>
      </c>
      <c r="BP344" s="37" t="str">
        <f t="array" ref="BP344">IF($A344="","", INDEX(CS!$B$1:$B$15026,MATCH($A344,CS!$B:$B,0)+COLUMN(J$1),1))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INDEX(CS!$B$1:$B$15026,MATCH($A345,CS!$B:$B,0)+COLUMN(A$1),1))</f>
        <v/>
      </c>
      <c r="BH345" s="37" t="str">
        <f t="array" ref="BH345">IF($A345="","", INDEX(CS!$B$1:$B$15026,MATCH($A345,CS!$B:$B,0)+COLUMN(B$1),1))</f>
        <v/>
      </c>
      <c r="BI345" s="37" t="str">
        <f t="array" ref="BI345">IF($A345="","", INDEX(CS!$B$1:$B$15026,MATCH($A345,CS!$B:$B,0)+COLUMN(C$1),1))</f>
        <v/>
      </c>
      <c r="BJ345" s="37" t="str">
        <f t="array" ref="BJ345">IF($A345="","", INDEX(CS!$B$1:$B$15026,MATCH($A345,CS!$B:$B,0)+COLUMN(D$1),1))</f>
        <v/>
      </c>
      <c r="BK345" s="37" t="str">
        <f t="array" ref="BK345">IF($A345="","", INDEX(CS!$B$1:$B$15026,MATCH($A345,CS!$B:$B,0)+COLUMN(E$1),1))</f>
        <v/>
      </c>
      <c r="BL345" s="37" t="str">
        <f t="array" ref="BL345">IF($A345="","", INDEX(CS!$B$1:$B$15026,MATCH($A345,CS!$B:$B,0)+COLUMN(F$1),1))</f>
        <v/>
      </c>
      <c r="BM345" s="37" t="str">
        <f t="array" ref="BM345">IF($A345="","", INDEX(CS!$B$1:$B$15026,MATCH($A345,CS!$B:$B,0)+COLUMN(G$1),1))</f>
        <v/>
      </c>
      <c r="BN345" s="37" t="str">
        <f t="array" ref="BN345">IF($A345="","", INDEX(CS!$B$1:$B$15026,MATCH($A345,CS!$B:$B,0)+COLUMN(H$1),1))</f>
        <v/>
      </c>
      <c r="BO345" s="37" t="str">
        <f t="array" ref="BO345">IF($A345="","", INDEX(CS!$B$1:$B$15026,MATCH($A345,CS!$B:$B,0)+COLUMN(I$1),1))</f>
        <v/>
      </c>
      <c r="BP345" s="37" t="str">
        <f t="array" ref="BP345">IF($A345="","", INDEX(CS!$B$1:$B$15026,MATCH($A345,CS!$B:$B,0)+COLUMN(J$1),1))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INDEX(CS!$B$1:$B$15026,MATCH($A346,CS!$B:$B,0)+COLUMN(A$1),1))</f>
        <v/>
      </c>
      <c r="BH346" s="37" t="str">
        <f t="array" ref="BH346">IF($A346="","", INDEX(CS!$B$1:$B$15026,MATCH($A346,CS!$B:$B,0)+COLUMN(B$1),1))</f>
        <v/>
      </c>
      <c r="BI346" s="37" t="str">
        <f t="array" ref="BI346">IF($A346="","", INDEX(CS!$B$1:$B$15026,MATCH($A346,CS!$B:$B,0)+COLUMN(C$1),1))</f>
        <v/>
      </c>
      <c r="BJ346" s="37" t="str">
        <f t="array" ref="BJ346">IF($A346="","", INDEX(CS!$B$1:$B$15026,MATCH($A346,CS!$B:$B,0)+COLUMN(D$1),1))</f>
        <v/>
      </c>
      <c r="BK346" s="37" t="str">
        <f t="array" ref="BK346">IF($A346="","", INDEX(CS!$B$1:$B$15026,MATCH($A346,CS!$B:$B,0)+COLUMN(E$1),1))</f>
        <v/>
      </c>
      <c r="BL346" s="37" t="str">
        <f t="array" ref="BL346">IF($A346="","", INDEX(CS!$B$1:$B$15026,MATCH($A346,CS!$B:$B,0)+COLUMN(F$1),1))</f>
        <v/>
      </c>
      <c r="BM346" s="37" t="str">
        <f t="array" ref="BM346">IF($A346="","", INDEX(CS!$B$1:$B$15026,MATCH($A346,CS!$B:$B,0)+COLUMN(G$1),1))</f>
        <v/>
      </c>
      <c r="BN346" s="37" t="str">
        <f t="array" ref="BN346">IF($A346="","", INDEX(CS!$B$1:$B$15026,MATCH($A346,CS!$B:$B,0)+COLUMN(H$1),1))</f>
        <v/>
      </c>
      <c r="BO346" s="37" t="str">
        <f t="array" ref="BO346">IF($A346="","", INDEX(CS!$B$1:$B$15026,MATCH($A346,CS!$B:$B,0)+COLUMN(I$1),1))</f>
        <v/>
      </c>
      <c r="BP346" s="37" t="str">
        <f t="array" ref="BP346">IF($A346="","", INDEX(CS!$B$1:$B$15026,MATCH($A346,CS!$B:$B,0)+COLUMN(J$1),1))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INDEX(CS!$B$1:$B$15026,MATCH($A347,CS!$B:$B,0)+COLUMN(A$1),1))</f>
        <v/>
      </c>
      <c r="BH347" s="37" t="str">
        <f t="array" ref="BH347">IF($A347="","", INDEX(CS!$B$1:$B$15026,MATCH($A347,CS!$B:$B,0)+COLUMN(B$1),1))</f>
        <v/>
      </c>
      <c r="BI347" s="37" t="str">
        <f t="array" ref="BI347">IF($A347="","", INDEX(CS!$B$1:$B$15026,MATCH($A347,CS!$B:$B,0)+COLUMN(C$1),1))</f>
        <v/>
      </c>
      <c r="BJ347" s="37" t="str">
        <f t="array" ref="BJ347">IF($A347="","", INDEX(CS!$B$1:$B$15026,MATCH($A347,CS!$B:$B,0)+COLUMN(D$1),1))</f>
        <v/>
      </c>
      <c r="BK347" s="37" t="str">
        <f t="array" ref="BK347">IF($A347="","", INDEX(CS!$B$1:$B$15026,MATCH($A347,CS!$B:$B,0)+COLUMN(E$1),1))</f>
        <v/>
      </c>
      <c r="BL347" s="37" t="str">
        <f t="array" ref="BL347">IF($A347="","", INDEX(CS!$B$1:$B$15026,MATCH($A347,CS!$B:$B,0)+COLUMN(F$1),1))</f>
        <v/>
      </c>
      <c r="BM347" s="37" t="str">
        <f t="array" ref="BM347">IF($A347="","", INDEX(CS!$B$1:$B$15026,MATCH($A347,CS!$B:$B,0)+COLUMN(G$1),1))</f>
        <v/>
      </c>
      <c r="BN347" s="37" t="str">
        <f t="array" ref="BN347">IF($A347="","", INDEX(CS!$B$1:$B$15026,MATCH($A347,CS!$B:$B,0)+COLUMN(H$1),1))</f>
        <v/>
      </c>
      <c r="BO347" s="37" t="str">
        <f t="array" ref="BO347">IF($A347="","", INDEX(CS!$B$1:$B$15026,MATCH($A347,CS!$B:$B,0)+COLUMN(I$1),1))</f>
        <v/>
      </c>
      <c r="BP347" s="37" t="str">
        <f t="array" ref="BP347">IF($A347="","", INDEX(CS!$B$1:$B$15026,MATCH($A347,CS!$B:$B,0)+COLUMN(J$1),1))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INDEX(CS!$B$1:$B$15026,MATCH($A348,CS!$B:$B,0)+COLUMN(A$1),1))</f>
        <v/>
      </c>
      <c r="BH348" s="37" t="str">
        <f t="array" ref="BH348">IF($A348="","", INDEX(CS!$B$1:$B$15026,MATCH($A348,CS!$B:$B,0)+COLUMN(B$1),1))</f>
        <v/>
      </c>
      <c r="BI348" s="37" t="str">
        <f t="array" ref="BI348">IF($A348="","", INDEX(CS!$B$1:$B$15026,MATCH($A348,CS!$B:$B,0)+COLUMN(C$1),1))</f>
        <v/>
      </c>
      <c r="BJ348" s="37" t="str">
        <f t="array" ref="BJ348">IF($A348="","", INDEX(CS!$B$1:$B$15026,MATCH($A348,CS!$B:$B,0)+COLUMN(D$1),1))</f>
        <v/>
      </c>
      <c r="BK348" s="37" t="str">
        <f t="array" ref="BK348">IF($A348="","", INDEX(CS!$B$1:$B$15026,MATCH($A348,CS!$B:$B,0)+COLUMN(E$1),1))</f>
        <v/>
      </c>
      <c r="BL348" s="37" t="str">
        <f t="array" ref="BL348">IF($A348="","", INDEX(CS!$B$1:$B$15026,MATCH($A348,CS!$B:$B,0)+COLUMN(F$1),1))</f>
        <v/>
      </c>
      <c r="BM348" s="37" t="str">
        <f t="array" ref="BM348">IF($A348="","", INDEX(CS!$B$1:$B$15026,MATCH($A348,CS!$B:$B,0)+COLUMN(G$1),1))</f>
        <v/>
      </c>
      <c r="BN348" s="37" t="str">
        <f t="array" ref="BN348">IF($A348="","", INDEX(CS!$B$1:$B$15026,MATCH($A348,CS!$B:$B,0)+COLUMN(H$1),1))</f>
        <v/>
      </c>
      <c r="BO348" s="37" t="str">
        <f t="array" ref="BO348">IF($A348="","", INDEX(CS!$B$1:$B$15026,MATCH($A348,CS!$B:$B,0)+COLUMN(I$1),1))</f>
        <v/>
      </c>
      <c r="BP348" s="37" t="str">
        <f t="array" ref="BP348">IF($A348="","", INDEX(CS!$B$1:$B$15026,MATCH($A348,CS!$B:$B,0)+COLUMN(J$1),1))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INDEX(CS!$B$1:$B$15026,MATCH($A349,CS!$B:$B,0)+COLUMN(A$1),1))</f>
        <v/>
      </c>
      <c r="BH349" s="37" t="str">
        <f t="array" ref="BH349">IF($A349="","", INDEX(CS!$B$1:$B$15026,MATCH($A349,CS!$B:$B,0)+COLUMN(B$1),1))</f>
        <v/>
      </c>
      <c r="BI349" s="37" t="str">
        <f t="array" ref="BI349">IF($A349="","", INDEX(CS!$B$1:$B$15026,MATCH($A349,CS!$B:$B,0)+COLUMN(C$1),1))</f>
        <v/>
      </c>
      <c r="BJ349" s="37" t="str">
        <f t="array" ref="BJ349">IF($A349="","", INDEX(CS!$B$1:$B$15026,MATCH($A349,CS!$B:$B,0)+COLUMN(D$1),1))</f>
        <v/>
      </c>
      <c r="BK349" s="37" t="str">
        <f t="array" ref="BK349">IF($A349="","", INDEX(CS!$B$1:$B$15026,MATCH($A349,CS!$B:$B,0)+COLUMN(E$1),1))</f>
        <v/>
      </c>
      <c r="BL349" s="37" t="str">
        <f t="array" ref="BL349">IF($A349="","", INDEX(CS!$B$1:$B$15026,MATCH($A349,CS!$B:$B,0)+COLUMN(F$1),1))</f>
        <v/>
      </c>
      <c r="BM349" s="37" t="str">
        <f t="array" ref="BM349">IF($A349="","", INDEX(CS!$B$1:$B$15026,MATCH($A349,CS!$B:$B,0)+COLUMN(G$1),1))</f>
        <v/>
      </c>
      <c r="BN349" s="37" t="str">
        <f t="array" ref="BN349">IF($A349="","", INDEX(CS!$B$1:$B$15026,MATCH($A349,CS!$B:$B,0)+COLUMN(H$1),1))</f>
        <v/>
      </c>
      <c r="BO349" s="37" t="str">
        <f t="array" ref="BO349">IF($A349="","", INDEX(CS!$B$1:$B$15026,MATCH($A349,CS!$B:$B,0)+COLUMN(I$1),1))</f>
        <v/>
      </c>
      <c r="BP349" s="37" t="str">
        <f t="array" ref="BP349">IF($A349="","", INDEX(CS!$B$1:$B$15026,MATCH($A349,CS!$B:$B,0)+COLUMN(J$1),1))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INDEX(CS!$B$1:$B$15026,MATCH($A350,CS!$B:$B,0)+COLUMN(A$1),1))</f>
        <v/>
      </c>
      <c r="BH350" s="37" t="str">
        <f t="array" ref="BH350">IF($A350="","", INDEX(CS!$B$1:$B$15026,MATCH($A350,CS!$B:$B,0)+COLUMN(B$1),1))</f>
        <v/>
      </c>
      <c r="BI350" s="37" t="str">
        <f t="array" ref="BI350">IF($A350="","", INDEX(CS!$B$1:$B$15026,MATCH($A350,CS!$B:$B,0)+COLUMN(C$1),1))</f>
        <v/>
      </c>
      <c r="BJ350" s="37" t="str">
        <f t="array" ref="BJ350">IF($A350="","", INDEX(CS!$B$1:$B$15026,MATCH($A350,CS!$B:$B,0)+COLUMN(D$1),1))</f>
        <v/>
      </c>
      <c r="BK350" s="37" t="str">
        <f t="array" ref="BK350">IF($A350="","", INDEX(CS!$B$1:$B$15026,MATCH($A350,CS!$B:$B,0)+COLUMN(E$1),1))</f>
        <v/>
      </c>
      <c r="BL350" s="37" t="str">
        <f t="array" ref="BL350">IF($A350="","", INDEX(CS!$B$1:$B$15026,MATCH($A350,CS!$B:$B,0)+COLUMN(F$1),1))</f>
        <v/>
      </c>
      <c r="BM350" s="37" t="str">
        <f t="array" ref="BM350">IF($A350="","", INDEX(CS!$B$1:$B$15026,MATCH($A350,CS!$B:$B,0)+COLUMN(G$1),1))</f>
        <v/>
      </c>
      <c r="BN350" s="37" t="str">
        <f t="array" ref="BN350">IF($A350="","", INDEX(CS!$B$1:$B$15026,MATCH($A350,CS!$B:$B,0)+COLUMN(H$1),1))</f>
        <v/>
      </c>
      <c r="BO350" s="37" t="str">
        <f t="array" ref="BO350">IF($A350="","", INDEX(CS!$B$1:$B$15026,MATCH($A350,CS!$B:$B,0)+COLUMN(I$1),1))</f>
        <v/>
      </c>
      <c r="BP350" s="37" t="str">
        <f t="array" ref="BP350">IF($A350="","", INDEX(CS!$B$1:$B$15026,MATCH($A350,CS!$B:$B,0)+COLUMN(J$1),1))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INDEX(CS!$B$1:$B$15026,MATCH($A351,CS!$B:$B,0)+COLUMN(A$1),1))</f>
        <v/>
      </c>
      <c r="BH351" s="37" t="str">
        <f t="array" ref="BH351">IF($A351="","", INDEX(CS!$B$1:$B$15026,MATCH($A351,CS!$B:$B,0)+COLUMN(B$1),1))</f>
        <v/>
      </c>
      <c r="BI351" s="37" t="str">
        <f t="array" ref="BI351">IF($A351="","", INDEX(CS!$B$1:$B$15026,MATCH($A351,CS!$B:$B,0)+COLUMN(C$1),1))</f>
        <v/>
      </c>
      <c r="BJ351" s="37" t="str">
        <f t="array" ref="BJ351">IF($A351="","", INDEX(CS!$B$1:$B$15026,MATCH($A351,CS!$B:$B,0)+COLUMN(D$1),1))</f>
        <v/>
      </c>
      <c r="BK351" s="37" t="str">
        <f t="array" ref="BK351">IF($A351="","", INDEX(CS!$B$1:$B$15026,MATCH($A351,CS!$B:$B,0)+COLUMN(E$1),1))</f>
        <v/>
      </c>
      <c r="BL351" s="37" t="str">
        <f t="array" ref="BL351">IF($A351="","", INDEX(CS!$B$1:$B$15026,MATCH($A351,CS!$B:$B,0)+COLUMN(F$1),1))</f>
        <v/>
      </c>
      <c r="BM351" s="37" t="str">
        <f t="array" ref="BM351">IF($A351="","", INDEX(CS!$B$1:$B$15026,MATCH($A351,CS!$B:$B,0)+COLUMN(G$1),1))</f>
        <v/>
      </c>
      <c r="BN351" s="37" t="str">
        <f t="array" ref="BN351">IF($A351="","", INDEX(CS!$B$1:$B$15026,MATCH($A351,CS!$B:$B,0)+COLUMN(H$1),1))</f>
        <v/>
      </c>
      <c r="BO351" s="37" t="str">
        <f t="array" ref="BO351">IF($A351="","", INDEX(CS!$B$1:$B$15026,MATCH($A351,CS!$B:$B,0)+COLUMN(I$1),1))</f>
        <v/>
      </c>
      <c r="BP351" s="37" t="str">
        <f t="array" ref="BP351">IF($A351="","", INDEX(CS!$B$1:$B$15026,MATCH($A351,CS!$B:$B,0)+COLUMN(J$1),1))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INDEX(CS!$B$1:$B$15026,MATCH($A352,CS!$B:$B,0)+COLUMN(A$1),1))</f>
        <v/>
      </c>
      <c r="BH352" s="37" t="str">
        <f t="array" ref="BH352">IF($A352="","", INDEX(CS!$B$1:$B$15026,MATCH($A352,CS!$B:$B,0)+COLUMN(B$1),1))</f>
        <v/>
      </c>
      <c r="BI352" s="37" t="str">
        <f t="array" ref="BI352">IF($A352="","", INDEX(CS!$B$1:$B$15026,MATCH($A352,CS!$B:$B,0)+COLUMN(C$1),1))</f>
        <v/>
      </c>
      <c r="BJ352" s="37" t="str">
        <f t="array" ref="BJ352">IF($A352="","", INDEX(CS!$B$1:$B$15026,MATCH($A352,CS!$B:$B,0)+COLUMN(D$1),1))</f>
        <v/>
      </c>
      <c r="BK352" s="37" t="str">
        <f t="array" ref="BK352">IF($A352="","", INDEX(CS!$B$1:$B$15026,MATCH($A352,CS!$B:$B,0)+COLUMN(E$1),1))</f>
        <v/>
      </c>
      <c r="BL352" s="37" t="str">
        <f t="array" ref="BL352">IF($A352="","", INDEX(CS!$B$1:$B$15026,MATCH($A352,CS!$B:$B,0)+COLUMN(F$1),1))</f>
        <v/>
      </c>
      <c r="BM352" s="37" t="str">
        <f t="array" ref="BM352">IF($A352="","", INDEX(CS!$B$1:$B$15026,MATCH($A352,CS!$B:$B,0)+COLUMN(G$1),1))</f>
        <v/>
      </c>
      <c r="BN352" s="37" t="str">
        <f t="array" ref="BN352">IF($A352="","", INDEX(CS!$B$1:$B$15026,MATCH($A352,CS!$B:$B,0)+COLUMN(H$1),1))</f>
        <v/>
      </c>
      <c r="BO352" s="37" t="str">
        <f t="array" ref="BO352">IF($A352="","", INDEX(CS!$B$1:$B$15026,MATCH($A352,CS!$B:$B,0)+COLUMN(I$1),1))</f>
        <v/>
      </c>
      <c r="BP352" s="37" t="str">
        <f t="array" ref="BP352">IF($A352="","", INDEX(CS!$B$1:$B$15026,MATCH($A352,CS!$B:$B,0)+COLUMN(J$1),1))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INDEX(CS!$B$1:$B$15026,MATCH($A353,CS!$B:$B,0)+COLUMN(A$1),1))</f>
        <v/>
      </c>
      <c r="BH353" s="37" t="str">
        <f t="array" ref="BH353">IF($A353="","", INDEX(CS!$B$1:$B$15026,MATCH($A353,CS!$B:$B,0)+COLUMN(B$1),1))</f>
        <v/>
      </c>
      <c r="BI353" s="37" t="str">
        <f t="array" ref="BI353">IF($A353="","", INDEX(CS!$B$1:$B$15026,MATCH($A353,CS!$B:$B,0)+COLUMN(C$1),1))</f>
        <v/>
      </c>
      <c r="BJ353" s="37" t="str">
        <f t="array" ref="BJ353">IF($A353="","", INDEX(CS!$B$1:$B$15026,MATCH($A353,CS!$B:$B,0)+COLUMN(D$1),1))</f>
        <v/>
      </c>
      <c r="BK353" s="37" t="str">
        <f t="array" ref="BK353">IF($A353="","", INDEX(CS!$B$1:$B$15026,MATCH($A353,CS!$B:$B,0)+COLUMN(E$1),1))</f>
        <v/>
      </c>
      <c r="BL353" s="37" t="str">
        <f t="array" ref="BL353">IF($A353="","", INDEX(CS!$B$1:$B$15026,MATCH($A353,CS!$B:$B,0)+COLUMN(F$1),1))</f>
        <v/>
      </c>
      <c r="BM353" s="37" t="str">
        <f t="array" ref="BM353">IF($A353="","", INDEX(CS!$B$1:$B$15026,MATCH($A353,CS!$B:$B,0)+COLUMN(G$1),1))</f>
        <v/>
      </c>
      <c r="BN353" s="37" t="str">
        <f t="array" ref="BN353">IF($A353="","", INDEX(CS!$B$1:$B$15026,MATCH($A353,CS!$B:$B,0)+COLUMN(H$1),1))</f>
        <v/>
      </c>
      <c r="BO353" s="37" t="str">
        <f t="array" ref="BO353">IF($A353="","", INDEX(CS!$B$1:$B$15026,MATCH($A353,CS!$B:$B,0)+COLUMN(I$1),1))</f>
        <v/>
      </c>
      <c r="BP353" s="37" t="str">
        <f t="array" ref="BP353">IF($A353="","", INDEX(CS!$B$1:$B$15026,MATCH($A353,CS!$B:$B,0)+COLUMN(J$1),1))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INDEX(CS!$B$1:$B$15026,MATCH($A354,CS!$B:$B,0)+COLUMN(A$1),1))</f>
        <v/>
      </c>
      <c r="BH354" s="37" t="str">
        <f t="array" ref="BH354">IF($A354="","", INDEX(CS!$B$1:$B$15026,MATCH($A354,CS!$B:$B,0)+COLUMN(B$1),1))</f>
        <v/>
      </c>
      <c r="BI354" s="37" t="str">
        <f t="array" ref="BI354">IF($A354="","", INDEX(CS!$B$1:$B$15026,MATCH($A354,CS!$B:$B,0)+COLUMN(C$1),1))</f>
        <v/>
      </c>
      <c r="BJ354" s="37" t="str">
        <f t="array" ref="BJ354">IF($A354="","", INDEX(CS!$B$1:$B$15026,MATCH($A354,CS!$B:$B,0)+COLUMN(D$1),1))</f>
        <v/>
      </c>
      <c r="BK354" s="37" t="str">
        <f t="array" ref="BK354">IF($A354="","", INDEX(CS!$B$1:$B$15026,MATCH($A354,CS!$B:$B,0)+COLUMN(E$1),1))</f>
        <v/>
      </c>
      <c r="BL354" s="37" t="str">
        <f t="array" ref="BL354">IF($A354="","", INDEX(CS!$B$1:$B$15026,MATCH($A354,CS!$B:$B,0)+COLUMN(F$1),1))</f>
        <v/>
      </c>
      <c r="BM354" s="37" t="str">
        <f t="array" ref="BM354">IF($A354="","", INDEX(CS!$B$1:$B$15026,MATCH($A354,CS!$B:$B,0)+COLUMN(G$1),1))</f>
        <v/>
      </c>
      <c r="BN354" s="37" t="str">
        <f t="array" ref="BN354">IF($A354="","", INDEX(CS!$B$1:$B$15026,MATCH($A354,CS!$B:$B,0)+COLUMN(H$1),1))</f>
        <v/>
      </c>
      <c r="BO354" s="37" t="str">
        <f t="array" ref="BO354">IF($A354="","", INDEX(CS!$B$1:$B$15026,MATCH($A354,CS!$B:$B,0)+COLUMN(I$1),1))</f>
        <v/>
      </c>
      <c r="BP354" s="37" t="str">
        <f t="array" ref="BP354">IF($A354="","", INDEX(CS!$B$1:$B$15026,MATCH($A354,CS!$B:$B,0)+COLUMN(J$1),1))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INDEX(CS!$B$1:$B$15026,MATCH($A355,CS!$B:$B,0)+COLUMN(A$1),1))</f>
        <v/>
      </c>
      <c r="BH355" s="37" t="str">
        <f t="array" ref="BH355">IF($A355="","", INDEX(CS!$B$1:$B$15026,MATCH($A355,CS!$B:$B,0)+COLUMN(B$1),1))</f>
        <v/>
      </c>
      <c r="BI355" s="37" t="str">
        <f t="array" ref="BI355">IF($A355="","", INDEX(CS!$B$1:$B$15026,MATCH($A355,CS!$B:$B,0)+COLUMN(C$1),1))</f>
        <v/>
      </c>
      <c r="BJ355" s="37" t="str">
        <f t="array" ref="BJ355">IF($A355="","", INDEX(CS!$B$1:$B$15026,MATCH($A355,CS!$B:$B,0)+COLUMN(D$1),1))</f>
        <v/>
      </c>
      <c r="BK355" s="37" t="str">
        <f t="array" ref="BK355">IF($A355="","", INDEX(CS!$B$1:$B$15026,MATCH($A355,CS!$B:$B,0)+COLUMN(E$1),1))</f>
        <v/>
      </c>
      <c r="BL355" s="37" t="str">
        <f t="array" ref="BL355">IF($A355="","", INDEX(CS!$B$1:$B$15026,MATCH($A355,CS!$B:$B,0)+COLUMN(F$1),1))</f>
        <v/>
      </c>
      <c r="BM355" s="37" t="str">
        <f t="array" ref="BM355">IF($A355="","", INDEX(CS!$B$1:$B$15026,MATCH($A355,CS!$B:$B,0)+COLUMN(G$1),1))</f>
        <v/>
      </c>
      <c r="BN355" s="37" t="str">
        <f t="array" ref="BN355">IF($A355="","", INDEX(CS!$B$1:$B$15026,MATCH($A355,CS!$B:$B,0)+COLUMN(H$1),1))</f>
        <v/>
      </c>
      <c r="BO355" s="37" t="str">
        <f t="array" ref="BO355">IF($A355="","", INDEX(CS!$B$1:$B$15026,MATCH($A355,CS!$B:$B,0)+COLUMN(I$1),1))</f>
        <v/>
      </c>
      <c r="BP355" s="37" t="str">
        <f t="array" ref="BP355">IF($A355="","", INDEX(CS!$B$1:$B$15026,MATCH($A355,CS!$B:$B,0)+COLUMN(J$1),1))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INDEX(CS!$B$1:$B$15026,MATCH($A356,CS!$B:$B,0)+COLUMN(A$1),1))</f>
        <v/>
      </c>
      <c r="BH356" s="37" t="str">
        <f t="array" ref="BH356">IF($A356="","", INDEX(CS!$B$1:$B$15026,MATCH($A356,CS!$B:$B,0)+COLUMN(B$1),1))</f>
        <v/>
      </c>
      <c r="BI356" s="37" t="str">
        <f t="array" ref="BI356">IF($A356="","", INDEX(CS!$B$1:$B$15026,MATCH($A356,CS!$B:$B,0)+COLUMN(C$1),1))</f>
        <v/>
      </c>
      <c r="BJ356" s="37" t="str">
        <f t="array" ref="BJ356">IF($A356="","", INDEX(CS!$B$1:$B$15026,MATCH($A356,CS!$B:$B,0)+COLUMN(D$1),1))</f>
        <v/>
      </c>
      <c r="BK356" s="37" t="str">
        <f t="array" ref="BK356">IF($A356="","", INDEX(CS!$B$1:$B$15026,MATCH($A356,CS!$B:$B,0)+COLUMN(E$1),1))</f>
        <v/>
      </c>
      <c r="BL356" s="37" t="str">
        <f t="array" ref="BL356">IF($A356="","", INDEX(CS!$B$1:$B$15026,MATCH($A356,CS!$B:$B,0)+COLUMN(F$1),1))</f>
        <v/>
      </c>
      <c r="BM356" s="37" t="str">
        <f t="array" ref="BM356">IF($A356="","", INDEX(CS!$B$1:$B$15026,MATCH($A356,CS!$B:$B,0)+COLUMN(G$1),1))</f>
        <v/>
      </c>
      <c r="BN356" s="37" t="str">
        <f t="array" ref="BN356">IF($A356="","", INDEX(CS!$B$1:$B$15026,MATCH($A356,CS!$B:$B,0)+COLUMN(H$1),1))</f>
        <v/>
      </c>
      <c r="BO356" s="37" t="str">
        <f t="array" ref="BO356">IF($A356="","", INDEX(CS!$B$1:$B$15026,MATCH($A356,CS!$B:$B,0)+COLUMN(I$1),1))</f>
        <v/>
      </c>
      <c r="BP356" s="37" t="str">
        <f t="array" ref="BP356">IF($A356="","", INDEX(CS!$B$1:$B$15026,MATCH($A356,CS!$B:$B,0)+COLUMN(J$1),1))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INDEX(CS!$B$1:$B$15026,MATCH($A357,CS!$B:$B,0)+COLUMN(A$1),1))</f>
        <v/>
      </c>
      <c r="BH357" s="37" t="str">
        <f t="array" ref="BH357">IF($A357="","", INDEX(CS!$B$1:$B$15026,MATCH($A357,CS!$B:$B,0)+COLUMN(B$1),1))</f>
        <v/>
      </c>
      <c r="BI357" s="37" t="str">
        <f t="array" ref="BI357">IF($A357="","", INDEX(CS!$B$1:$B$15026,MATCH($A357,CS!$B:$B,0)+COLUMN(C$1),1))</f>
        <v/>
      </c>
      <c r="BJ357" s="37" t="str">
        <f t="array" ref="BJ357">IF($A357="","", INDEX(CS!$B$1:$B$15026,MATCH($A357,CS!$B:$B,0)+COLUMN(D$1),1))</f>
        <v/>
      </c>
      <c r="BK357" s="37" t="str">
        <f t="array" ref="BK357">IF($A357="","", INDEX(CS!$B$1:$B$15026,MATCH($A357,CS!$B:$B,0)+COLUMN(E$1),1))</f>
        <v/>
      </c>
      <c r="BL357" s="37" t="str">
        <f t="array" ref="BL357">IF($A357="","", INDEX(CS!$B$1:$B$15026,MATCH($A357,CS!$B:$B,0)+COLUMN(F$1),1))</f>
        <v/>
      </c>
      <c r="BM357" s="37" t="str">
        <f t="array" ref="BM357">IF($A357="","", INDEX(CS!$B$1:$B$15026,MATCH($A357,CS!$B:$B,0)+COLUMN(G$1),1))</f>
        <v/>
      </c>
      <c r="BN357" s="37" t="str">
        <f t="array" ref="BN357">IF($A357="","", INDEX(CS!$B$1:$B$15026,MATCH($A357,CS!$B:$B,0)+COLUMN(H$1),1))</f>
        <v/>
      </c>
      <c r="BO357" s="37" t="str">
        <f t="array" ref="BO357">IF($A357="","", INDEX(CS!$B$1:$B$15026,MATCH($A357,CS!$B:$B,0)+COLUMN(I$1),1))</f>
        <v/>
      </c>
      <c r="BP357" s="37" t="str">
        <f t="array" ref="BP357">IF($A357="","", INDEX(CS!$B$1:$B$15026,MATCH($A357,CS!$B:$B,0)+COLUMN(J$1),1))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INDEX(CS!$B$1:$B$15026,MATCH($A358,CS!$B:$B,0)+COLUMN(A$1),1))</f>
        <v/>
      </c>
      <c r="BH358" s="37" t="str">
        <f t="array" ref="BH358">IF($A358="","", INDEX(CS!$B$1:$B$15026,MATCH($A358,CS!$B:$B,0)+COLUMN(B$1),1))</f>
        <v/>
      </c>
      <c r="BI358" s="37" t="str">
        <f t="array" ref="BI358">IF($A358="","", INDEX(CS!$B$1:$B$15026,MATCH($A358,CS!$B:$B,0)+COLUMN(C$1),1))</f>
        <v/>
      </c>
      <c r="BJ358" s="37" t="str">
        <f t="array" ref="BJ358">IF($A358="","", INDEX(CS!$B$1:$B$15026,MATCH($A358,CS!$B:$B,0)+COLUMN(D$1),1))</f>
        <v/>
      </c>
      <c r="BK358" s="37" t="str">
        <f t="array" ref="BK358">IF($A358="","", INDEX(CS!$B$1:$B$15026,MATCH($A358,CS!$B:$B,0)+COLUMN(E$1),1))</f>
        <v/>
      </c>
      <c r="BL358" s="37" t="str">
        <f t="array" ref="BL358">IF($A358="","", INDEX(CS!$B$1:$B$15026,MATCH($A358,CS!$B:$B,0)+COLUMN(F$1),1))</f>
        <v/>
      </c>
      <c r="BM358" s="37" t="str">
        <f t="array" ref="BM358">IF($A358="","", INDEX(CS!$B$1:$B$15026,MATCH($A358,CS!$B:$B,0)+COLUMN(G$1),1))</f>
        <v/>
      </c>
      <c r="BN358" s="37" t="str">
        <f t="array" ref="BN358">IF($A358="","", INDEX(CS!$B$1:$B$15026,MATCH($A358,CS!$B:$B,0)+COLUMN(H$1),1))</f>
        <v/>
      </c>
      <c r="BO358" s="37" t="str">
        <f t="array" ref="BO358">IF($A358="","", INDEX(CS!$B$1:$B$15026,MATCH($A358,CS!$B:$B,0)+COLUMN(I$1),1))</f>
        <v/>
      </c>
      <c r="BP358" s="37" t="str">
        <f t="array" ref="BP358">IF($A358="","", INDEX(CS!$B$1:$B$15026,MATCH($A358,CS!$B:$B,0)+COLUMN(J$1),1))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INDEX(CS!$B$1:$B$15026,MATCH($A359,CS!$B:$B,0)+COLUMN(A$1),1))</f>
        <v/>
      </c>
      <c r="BH359" s="37" t="str">
        <f t="array" ref="BH359">IF($A359="","", INDEX(CS!$B$1:$B$15026,MATCH($A359,CS!$B:$B,0)+COLUMN(B$1),1))</f>
        <v/>
      </c>
      <c r="BI359" s="37" t="str">
        <f t="array" ref="BI359">IF($A359="","", INDEX(CS!$B$1:$B$15026,MATCH($A359,CS!$B:$B,0)+COLUMN(C$1),1))</f>
        <v/>
      </c>
      <c r="BJ359" s="37" t="str">
        <f t="array" ref="BJ359">IF($A359="","", INDEX(CS!$B$1:$B$15026,MATCH($A359,CS!$B:$B,0)+COLUMN(D$1),1))</f>
        <v/>
      </c>
      <c r="BK359" s="37" t="str">
        <f t="array" ref="BK359">IF($A359="","", INDEX(CS!$B$1:$B$15026,MATCH($A359,CS!$B:$B,0)+COLUMN(E$1),1))</f>
        <v/>
      </c>
      <c r="BL359" s="37" t="str">
        <f t="array" ref="BL359">IF($A359="","", INDEX(CS!$B$1:$B$15026,MATCH($A359,CS!$B:$B,0)+COLUMN(F$1),1))</f>
        <v/>
      </c>
      <c r="BM359" s="37" t="str">
        <f t="array" ref="BM359">IF($A359="","", INDEX(CS!$B$1:$B$15026,MATCH($A359,CS!$B:$B,0)+COLUMN(G$1),1))</f>
        <v/>
      </c>
      <c r="BN359" s="37" t="str">
        <f t="array" ref="BN359">IF($A359="","", INDEX(CS!$B$1:$B$15026,MATCH($A359,CS!$B:$B,0)+COLUMN(H$1),1))</f>
        <v/>
      </c>
      <c r="BO359" s="37" t="str">
        <f t="array" ref="BO359">IF($A359="","", INDEX(CS!$B$1:$B$15026,MATCH($A359,CS!$B:$B,0)+COLUMN(I$1),1))</f>
        <v/>
      </c>
      <c r="BP359" s="37" t="str">
        <f t="array" ref="BP359">IF($A359="","", INDEX(CS!$B$1:$B$15026,MATCH($A359,CS!$B:$B,0)+COLUMN(J$1),1))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INDEX(CS!$B$1:$B$15026,MATCH($A360,CS!$B:$B,0)+COLUMN(A$1),1))</f>
        <v/>
      </c>
      <c r="BH360" s="37" t="str">
        <f t="array" ref="BH360">IF($A360="","", INDEX(CS!$B$1:$B$15026,MATCH($A360,CS!$B:$B,0)+COLUMN(B$1),1))</f>
        <v/>
      </c>
      <c r="BI360" s="37" t="str">
        <f t="array" ref="BI360">IF($A360="","", INDEX(CS!$B$1:$B$15026,MATCH($A360,CS!$B:$B,0)+COLUMN(C$1),1))</f>
        <v/>
      </c>
      <c r="BJ360" s="37" t="str">
        <f t="array" ref="BJ360">IF($A360="","", INDEX(CS!$B$1:$B$15026,MATCH($A360,CS!$B:$B,0)+COLUMN(D$1),1))</f>
        <v/>
      </c>
      <c r="BK360" s="37" t="str">
        <f t="array" ref="BK360">IF($A360="","", INDEX(CS!$B$1:$B$15026,MATCH($A360,CS!$B:$B,0)+COLUMN(E$1),1))</f>
        <v/>
      </c>
      <c r="BL360" s="37" t="str">
        <f t="array" ref="BL360">IF($A360="","", INDEX(CS!$B$1:$B$15026,MATCH($A360,CS!$B:$B,0)+COLUMN(F$1),1))</f>
        <v/>
      </c>
      <c r="BM360" s="37" t="str">
        <f t="array" ref="BM360">IF($A360="","", INDEX(CS!$B$1:$B$15026,MATCH($A360,CS!$B:$B,0)+COLUMN(G$1),1))</f>
        <v/>
      </c>
      <c r="BN360" s="37" t="str">
        <f t="array" ref="BN360">IF($A360="","", INDEX(CS!$B$1:$B$15026,MATCH($A360,CS!$B:$B,0)+COLUMN(H$1),1))</f>
        <v/>
      </c>
      <c r="BO360" s="37" t="str">
        <f t="array" ref="BO360">IF($A360="","", INDEX(CS!$B$1:$B$15026,MATCH($A360,CS!$B:$B,0)+COLUMN(I$1),1))</f>
        <v/>
      </c>
      <c r="BP360" s="37" t="str">
        <f t="array" ref="BP360">IF($A360="","", INDEX(CS!$B$1:$B$15026,MATCH($A360,CS!$B:$B,0)+COLUMN(J$1),1))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INDEX(CS!$B$1:$B$15026,MATCH($A361,CS!$B:$B,0)+COLUMN(A$1),1))</f>
        <v/>
      </c>
      <c r="BH361" s="37" t="str">
        <f t="array" ref="BH361">IF($A361="","", INDEX(CS!$B$1:$B$15026,MATCH($A361,CS!$B:$B,0)+COLUMN(B$1),1))</f>
        <v/>
      </c>
      <c r="BI361" s="37" t="str">
        <f t="array" ref="BI361">IF($A361="","", INDEX(CS!$B$1:$B$15026,MATCH($A361,CS!$B:$B,0)+COLUMN(C$1),1))</f>
        <v/>
      </c>
      <c r="BJ361" s="37" t="str">
        <f t="array" ref="BJ361">IF($A361="","", INDEX(CS!$B$1:$B$15026,MATCH($A361,CS!$B:$B,0)+COLUMN(D$1),1))</f>
        <v/>
      </c>
      <c r="BK361" s="37" t="str">
        <f t="array" ref="BK361">IF($A361="","", INDEX(CS!$B$1:$B$15026,MATCH($A361,CS!$B:$B,0)+COLUMN(E$1),1))</f>
        <v/>
      </c>
      <c r="BL361" s="37" t="str">
        <f t="array" ref="BL361">IF($A361="","", INDEX(CS!$B$1:$B$15026,MATCH($A361,CS!$B:$B,0)+COLUMN(F$1),1))</f>
        <v/>
      </c>
      <c r="BM361" s="37" t="str">
        <f t="array" ref="BM361">IF($A361="","", INDEX(CS!$B$1:$B$15026,MATCH($A361,CS!$B:$B,0)+COLUMN(G$1),1))</f>
        <v/>
      </c>
      <c r="BN361" s="37" t="str">
        <f t="array" ref="BN361">IF($A361="","", INDEX(CS!$B$1:$B$15026,MATCH($A361,CS!$B:$B,0)+COLUMN(H$1),1))</f>
        <v/>
      </c>
      <c r="BO361" s="37" t="str">
        <f t="array" ref="BO361">IF($A361="","", INDEX(CS!$B$1:$B$15026,MATCH($A361,CS!$B:$B,0)+COLUMN(I$1),1))</f>
        <v/>
      </c>
      <c r="BP361" s="37" t="str">
        <f t="array" ref="BP361">IF($A361="","", INDEX(CS!$B$1:$B$15026,MATCH($A361,CS!$B:$B,0)+COLUMN(J$1),1))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INDEX(CS!$B$1:$B$15026,MATCH($A362,CS!$B:$B,0)+COLUMN(A$1),1))</f>
        <v/>
      </c>
      <c r="BH362" s="37" t="str">
        <f t="array" ref="BH362">IF($A362="","", INDEX(CS!$B$1:$B$15026,MATCH($A362,CS!$B:$B,0)+COLUMN(B$1),1))</f>
        <v/>
      </c>
      <c r="BI362" s="37" t="str">
        <f t="array" ref="BI362">IF($A362="","", INDEX(CS!$B$1:$B$15026,MATCH($A362,CS!$B:$B,0)+COLUMN(C$1),1))</f>
        <v/>
      </c>
      <c r="BJ362" s="37" t="str">
        <f t="array" ref="BJ362">IF($A362="","", INDEX(CS!$B$1:$B$15026,MATCH($A362,CS!$B:$B,0)+COLUMN(D$1),1))</f>
        <v/>
      </c>
      <c r="BK362" s="37" t="str">
        <f t="array" ref="BK362">IF($A362="","", INDEX(CS!$B$1:$B$15026,MATCH($A362,CS!$B:$B,0)+COLUMN(E$1),1))</f>
        <v/>
      </c>
      <c r="BL362" s="37" t="str">
        <f t="array" ref="BL362">IF($A362="","", INDEX(CS!$B$1:$B$15026,MATCH($A362,CS!$B:$B,0)+COLUMN(F$1),1))</f>
        <v/>
      </c>
      <c r="BM362" s="37" t="str">
        <f t="array" ref="BM362">IF($A362="","", INDEX(CS!$B$1:$B$15026,MATCH($A362,CS!$B:$B,0)+COLUMN(G$1),1))</f>
        <v/>
      </c>
      <c r="BN362" s="37" t="str">
        <f t="array" ref="BN362">IF($A362="","", INDEX(CS!$B$1:$B$15026,MATCH($A362,CS!$B:$B,0)+COLUMN(H$1),1))</f>
        <v/>
      </c>
      <c r="BO362" s="37" t="str">
        <f t="array" ref="BO362">IF($A362="","", INDEX(CS!$B$1:$B$15026,MATCH($A362,CS!$B:$B,0)+COLUMN(I$1),1))</f>
        <v/>
      </c>
      <c r="BP362" s="37" t="str">
        <f t="array" ref="BP362">IF($A362="","", INDEX(CS!$B$1:$B$15026,MATCH($A362,CS!$B:$B,0)+COLUMN(J$1),1))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INDEX(CS!$B$1:$B$15026,MATCH($A363,CS!$B:$B,0)+COLUMN(A$1),1))</f>
        <v/>
      </c>
      <c r="BH363" s="37" t="str">
        <f t="array" ref="BH363">IF($A363="","", INDEX(CS!$B$1:$B$15026,MATCH($A363,CS!$B:$B,0)+COLUMN(B$1),1))</f>
        <v/>
      </c>
      <c r="BI363" s="37" t="str">
        <f t="array" ref="BI363">IF($A363="","", INDEX(CS!$B$1:$B$15026,MATCH($A363,CS!$B:$B,0)+COLUMN(C$1),1))</f>
        <v/>
      </c>
      <c r="BJ363" s="37" t="str">
        <f t="array" ref="BJ363">IF($A363="","", INDEX(CS!$B$1:$B$15026,MATCH($A363,CS!$B:$B,0)+COLUMN(D$1),1))</f>
        <v/>
      </c>
      <c r="BK363" s="37" t="str">
        <f t="array" ref="BK363">IF($A363="","", INDEX(CS!$B$1:$B$15026,MATCH($A363,CS!$B:$B,0)+COLUMN(E$1),1))</f>
        <v/>
      </c>
      <c r="BL363" s="37" t="str">
        <f t="array" ref="BL363">IF($A363="","", INDEX(CS!$B$1:$B$15026,MATCH($A363,CS!$B:$B,0)+COLUMN(F$1),1))</f>
        <v/>
      </c>
      <c r="BM363" s="37" t="str">
        <f t="array" ref="BM363">IF($A363="","", INDEX(CS!$B$1:$B$15026,MATCH($A363,CS!$B:$B,0)+COLUMN(G$1),1))</f>
        <v/>
      </c>
      <c r="BN363" s="37" t="str">
        <f t="array" ref="BN363">IF($A363="","", INDEX(CS!$B$1:$B$15026,MATCH($A363,CS!$B:$B,0)+COLUMN(H$1),1))</f>
        <v/>
      </c>
      <c r="BO363" s="37" t="str">
        <f t="array" ref="BO363">IF($A363="","", INDEX(CS!$B$1:$B$15026,MATCH($A363,CS!$B:$B,0)+COLUMN(I$1),1))</f>
        <v/>
      </c>
      <c r="BP363" s="37" t="str">
        <f t="array" ref="BP363">IF($A363="","", INDEX(CS!$B$1:$B$15026,MATCH($A363,CS!$B:$B,0)+COLUMN(J$1),1))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INDEX(CS!$B$1:$B$15026,MATCH($A364,CS!$B:$B,0)+COLUMN(A$1),1))</f>
        <v/>
      </c>
      <c r="BH364" s="37" t="str">
        <f t="array" ref="BH364">IF($A364="","", INDEX(CS!$B$1:$B$15026,MATCH($A364,CS!$B:$B,0)+COLUMN(B$1),1))</f>
        <v/>
      </c>
      <c r="BI364" s="37" t="str">
        <f t="array" ref="BI364">IF($A364="","", INDEX(CS!$B$1:$B$15026,MATCH($A364,CS!$B:$B,0)+COLUMN(C$1),1))</f>
        <v/>
      </c>
      <c r="BJ364" s="37" t="str">
        <f t="array" ref="BJ364">IF($A364="","", INDEX(CS!$B$1:$B$15026,MATCH($A364,CS!$B:$B,0)+COLUMN(D$1),1))</f>
        <v/>
      </c>
      <c r="BK364" s="37" t="str">
        <f t="array" ref="BK364">IF($A364="","", INDEX(CS!$B$1:$B$15026,MATCH($A364,CS!$B:$B,0)+COLUMN(E$1),1))</f>
        <v/>
      </c>
      <c r="BL364" s="37" t="str">
        <f t="array" ref="BL364">IF($A364="","", INDEX(CS!$B$1:$B$15026,MATCH($A364,CS!$B:$B,0)+COLUMN(F$1),1))</f>
        <v/>
      </c>
      <c r="BM364" s="37" t="str">
        <f t="array" ref="BM364">IF($A364="","", INDEX(CS!$B$1:$B$15026,MATCH($A364,CS!$B:$B,0)+COLUMN(G$1),1))</f>
        <v/>
      </c>
      <c r="BN364" s="37" t="str">
        <f t="array" ref="BN364">IF($A364="","", INDEX(CS!$B$1:$B$15026,MATCH($A364,CS!$B:$B,0)+COLUMN(H$1),1))</f>
        <v/>
      </c>
      <c r="BO364" s="37" t="str">
        <f t="array" ref="BO364">IF($A364="","", INDEX(CS!$B$1:$B$15026,MATCH($A364,CS!$B:$B,0)+COLUMN(I$1),1))</f>
        <v/>
      </c>
      <c r="BP364" s="37" t="str">
        <f t="array" ref="BP364">IF($A364="","", INDEX(CS!$B$1:$B$15026,MATCH($A364,CS!$B:$B,0)+COLUMN(J$1),1))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INDEX(CS!$B$1:$B$15026,MATCH($A365,CS!$B:$B,0)+COLUMN(A$1),1))</f>
        <v/>
      </c>
      <c r="BH365" s="37" t="str">
        <f t="array" ref="BH365">IF($A365="","", INDEX(CS!$B$1:$B$15026,MATCH($A365,CS!$B:$B,0)+COLUMN(B$1),1))</f>
        <v/>
      </c>
      <c r="BI365" s="37" t="str">
        <f t="array" ref="BI365">IF($A365="","", INDEX(CS!$B$1:$B$15026,MATCH($A365,CS!$B:$B,0)+COLUMN(C$1),1))</f>
        <v/>
      </c>
      <c r="BJ365" s="37" t="str">
        <f t="array" ref="BJ365">IF($A365="","", INDEX(CS!$B$1:$B$15026,MATCH($A365,CS!$B:$B,0)+COLUMN(D$1),1))</f>
        <v/>
      </c>
      <c r="BK365" s="37" t="str">
        <f t="array" ref="BK365">IF($A365="","", INDEX(CS!$B$1:$B$15026,MATCH($A365,CS!$B:$B,0)+COLUMN(E$1),1))</f>
        <v/>
      </c>
      <c r="BL365" s="37" t="str">
        <f t="array" ref="BL365">IF($A365="","", INDEX(CS!$B$1:$B$15026,MATCH($A365,CS!$B:$B,0)+COLUMN(F$1),1))</f>
        <v/>
      </c>
      <c r="BM365" s="37" t="str">
        <f t="array" ref="BM365">IF($A365="","", INDEX(CS!$B$1:$B$15026,MATCH($A365,CS!$B:$B,0)+COLUMN(G$1),1))</f>
        <v/>
      </c>
      <c r="BN365" s="37" t="str">
        <f t="array" ref="BN365">IF($A365="","", INDEX(CS!$B$1:$B$15026,MATCH($A365,CS!$B:$B,0)+COLUMN(H$1),1))</f>
        <v/>
      </c>
      <c r="BO365" s="37" t="str">
        <f t="array" ref="BO365">IF($A365="","", INDEX(CS!$B$1:$B$15026,MATCH($A365,CS!$B:$B,0)+COLUMN(I$1),1))</f>
        <v/>
      </c>
      <c r="BP365" s="37" t="str">
        <f t="array" ref="BP365">IF($A365="","", INDEX(CS!$B$1:$B$15026,MATCH($A365,CS!$B:$B,0)+COLUMN(J$1),1))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INDEX(CS!$B$1:$B$15026,MATCH($A366,CS!$B:$B,0)+COLUMN(A$1),1))</f>
        <v/>
      </c>
      <c r="BH366" s="37" t="str">
        <f t="array" ref="BH366">IF($A366="","", INDEX(CS!$B$1:$B$15026,MATCH($A366,CS!$B:$B,0)+COLUMN(B$1),1))</f>
        <v/>
      </c>
      <c r="BI366" s="37" t="str">
        <f t="array" ref="BI366">IF($A366="","", INDEX(CS!$B$1:$B$15026,MATCH($A366,CS!$B:$B,0)+COLUMN(C$1),1))</f>
        <v/>
      </c>
      <c r="BJ366" s="37" t="str">
        <f t="array" ref="BJ366">IF($A366="","", INDEX(CS!$B$1:$B$15026,MATCH($A366,CS!$B:$B,0)+COLUMN(D$1),1))</f>
        <v/>
      </c>
      <c r="BK366" s="37" t="str">
        <f t="array" ref="BK366">IF($A366="","", INDEX(CS!$B$1:$B$15026,MATCH($A366,CS!$B:$B,0)+COLUMN(E$1),1))</f>
        <v/>
      </c>
      <c r="BL366" s="37" t="str">
        <f t="array" ref="BL366">IF($A366="","", INDEX(CS!$B$1:$B$15026,MATCH($A366,CS!$B:$B,0)+COLUMN(F$1),1))</f>
        <v/>
      </c>
      <c r="BM366" s="37" t="str">
        <f t="array" ref="BM366">IF($A366="","", INDEX(CS!$B$1:$B$15026,MATCH($A366,CS!$B:$B,0)+COLUMN(G$1),1))</f>
        <v/>
      </c>
      <c r="BN366" s="37" t="str">
        <f t="array" ref="BN366">IF($A366="","", INDEX(CS!$B$1:$B$15026,MATCH($A366,CS!$B:$B,0)+COLUMN(H$1),1))</f>
        <v/>
      </c>
      <c r="BO366" s="37" t="str">
        <f t="array" ref="BO366">IF($A366="","", INDEX(CS!$B$1:$B$15026,MATCH($A366,CS!$B:$B,0)+COLUMN(I$1),1))</f>
        <v/>
      </c>
      <c r="BP366" s="37" t="str">
        <f t="array" ref="BP366">IF($A366="","", INDEX(CS!$B$1:$B$15026,MATCH($A366,CS!$B:$B,0)+COLUMN(J$1),1))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INDEX(CS!$B$1:$B$15026,MATCH($A367,CS!$B:$B,0)+COLUMN(A$1),1))</f>
        <v/>
      </c>
      <c r="BH367" s="37" t="str">
        <f t="array" ref="BH367">IF($A367="","", INDEX(CS!$B$1:$B$15026,MATCH($A367,CS!$B:$B,0)+COLUMN(B$1),1))</f>
        <v/>
      </c>
      <c r="BI367" s="37" t="str">
        <f t="array" ref="BI367">IF($A367="","", INDEX(CS!$B$1:$B$15026,MATCH($A367,CS!$B:$B,0)+COLUMN(C$1),1))</f>
        <v/>
      </c>
      <c r="BJ367" s="37" t="str">
        <f t="array" ref="BJ367">IF($A367="","", INDEX(CS!$B$1:$B$15026,MATCH($A367,CS!$B:$B,0)+COLUMN(D$1),1))</f>
        <v/>
      </c>
      <c r="BK367" s="37" t="str">
        <f t="array" ref="BK367">IF($A367="","", INDEX(CS!$B$1:$B$15026,MATCH($A367,CS!$B:$B,0)+COLUMN(E$1),1))</f>
        <v/>
      </c>
      <c r="BL367" s="37" t="str">
        <f t="array" ref="BL367">IF($A367="","", INDEX(CS!$B$1:$B$15026,MATCH($A367,CS!$B:$B,0)+COLUMN(F$1),1))</f>
        <v/>
      </c>
      <c r="BM367" s="37" t="str">
        <f t="array" ref="BM367">IF($A367="","", INDEX(CS!$B$1:$B$15026,MATCH($A367,CS!$B:$B,0)+COLUMN(G$1),1))</f>
        <v/>
      </c>
      <c r="BN367" s="37" t="str">
        <f t="array" ref="BN367">IF($A367="","", INDEX(CS!$B$1:$B$15026,MATCH($A367,CS!$B:$B,0)+COLUMN(H$1),1))</f>
        <v/>
      </c>
      <c r="BO367" s="37" t="str">
        <f t="array" ref="BO367">IF($A367="","", INDEX(CS!$B$1:$B$15026,MATCH($A367,CS!$B:$B,0)+COLUMN(I$1),1))</f>
        <v/>
      </c>
      <c r="BP367" s="37" t="str">
        <f t="array" ref="BP367">IF($A367="","", INDEX(CS!$B$1:$B$15026,MATCH($A367,CS!$B:$B,0)+COLUMN(J$1),1))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INDEX(CS!$B$1:$B$15026,MATCH($A368,CS!$B:$B,0)+COLUMN(A$1),1))</f>
        <v/>
      </c>
      <c r="BH368" s="37" t="str">
        <f t="array" ref="BH368">IF($A368="","", INDEX(CS!$B$1:$B$15026,MATCH($A368,CS!$B:$B,0)+COLUMN(B$1),1))</f>
        <v/>
      </c>
      <c r="BI368" s="37" t="str">
        <f t="array" ref="BI368">IF($A368="","", INDEX(CS!$B$1:$B$15026,MATCH($A368,CS!$B:$B,0)+COLUMN(C$1),1))</f>
        <v/>
      </c>
      <c r="BJ368" s="37" t="str">
        <f t="array" ref="BJ368">IF($A368="","", INDEX(CS!$B$1:$B$15026,MATCH($A368,CS!$B:$B,0)+COLUMN(D$1),1))</f>
        <v/>
      </c>
      <c r="BK368" s="37" t="str">
        <f t="array" ref="BK368">IF($A368="","", INDEX(CS!$B$1:$B$15026,MATCH($A368,CS!$B:$B,0)+COLUMN(E$1),1))</f>
        <v/>
      </c>
      <c r="BL368" s="37" t="str">
        <f t="array" ref="BL368">IF($A368="","", INDEX(CS!$B$1:$B$15026,MATCH($A368,CS!$B:$B,0)+COLUMN(F$1),1))</f>
        <v/>
      </c>
      <c r="BM368" s="37" t="str">
        <f t="array" ref="BM368">IF($A368="","", INDEX(CS!$B$1:$B$15026,MATCH($A368,CS!$B:$B,0)+COLUMN(G$1),1))</f>
        <v/>
      </c>
      <c r="BN368" s="37" t="str">
        <f t="array" ref="BN368">IF($A368="","", INDEX(CS!$B$1:$B$15026,MATCH($A368,CS!$B:$B,0)+COLUMN(H$1),1))</f>
        <v/>
      </c>
      <c r="BO368" s="37" t="str">
        <f t="array" ref="BO368">IF($A368="","", INDEX(CS!$B$1:$B$15026,MATCH($A368,CS!$B:$B,0)+COLUMN(I$1),1))</f>
        <v/>
      </c>
      <c r="BP368" s="37" t="str">
        <f t="array" ref="BP368">IF($A368="","", INDEX(CS!$B$1:$B$15026,MATCH($A368,CS!$B:$B,0)+COLUMN(J$1),1))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INDEX(CS!$B$1:$B$15026,MATCH($A369,CS!$B:$B,0)+COLUMN(A$1),1))</f>
        <v/>
      </c>
      <c r="BH369" s="37" t="str">
        <f t="array" ref="BH369">IF($A369="","", INDEX(CS!$B$1:$B$15026,MATCH($A369,CS!$B:$B,0)+COLUMN(B$1),1))</f>
        <v/>
      </c>
      <c r="BI369" s="37" t="str">
        <f t="array" ref="BI369">IF($A369="","", INDEX(CS!$B$1:$B$15026,MATCH($A369,CS!$B:$B,0)+COLUMN(C$1),1))</f>
        <v/>
      </c>
      <c r="BJ369" s="37" t="str">
        <f t="array" ref="BJ369">IF($A369="","", INDEX(CS!$B$1:$B$15026,MATCH($A369,CS!$B:$B,0)+COLUMN(D$1),1))</f>
        <v/>
      </c>
      <c r="BK369" s="37" t="str">
        <f t="array" ref="BK369">IF($A369="","", INDEX(CS!$B$1:$B$15026,MATCH($A369,CS!$B:$B,0)+COLUMN(E$1),1))</f>
        <v/>
      </c>
      <c r="BL369" s="37" t="str">
        <f t="array" ref="BL369">IF($A369="","", INDEX(CS!$B$1:$B$15026,MATCH($A369,CS!$B:$B,0)+COLUMN(F$1),1))</f>
        <v/>
      </c>
      <c r="BM369" s="37" t="str">
        <f t="array" ref="BM369">IF($A369="","", INDEX(CS!$B$1:$B$15026,MATCH($A369,CS!$B:$B,0)+COLUMN(G$1),1))</f>
        <v/>
      </c>
      <c r="BN369" s="37" t="str">
        <f t="array" ref="BN369">IF($A369="","", INDEX(CS!$B$1:$B$15026,MATCH($A369,CS!$B:$B,0)+COLUMN(H$1),1))</f>
        <v/>
      </c>
      <c r="BO369" s="37" t="str">
        <f t="array" ref="BO369">IF($A369="","", INDEX(CS!$B$1:$B$15026,MATCH($A369,CS!$B:$B,0)+COLUMN(I$1),1))</f>
        <v/>
      </c>
      <c r="BP369" s="37" t="str">
        <f t="array" ref="BP369">IF($A369="","", INDEX(CS!$B$1:$B$15026,MATCH($A369,CS!$B:$B,0)+COLUMN(J$1),1))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INDEX(CS!$B$1:$B$15026,MATCH($A370,CS!$B:$B,0)+COLUMN(A$1),1))</f>
        <v/>
      </c>
      <c r="BH370" s="37" t="str">
        <f t="array" ref="BH370">IF($A370="","", INDEX(CS!$B$1:$B$15026,MATCH($A370,CS!$B:$B,0)+COLUMN(B$1),1))</f>
        <v/>
      </c>
      <c r="BI370" s="37" t="str">
        <f t="array" ref="BI370">IF($A370="","", INDEX(CS!$B$1:$B$15026,MATCH($A370,CS!$B:$B,0)+COLUMN(C$1),1))</f>
        <v/>
      </c>
      <c r="BJ370" s="37" t="str">
        <f t="array" ref="BJ370">IF($A370="","", INDEX(CS!$B$1:$B$15026,MATCH($A370,CS!$B:$B,0)+COLUMN(D$1),1))</f>
        <v/>
      </c>
      <c r="BK370" s="37" t="str">
        <f t="array" ref="BK370">IF($A370="","", INDEX(CS!$B$1:$B$15026,MATCH($A370,CS!$B:$B,0)+COLUMN(E$1),1))</f>
        <v/>
      </c>
      <c r="BL370" s="37" t="str">
        <f t="array" ref="BL370">IF($A370="","", INDEX(CS!$B$1:$B$15026,MATCH($A370,CS!$B:$B,0)+COLUMN(F$1),1))</f>
        <v/>
      </c>
      <c r="BM370" s="37" t="str">
        <f t="array" ref="BM370">IF($A370="","", INDEX(CS!$B$1:$B$15026,MATCH($A370,CS!$B:$B,0)+COLUMN(G$1),1))</f>
        <v/>
      </c>
      <c r="BN370" s="37" t="str">
        <f t="array" ref="BN370">IF($A370="","", INDEX(CS!$B$1:$B$15026,MATCH($A370,CS!$B:$B,0)+COLUMN(H$1),1))</f>
        <v/>
      </c>
      <c r="BO370" s="37" t="str">
        <f t="array" ref="BO370">IF($A370="","", INDEX(CS!$B$1:$B$15026,MATCH($A370,CS!$B:$B,0)+COLUMN(I$1),1))</f>
        <v/>
      </c>
      <c r="BP370" s="37" t="str">
        <f t="array" ref="BP370">IF($A370="","", INDEX(CS!$B$1:$B$15026,MATCH($A370,CS!$B:$B,0)+COLUMN(J$1),1))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INDEX(CS!$B$1:$B$15026,MATCH($A371,CS!$B:$B,0)+COLUMN(A$1),1))</f>
        <v/>
      </c>
      <c r="BH371" s="37" t="str">
        <f t="array" ref="BH371">IF($A371="","", INDEX(CS!$B$1:$B$15026,MATCH($A371,CS!$B:$B,0)+COLUMN(B$1),1))</f>
        <v/>
      </c>
      <c r="BI371" s="37" t="str">
        <f t="array" ref="BI371">IF($A371="","", INDEX(CS!$B$1:$B$15026,MATCH($A371,CS!$B:$B,0)+COLUMN(C$1),1))</f>
        <v/>
      </c>
      <c r="BJ371" s="37" t="str">
        <f t="array" ref="BJ371">IF($A371="","", INDEX(CS!$B$1:$B$15026,MATCH($A371,CS!$B:$B,0)+COLUMN(D$1),1))</f>
        <v/>
      </c>
      <c r="BK371" s="37" t="str">
        <f t="array" ref="BK371">IF($A371="","", INDEX(CS!$B$1:$B$15026,MATCH($A371,CS!$B:$B,0)+COLUMN(E$1),1))</f>
        <v/>
      </c>
      <c r="BL371" s="37" t="str">
        <f t="array" ref="BL371">IF($A371="","", INDEX(CS!$B$1:$B$15026,MATCH($A371,CS!$B:$B,0)+COLUMN(F$1),1))</f>
        <v/>
      </c>
      <c r="BM371" s="37" t="str">
        <f t="array" ref="BM371">IF($A371="","", INDEX(CS!$B$1:$B$15026,MATCH($A371,CS!$B:$B,0)+COLUMN(G$1),1))</f>
        <v/>
      </c>
      <c r="BN371" s="37" t="str">
        <f t="array" ref="BN371">IF($A371="","", INDEX(CS!$B$1:$B$15026,MATCH($A371,CS!$B:$B,0)+COLUMN(H$1),1))</f>
        <v/>
      </c>
      <c r="BO371" s="37" t="str">
        <f t="array" ref="BO371">IF($A371="","", INDEX(CS!$B$1:$B$15026,MATCH($A371,CS!$B:$B,0)+COLUMN(I$1),1))</f>
        <v/>
      </c>
      <c r="BP371" s="37" t="str">
        <f t="array" ref="BP371">IF($A371="","", INDEX(CS!$B$1:$B$15026,MATCH($A371,CS!$B:$B,0)+COLUMN(J$1),1))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INDEX(CS!$B$1:$B$15026,MATCH($A372,CS!$B:$B,0)+COLUMN(A$1),1))</f>
        <v/>
      </c>
      <c r="BH372" s="37" t="str">
        <f t="array" ref="BH372">IF($A372="","", INDEX(CS!$B$1:$B$15026,MATCH($A372,CS!$B:$B,0)+COLUMN(B$1),1))</f>
        <v/>
      </c>
      <c r="BI372" s="37" t="str">
        <f t="array" ref="BI372">IF($A372="","", INDEX(CS!$B$1:$B$15026,MATCH($A372,CS!$B:$B,0)+COLUMN(C$1),1))</f>
        <v/>
      </c>
      <c r="BJ372" s="37" t="str">
        <f t="array" ref="BJ372">IF($A372="","", INDEX(CS!$B$1:$B$15026,MATCH($A372,CS!$B:$B,0)+COLUMN(D$1),1))</f>
        <v/>
      </c>
      <c r="BK372" s="37" t="str">
        <f t="array" ref="BK372">IF($A372="","", INDEX(CS!$B$1:$B$15026,MATCH($A372,CS!$B:$B,0)+COLUMN(E$1),1))</f>
        <v/>
      </c>
      <c r="BL372" s="37" t="str">
        <f t="array" ref="BL372">IF($A372="","", INDEX(CS!$B$1:$B$15026,MATCH($A372,CS!$B:$B,0)+COLUMN(F$1),1))</f>
        <v/>
      </c>
      <c r="BM372" s="37" t="str">
        <f t="array" ref="BM372">IF($A372="","", INDEX(CS!$B$1:$B$15026,MATCH($A372,CS!$B:$B,0)+COLUMN(G$1),1))</f>
        <v/>
      </c>
      <c r="BN372" s="37" t="str">
        <f t="array" ref="BN372">IF($A372="","", INDEX(CS!$B$1:$B$15026,MATCH($A372,CS!$B:$B,0)+COLUMN(H$1),1))</f>
        <v/>
      </c>
      <c r="BO372" s="37" t="str">
        <f t="array" ref="BO372">IF($A372="","", INDEX(CS!$B$1:$B$15026,MATCH($A372,CS!$B:$B,0)+COLUMN(I$1),1))</f>
        <v/>
      </c>
      <c r="BP372" s="37" t="str">
        <f t="array" ref="BP372">IF($A372="","", INDEX(CS!$B$1:$B$15026,MATCH($A372,CS!$B:$B,0)+COLUMN(J$1),1))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INDEX(CS!$B$1:$B$15026,MATCH($A373,CS!$B:$B,0)+COLUMN(A$1),1))</f>
        <v/>
      </c>
      <c r="BH373" s="37" t="str">
        <f t="array" ref="BH373">IF($A373="","", INDEX(CS!$B$1:$B$15026,MATCH($A373,CS!$B:$B,0)+COLUMN(B$1),1))</f>
        <v/>
      </c>
      <c r="BI373" s="37" t="str">
        <f t="array" ref="BI373">IF($A373="","", INDEX(CS!$B$1:$B$15026,MATCH($A373,CS!$B:$B,0)+COLUMN(C$1),1))</f>
        <v/>
      </c>
      <c r="BJ373" s="37" t="str">
        <f t="array" ref="BJ373">IF($A373="","", INDEX(CS!$B$1:$B$15026,MATCH($A373,CS!$B:$B,0)+COLUMN(D$1),1))</f>
        <v/>
      </c>
      <c r="BK373" s="37" t="str">
        <f t="array" ref="BK373">IF($A373="","", INDEX(CS!$B$1:$B$15026,MATCH($A373,CS!$B:$B,0)+COLUMN(E$1),1))</f>
        <v/>
      </c>
      <c r="BL373" s="37" t="str">
        <f t="array" ref="BL373">IF($A373="","", INDEX(CS!$B$1:$B$15026,MATCH($A373,CS!$B:$B,0)+COLUMN(F$1),1))</f>
        <v/>
      </c>
      <c r="BM373" s="37" t="str">
        <f t="array" ref="BM373">IF($A373="","", INDEX(CS!$B$1:$B$15026,MATCH($A373,CS!$B:$B,0)+COLUMN(G$1),1))</f>
        <v/>
      </c>
      <c r="BN373" s="37" t="str">
        <f t="array" ref="BN373">IF($A373="","", INDEX(CS!$B$1:$B$15026,MATCH($A373,CS!$B:$B,0)+COLUMN(H$1),1))</f>
        <v/>
      </c>
      <c r="BO373" s="37" t="str">
        <f t="array" ref="BO373">IF($A373="","", INDEX(CS!$B$1:$B$15026,MATCH($A373,CS!$B:$B,0)+COLUMN(I$1),1))</f>
        <v/>
      </c>
      <c r="BP373" s="37" t="str">
        <f t="array" ref="BP373">IF($A373="","", INDEX(CS!$B$1:$B$15026,MATCH($A373,CS!$B:$B,0)+COLUMN(J$1),1))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INDEX(CS!$B$1:$B$15026,MATCH($A374,CS!$B:$B,0)+COLUMN(A$1),1))</f>
        <v/>
      </c>
      <c r="BH374" s="37" t="str">
        <f t="array" ref="BH374">IF($A374="","", INDEX(CS!$B$1:$B$15026,MATCH($A374,CS!$B:$B,0)+COLUMN(B$1),1))</f>
        <v/>
      </c>
      <c r="BI374" s="37" t="str">
        <f t="array" ref="BI374">IF($A374="","", INDEX(CS!$B$1:$B$15026,MATCH($A374,CS!$B:$B,0)+COLUMN(C$1),1))</f>
        <v/>
      </c>
      <c r="BJ374" s="37" t="str">
        <f t="array" ref="BJ374">IF($A374="","", INDEX(CS!$B$1:$B$15026,MATCH($A374,CS!$B:$B,0)+COLUMN(D$1),1))</f>
        <v/>
      </c>
      <c r="BK374" s="37" t="str">
        <f t="array" ref="BK374">IF($A374="","", INDEX(CS!$B$1:$B$15026,MATCH($A374,CS!$B:$B,0)+COLUMN(E$1),1))</f>
        <v/>
      </c>
      <c r="BL374" s="37" t="str">
        <f t="array" ref="BL374">IF($A374="","", INDEX(CS!$B$1:$B$15026,MATCH($A374,CS!$B:$B,0)+COLUMN(F$1),1))</f>
        <v/>
      </c>
      <c r="BM374" s="37" t="str">
        <f t="array" ref="BM374">IF($A374="","", INDEX(CS!$B$1:$B$15026,MATCH($A374,CS!$B:$B,0)+COLUMN(G$1),1))</f>
        <v/>
      </c>
      <c r="BN374" s="37" t="str">
        <f t="array" ref="BN374">IF($A374="","", INDEX(CS!$B$1:$B$15026,MATCH($A374,CS!$B:$B,0)+COLUMN(H$1),1))</f>
        <v/>
      </c>
      <c r="BO374" s="37" t="str">
        <f t="array" ref="BO374">IF($A374="","", INDEX(CS!$B$1:$B$15026,MATCH($A374,CS!$B:$B,0)+COLUMN(I$1),1))</f>
        <v/>
      </c>
      <c r="BP374" s="37" t="str">
        <f t="array" ref="BP374">IF($A374="","", INDEX(CS!$B$1:$B$15026,MATCH($A374,CS!$B:$B,0)+COLUMN(J$1),1))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INDEX(CS!$B$1:$B$15026,MATCH($A375,CS!$B:$B,0)+COLUMN(A$1),1))</f>
        <v/>
      </c>
      <c r="BH375" s="37" t="str">
        <f t="array" ref="BH375">IF($A375="","", INDEX(CS!$B$1:$B$15026,MATCH($A375,CS!$B:$B,0)+COLUMN(B$1),1))</f>
        <v/>
      </c>
      <c r="BI375" s="37" t="str">
        <f t="array" ref="BI375">IF($A375="","", INDEX(CS!$B$1:$B$15026,MATCH($A375,CS!$B:$B,0)+COLUMN(C$1),1))</f>
        <v/>
      </c>
      <c r="BJ375" s="37" t="str">
        <f t="array" ref="BJ375">IF($A375="","", INDEX(CS!$B$1:$B$15026,MATCH($A375,CS!$B:$B,0)+COLUMN(D$1),1))</f>
        <v/>
      </c>
      <c r="BK375" s="37" t="str">
        <f t="array" ref="BK375">IF($A375="","", INDEX(CS!$B$1:$B$15026,MATCH($A375,CS!$B:$B,0)+COLUMN(E$1),1))</f>
        <v/>
      </c>
      <c r="BL375" s="37" t="str">
        <f t="array" ref="BL375">IF($A375="","", INDEX(CS!$B$1:$B$15026,MATCH($A375,CS!$B:$B,0)+COLUMN(F$1),1))</f>
        <v/>
      </c>
      <c r="BM375" s="37" t="str">
        <f t="array" ref="BM375">IF($A375="","", INDEX(CS!$B$1:$B$15026,MATCH($A375,CS!$B:$B,0)+COLUMN(G$1),1))</f>
        <v/>
      </c>
      <c r="BN375" s="37" t="str">
        <f t="array" ref="BN375">IF($A375="","", INDEX(CS!$B$1:$B$15026,MATCH($A375,CS!$B:$B,0)+COLUMN(H$1),1))</f>
        <v/>
      </c>
      <c r="BO375" s="37" t="str">
        <f t="array" ref="BO375">IF($A375="","", INDEX(CS!$B$1:$B$15026,MATCH($A375,CS!$B:$B,0)+COLUMN(I$1),1))</f>
        <v/>
      </c>
      <c r="BP375" s="37" t="str">
        <f t="array" ref="BP375">IF($A375="","", INDEX(CS!$B$1:$B$15026,MATCH($A375,CS!$B:$B,0)+COLUMN(J$1),1))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INDEX(CS!$B$1:$B$15026,MATCH($A376,CS!$B:$B,0)+COLUMN(A$1),1))</f>
        <v/>
      </c>
      <c r="BH376" s="37" t="str">
        <f t="array" ref="BH376">IF($A376="","", INDEX(CS!$B$1:$B$15026,MATCH($A376,CS!$B:$B,0)+COLUMN(B$1),1))</f>
        <v/>
      </c>
      <c r="BI376" s="37" t="str">
        <f t="array" ref="BI376">IF($A376="","", INDEX(CS!$B$1:$B$15026,MATCH($A376,CS!$B:$B,0)+COLUMN(C$1),1))</f>
        <v/>
      </c>
      <c r="BJ376" s="37" t="str">
        <f t="array" ref="BJ376">IF($A376="","", INDEX(CS!$B$1:$B$15026,MATCH($A376,CS!$B:$B,0)+COLUMN(D$1),1))</f>
        <v/>
      </c>
      <c r="BK376" s="37" t="str">
        <f t="array" ref="BK376">IF($A376="","", INDEX(CS!$B$1:$B$15026,MATCH($A376,CS!$B:$B,0)+COLUMN(E$1),1))</f>
        <v/>
      </c>
      <c r="BL376" s="37" t="str">
        <f t="array" ref="BL376">IF($A376="","", INDEX(CS!$B$1:$B$15026,MATCH($A376,CS!$B:$B,0)+COLUMN(F$1),1))</f>
        <v/>
      </c>
      <c r="BM376" s="37" t="str">
        <f t="array" ref="BM376">IF($A376="","", INDEX(CS!$B$1:$B$15026,MATCH($A376,CS!$B:$B,0)+COLUMN(G$1),1))</f>
        <v/>
      </c>
      <c r="BN376" s="37" t="str">
        <f t="array" ref="BN376">IF($A376="","", INDEX(CS!$B$1:$B$15026,MATCH($A376,CS!$B:$B,0)+COLUMN(H$1),1))</f>
        <v/>
      </c>
      <c r="BO376" s="37" t="str">
        <f t="array" ref="BO376">IF($A376="","", INDEX(CS!$B$1:$B$15026,MATCH($A376,CS!$B:$B,0)+COLUMN(I$1),1))</f>
        <v/>
      </c>
      <c r="BP376" s="37" t="str">
        <f t="array" ref="BP376">IF($A376="","", INDEX(CS!$B$1:$B$15026,MATCH($A376,CS!$B:$B,0)+COLUMN(J$1),1))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INDEX(CS!$B$1:$B$15026,MATCH($A377,CS!$B:$B,0)+COLUMN(A$1),1))</f>
        <v/>
      </c>
      <c r="BH377" s="37" t="str">
        <f t="array" ref="BH377">IF($A377="","", INDEX(CS!$B$1:$B$15026,MATCH($A377,CS!$B:$B,0)+COLUMN(B$1),1))</f>
        <v/>
      </c>
      <c r="BI377" s="37" t="str">
        <f t="array" ref="BI377">IF($A377="","", INDEX(CS!$B$1:$B$15026,MATCH($A377,CS!$B:$B,0)+COLUMN(C$1),1))</f>
        <v/>
      </c>
      <c r="BJ377" s="37" t="str">
        <f t="array" ref="BJ377">IF($A377="","", INDEX(CS!$B$1:$B$15026,MATCH($A377,CS!$B:$B,0)+COLUMN(D$1),1))</f>
        <v/>
      </c>
      <c r="BK377" s="37" t="str">
        <f t="array" ref="BK377">IF($A377="","", INDEX(CS!$B$1:$B$15026,MATCH($A377,CS!$B:$B,0)+COLUMN(E$1),1))</f>
        <v/>
      </c>
      <c r="BL377" s="37" t="str">
        <f t="array" ref="BL377">IF($A377="","", INDEX(CS!$B$1:$B$15026,MATCH($A377,CS!$B:$B,0)+COLUMN(F$1),1))</f>
        <v/>
      </c>
      <c r="BM377" s="37" t="str">
        <f t="array" ref="BM377">IF($A377="","", INDEX(CS!$B$1:$B$15026,MATCH($A377,CS!$B:$B,0)+COLUMN(G$1),1))</f>
        <v/>
      </c>
      <c r="BN377" s="37" t="str">
        <f t="array" ref="BN377">IF($A377="","", INDEX(CS!$B$1:$B$15026,MATCH($A377,CS!$B:$B,0)+COLUMN(H$1),1))</f>
        <v/>
      </c>
      <c r="BO377" s="37" t="str">
        <f t="array" ref="BO377">IF($A377="","", INDEX(CS!$B$1:$B$15026,MATCH($A377,CS!$B:$B,0)+COLUMN(I$1),1))</f>
        <v/>
      </c>
      <c r="BP377" s="37" t="str">
        <f t="array" ref="BP377">IF($A377="","", INDEX(CS!$B$1:$B$15026,MATCH($A377,CS!$B:$B,0)+COLUMN(J$1),1))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INDEX(CS!$B$1:$B$15026,MATCH($A378,CS!$B:$B,0)+COLUMN(A$1),1))</f>
        <v/>
      </c>
      <c r="BH378" s="37" t="str">
        <f t="array" ref="BH378">IF($A378="","", INDEX(CS!$B$1:$B$15026,MATCH($A378,CS!$B:$B,0)+COLUMN(B$1),1))</f>
        <v/>
      </c>
      <c r="BI378" s="37" t="str">
        <f t="array" ref="BI378">IF($A378="","", INDEX(CS!$B$1:$B$15026,MATCH($A378,CS!$B:$B,0)+COLUMN(C$1),1))</f>
        <v/>
      </c>
      <c r="BJ378" s="37" t="str">
        <f t="array" ref="BJ378">IF($A378="","", INDEX(CS!$B$1:$B$15026,MATCH($A378,CS!$B:$B,0)+COLUMN(D$1),1))</f>
        <v/>
      </c>
      <c r="BK378" s="37" t="str">
        <f t="array" ref="BK378">IF($A378="","", INDEX(CS!$B$1:$B$15026,MATCH($A378,CS!$B:$B,0)+COLUMN(E$1),1))</f>
        <v/>
      </c>
      <c r="BL378" s="37" t="str">
        <f t="array" ref="BL378">IF($A378="","", INDEX(CS!$B$1:$B$15026,MATCH($A378,CS!$B:$B,0)+COLUMN(F$1),1))</f>
        <v/>
      </c>
      <c r="BM378" s="37" t="str">
        <f t="array" ref="BM378">IF($A378="","", INDEX(CS!$B$1:$B$15026,MATCH($A378,CS!$B:$B,0)+COLUMN(G$1),1))</f>
        <v/>
      </c>
      <c r="BN378" s="37" t="str">
        <f t="array" ref="BN378">IF($A378="","", INDEX(CS!$B$1:$B$15026,MATCH($A378,CS!$B:$B,0)+COLUMN(H$1),1))</f>
        <v/>
      </c>
      <c r="BO378" s="37" t="str">
        <f t="array" ref="BO378">IF($A378="","", INDEX(CS!$B$1:$B$15026,MATCH($A378,CS!$B:$B,0)+COLUMN(I$1),1))</f>
        <v/>
      </c>
      <c r="BP378" s="37" t="str">
        <f t="array" ref="BP378">IF($A378="","", INDEX(CS!$B$1:$B$15026,MATCH($A378,CS!$B:$B,0)+COLUMN(J$1),1))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INDEX(CS!$B$1:$B$15026,MATCH($A379,CS!$B:$B,0)+COLUMN(A$1),1))</f>
        <v/>
      </c>
      <c r="BH379" s="37" t="str">
        <f t="array" ref="BH379">IF($A379="","", INDEX(CS!$B$1:$B$15026,MATCH($A379,CS!$B:$B,0)+COLUMN(B$1),1))</f>
        <v/>
      </c>
      <c r="BI379" s="37" t="str">
        <f t="array" ref="BI379">IF($A379="","", INDEX(CS!$B$1:$B$15026,MATCH($A379,CS!$B:$B,0)+COLUMN(C$1),1))</f>
        <v/>
      </c>
      <c r="BJ379" s="37" t="str">
        <f t="array" ref="BJ379">IF($A379="","", INDEX(CS!$B$1:$B$15026,MATCH($A379,CS!$B:$B,0)+COLUMN(D$1),1))</f>
        <v/>
      </c>
      <c r="BK379" s="37" t="str">
        <f t="array" ref="BK379">IF($A379="","", INDEX(CS!$B$1:$B$15026,MATCH($A379,CS!$B:$B,0)+COLUMN(E$1),1))</f>
        <v/>
      </c>
      <c r="BL379" s="37" t="str">
        <f t="array" ref="BL379">IF($A379="","", INDEX(CS!$B$1:$B$15026,MATCH($A379,CS!$B:$B,0)+COLUMN(F$1),1))</f>
        <v/>
      </c>
      <c r="BM379" s="37" t="str">
        <f t="array" ref="BM379">IF($A379="","", INDEX(CS!$B$1:$B$15026,MATCH($A379,CS!$B:$B,0)+COLUMN(G$1),1))</f>
        <v/>
      </c>
      <c r="BN379" s="37" t="str">
        <f t="array" ref="BN379">IF($A379="","", INDEX(CS!$B$1:$B$15026,MATCH($A379,CS!$B:$B,0)+COLUMN(H$1),1))</f>
        <v/>
      </c>
      <c r="BO379" s="37" t="str">
        <f t="array" ref="BO379">IF($A379="","", INDEX(CS!$B$1:$B$15026,MATCH($A379,CS!$B:$B,0)+COLUMN(I$1),1))</f>
        <v/>
      </c>
      <c r="BP379" s="37" t="str">
        <f t="array" ref="BP379">IF($A379="","", INDEX(CS!$B$1:$B$15026,MATCH($A379,CS!$B:$B,0)+COLUMN(J$1),1))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INDEX(CS!$B$1:$B$15026,MATCH($A380,CS!$B:$B,0)+COLUMN(A$1),1))</f>
        <v/>
      </c>
      <c r="BH380" s="37" t="str">
        <f t="array" ref="BH380">IF($A380="","", INDEX(CS!$B$1:$B$15026,MATCH($A380,CS!$B:$B,0)+COLUMN(B$1),1))</f>
        <v/>
      </c>
      <c r="BI380" s="37" t="str">
        <f t="array" ref="BI380">IF($A380="","", INDEX(CS!$B$1:$B$15026,MATCH($A380,CS!$B:$B,0)+COLUMN(C$1),1))</f>
        <v/>
      </c>
      <c r="BJ380" s="37" t="str">
        <f t="array" ref="BJ380">IF($A380="","", INDEX(CS!$B$1:$B$15026,MATCH($A380,CS!$B:$B,0)+COLUMN(D$1),1))</f>
        <v/>
      </c>
      <c r="BK380" s="37" t="str">
        <f t="array" ref="BK380">IF($A380="","", INDEX(CS!$B$1:$B$15026,MATCH($A380,CS!$B:$B,0)+COLUMN(E$1),1))</f>
        <v/>
      </c>
      <c r="BL380" s="37" t="str">
        <f t="array" ref="BL380">IF($A380="","", INDEX(CS!$B$1:$B$15026,MATCH($A380,CS!$B:$B,0)+COLUMN(F$1),1))</f>
        <v/>
      </c>
      <c r="BM380" s="37" t="str">
        <f t="array" ref="BM380">IF($A380="","", INDEX(CS!$B$1:$B$15026,MATCH($A380,CS!$B:$B,0)+COLUMN(G$1),1))</f>
        <v/>
      </c>
      <c r="BN380" s="37" t="str">
        <f t="array" ref="BN380">IF($A380="","", INDEX(CS!$B$1:$B$15026,MATCH($A380,CS!$B:$B,0)+COLUMN(H$1),1))</f>
        <v/>
      </c>
      <c r="BO380" s="37" t="str">
        <f t="array" ref="BO380">IF($A380="","", INDEX(CS!$B$1:$B$15026,MATCH($A380,CS!$B:$B,0)+COLUMN(I$1),1))</f>
        <v/>
      </c>
      <c r="BP380" s="37" t="str">
        <f t="array" ref="BP380">IF($A380="","", INDEX(CS!$B$1:$B$15026,MATCH($A380,CS!$B:$B,0)+COLUMN(J$1),1))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INDEX(CS!$B$1:$B$15026,MATCH($A381,CS!$B:$B,0)+COLUMN(A$1),1))</f>
        <v/>
      </c>
      <c r="BH381" s="37" t="str">
        <f t="array" ref="BH381">IF($A381="","", INDEX(CS!$B$1:$B$15026,MATCH($A381,CS!$B:$B,0)+COLUMN(B$1),1))</f>
        <v/>
      </c>
      <c r="BI381" s="37" t="str">
        <f t="array" ref="BI381">IF($A381="","", INDEX(CS!$B$1:$B$15026,MATCH($A381,CS!$B:$B,0)+COLUMN(C$1),1))</f>
        <v/>
      </c>
      <c r="BJ381" s="37" t="str">
        <f t="array" ref="BJ381">IF($A381="","", INDEX(CS!$B$1:$B$15026,MATCH($A381,CS!$B:$B,0)+COLUMN(D$1),1))</f>
        <v/>
      </c>
      <c r="BK381" s="37" t="str">
        <f t="array" ref="BK381">IF($A381="","", INDEX(CS!$B$1:$B$15026,MATCH($A381,CS!$B:$B,0)+COLUMN(E$1),1))</f>
        <v/>
      </c>
      <c r="BL381" s="37" t="str">
        <f t="array" ref="BL381">IF($A381="","", INDEX(CS!$B$1:$B$15026,MATCH($A381,CS!$B:$B,0)+COLUMN(F$1),1))</f>
        <v/>
      </c>
      <c r="BM381" s="37" t="str">
        <f t="array" ref="BM381">IF($A381="","", INDEX(CS!$B$1:$B$15026,MATCH($A381,CS!$B:$B,0)+COLUMN(G$1),1))</f>
        <v/>
      </c>
      <c r="BN381" s="37" t="str">
        <f t="array" ref="BN381">IF($A381="","", INDEX(CS!$B$1:$B$15026,MATCH($A381,CS!$B:$B,0)+COLUMN(H$1),1))</f>
        <v/>
      </c>
      <c r="BO381" s="37" t="str">
        <f t="array" ref="BO381">IF($A381="","", INDEX(CS!$B$1:$B$15026,MATCH($A381,CS!$B:$B,0)+COLUMN(I$1),1))</f>
        <v/>
      </c>
      <c r="BP381" s="37" t="str">
        <f t="array" ref="BP381">IF($A381="","", INDEX(CS!$B$1:$B$15026,MATCH($A381,CS!$B:$B,0)+COLUMN(J$1),1))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INDEX(CS!$B$1:$B$15026,MATCH($A382,CS!$B:$B,0)+COLUMN(A$1),1))</f>
        <v/>
      </c>
      <c r="BH382" s="37" t="str">
        <f t="array" ref="BH382">IF($A382="","", INDEX(CS!$B$1:$B$15026,MATCH($A382,CS!$B:$B,0)+COLUMN(B$1),1))</f>
        <v/>
      </c>
      <c r="BI382" s="37" t="str">
        <f t="array" ref="BI382">IF($A382="","", INDEX(CS!$B$1:$B$15026,MATCH($A382,CS!$B:$B,0)+COLUMN(C$1),1))</f>
        <v/>
      </c>
      <c r="BJ382" s="37" t="str">
        <f t="array" ref="BJ382">IF($A382="","", INDEX(CS!$B$1:$B$15026,MATCH($A382,CS!$B:$B,0)+COLUMN(D$1),1))</f>
        <v/>
      </c>
      <c r="BK382" s="37" t="str">
        <f t="array" ref="BK382">IF($A382="","", INDEX(CS!$B$1:$B$15026,MATCH($A382,CS!$B:$B,0)+COLUMN(E$1),1))</f>
        <v/>
      </c>
      <c r="BL382" s="37" t="str">
        <f t="array" ref="BL382">IF($A382="","", INDEX(CS!$B$1:$B$15026,MATCH($A382,CS!$B:$B,0)+COLUMN(F$1),1))</f>
        <v/>
      </c>
      <c r="BM382" s="37" t="str">
        <f t="array" ref="BM382">IF($A382="","", INDEX(CS!$B$1:$B$15026,MATCH($A382,CS!$B:$B,0)+COLUMN(G$1),1))</f>
        <v/>
      </c>
      <c r="BN382" s="37" t="str">
        <f t="array" ref="BN382">IF($A382="","", INDEX(CS!$B$1:$B$15026,MATCH($A382,CS!$B:$B,0)+COLUMN(H$1),1))</f>
        <v/>
      </c>
      <c r="BO382" s="37" t="str">
        <f t="array" ref="BO382">IF($A382="","", INDEX(CS!$B$1:$B$15026,MATCH($A382,CS!$B:$B,0)+COLUMN(I$1),1))</f>
        <v/>
      </c>
      <c r="BP382" s="37" t="str">
        <f t="array" ref="BP382">IF($A382="","", INDEX(CS!$B$1:$B$15026,MATCH($A382,CS!$B:$B,0)+COLUMN(J$1),1))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INDEX(CS!$B$1:$B$15026,MATCH($A383,CS!$B:$B,0)+COLUMN(A$1),1))</f>
        <v/>
      </c>
      <c r="BH383" s="37" t="str">
        <f t="array" ref="BH383">IF($A383="","", INDEX(CS!$B$1:$B$15026,MATCH($A383,CS!$B:$B,0)+COLUMN(B$1),1))</f>
        <v/>
      </c>
      <c r="BI383" s="37" t="str">
        <f t="array" ref="BI383">IF($A383="","", INDEX(CS!$B$1:$B$15026,MATCH($A383,CS!$B:$B,0)+COLUMN(C$1),1))</f>
        <v/>
      </c>
      <c r="BJ383" s="37" t="str">
        <f t="array" ref="BJ383">IF($A383="","", INDEX(CS!$B$1:$B$15026,MATCH($A383,CS!$B:$B,0)+COLUMN(D$1),1))</f>
        <v/>
      </c>
      <c r="BK383" s="37" t="str">
        <f t="array" ref="BK383">IF($A383="","", INDEX(CS!$B$1:$B$15026,MATCH($A383,CS!$B:$B,0)+COLUMN(E$1),1))</f>
        <v/>
      </c>
      <c r="BL383" s="37" t="str">
        <f t="array" ref="BL383">IF($A383="","", INDEX(CS!$B$1:$B$15026,MATCH($A383,CS!$B:$B,0)+COLUMN(F$1),1))</f>
        <v/>
      </c>
      <c r="BM383" s="37" t="str">
        <f t="array" ref="BM383">IF($A383="","", INDEX(CS!$B$1:$B$15026,MATCH($A383,CS!$B:$B,0)+COLUMN(G$1),1))</f>
        <v/>
      </c>
      <c r="BN383" s="37" t="str">
        <f t="array" ref="BN383">IF($A383="","", INDEX(CS!$B$1:$B$15026,MATCH($A383,CS!$B:$B,0)+COLUMN(H$1),1))</f>
        <v/>
      </c>
      <c r="BO383" s="37" t="str">
        <f t="array" ref="BO383">IF($A383="","", INDEX(CS!$B$1:$B$15026,MATCH($A383,CS!$B:$B,0)+COLUMN(I$1),1))</f>
        <v/>
      </c>
      <c r="BP383" s="37" t="str">
        <f t="array" ref="BP383">IF($A383="","", INDEX(CS!$B$1:$B$15026,MATCH($A383,CS!$B:$B,0)+COLUMN(J$1),1))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INDEX(CS!$B$1:$B$15026,MATCH($A384,CS!$B:$B,0)+COLUMN(A$1),1))</f>
        <v/>
      </c>
      <c r="BH384" s="37" t="str">
        <f t="array" ref="BH384">IF($A384="","", INDEX(CS!$B$1:$B$15026,MATCH($A384,CS!$B:$B,0)+COLUMN(B$1),1))</f>
        <v/>
      </c>
      <c r="BI384" s="37" t="str">
        <f t="array" ref="BI384">IF($A384="","", INDEX(CS!$B$1:$B$15026,MATCH($A384,CS!$B:$B,0)+COLUMN(C$1),1))</f>
        <v/>
      </c>
      <c r="BJ384" s="37" t="str">
        <f t="array" ref="BJ384">IF($A384="","", INDEX(CS!$B$1:$B$15026,MATCH($A384,CS!$B:$B,0)+COLUMN(D$1),1))</f>
        <v/>
      </c>
      <c r="BK384" s="37" t="str">
        <f t="array" ref="BK384">IF($A384="","", INDEX(CS!$B$1:$B$15026,MATCH($A384,CS!$B:$B,0)+COLUMN(E$1),1))</f>
        <v/>
      </c>
      <c r="BL384" s="37" t="str">
        <f t="array" ref="BL384">IF($A384="","", INDEX(CS!$B$1:$B$15026,MATCH($A384,CS!$B:$B,0)+COLUMN(F$1),1))</f>
        <v/>
      </c>
      <c r="BM384" s="37" t="str">
        <f t="array" ref="BM384">IF($A384="","", INDEX(CS!$B$1:$B$15026,MATCH($A384,CS!$B:$B,0)+COLUMN(G$1),1))</f>
        <v/>
      </c>
      <c r="BN384" s="37" t="str">
        <f t="array" ref="BN384">IF($A384="","", INDEX(CS!$B$1:$B$15026,MATCH($A384,CS!$B:$B,0)+COLUMN(H$1),1))</f>
        <v/>
      </c>
      <c r="BO384" s="37" t="str">
        <f t="array" ref="BO384">IF($A384="","", INDEX(CS!$B$1:$B$15026,MATCH($A384,CS!$B:$B,0)+COLUMN(I$1),1))</f>
        <v/>
      </c>
      <c r="BP384" s="37" t="str">
        <f t="array" ref="BP384">IF($A384="","", INDEX(CS!$B$1:$B$15026,MATCH($A384,CS!$B:$B,0)+COLUMN(J$1),1))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INDEX(CS!$B$1:$B$15026,MATCH($A385,CS!$B:$B,0)+COLUMN(A$1),1))</f>
        <v/>
      </c>
      <c r="BH385" s="37" t="str">
        <f t="array" ref="BH385">IF($A385="","", INDEX(CS!$B$1:$B$15026,MATCH($A385,CS!$B:$B,0)+COLUMN(B$1),1))</f>
        <v/>
      </c>
      <c r="BI385" s="37" t="str">
        <f t="array" ref="BI385">IF($A385="","", INDEX(CS!$B$1:$B$15026,MATCH($A385,CS!$B:$B,0)+COLUMN(C$1),1))</f>
        <v/>
      </c>
      <c r="BJ385" s="37" t="str">
        <f t="array" ref="BJ385">IF($A385="","", INDEX(CS!$B$1:$B$15026,MATCH($A385,CS!$B:$B,0)+COLUMN(D$1),1))</f>
        <v/>
      </c>
      <c r="BK385" s="37" t="str">
        <f t="array" ref="BK385">IF($A385="","", INDEX(CS!$B$1:$B$15026,MATCH($A385,CS!$B:$B,0)+COLUMN(E$1),1))</f>
        <v/>
      </c>
      <c r="BL385" s="37" t="str">
        <f t="array" ref="BL385">IF($A385="","", INDEX(CS!$B$1:$B$15026,MATCH($A385,CS!$B:$B,0)+COLUMN(F$1),1))</f>
        <v/>
      </c>
      <c r="BM385" s="37" t="str">
        <f t="array" ref="BM385">IF($A385="","", INDEX(CS!$B$1:$B$15026,MATCH($A385,CS!$B:$B,0)+COLUMN(G$1),1))</f>
        <v/>
      </c>
      <c r="BN385" s="37" t="str">
        <f t="array" ref="BN385">IF($A385="","", INDEX(CS!$B$1:$B$15026,MATCH($A385,CS!$B:$B,0)+COLUMN(H$1),1))</f>
        <v/>
      </c>
      <c r="BO385" s="37" t="str">
        <f t="array" ref="BO385">IF($A385="","", INDEX(CS!$B$1:$B$15026,MATCH($A385,CS!$B:$B,0)+COLUMN(I$1),1))</f>
        <v/>
      </c>
      <c r="BP385" s="37" t="str">
        <f t="array" ref="BP385">IF($A385="","", INDEX(CS!$B$1:$B$15026,MATCH($A385,CS!$B:$B,0)+COLUMN(J$1),1))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INDEX(CS!$B$1:$B$15026,MATCH($A386,CS!$B:$B,0)+COLUMN(A$1),1))</f>
        <v/>
      </c>
      <c r="BH386" s="37" t="str">
        <f t="array" ref="BH386">IF($A386="","", INDEX(CS!$B$1:$B$15026,MATCH($A386,CS!$B:$B,0)+COLUMN(B$1),1))</f>
        <v/>
      </c>
      <c r="BI386" s="37" t="str">
        <f t="array" ref="BI386">IF($A386="","", INDEX(CS!$B$1:$B$15026,MATCH($A386,CS!$B:$B,0)+COLUMN(C$1),1))</f>
        <v/>
      </c>
      <c r="BJ386" s="37" t="str">
        <f t="array" ref="BJ386">IF($A386="","", INDEX(CS!$B$1:$B$15026,MATCH($A386,CS!$B:$B,0)+COLUMN(D$1),1))</f>
        <v/>
      </c>
      <c r="BK386" s="37" t="str">
        <f t="array" ref="BK386">IF($A386="","", INDEX(CS!$B$1:$B$15026,MATCH($A386,CS!$B:$B,0)+COLUMN(E$1),1))</f>
        <v/>
      </c>
      <c r="BL386" s="37" t="str">
        <f t="array" ref="BL386">IF($A386="","", INDEX(CS!$B$1:$B$15026,MATCH($A386,CS!$B:$B,0)+COLUMN(F$1),1))</f>
        <v/>
      </c>
      <c r="BM386" s="37" t="str">
        <f t="array" ref="BM386">IF($A386="","", INDEX(CS!$B$1:$B$15026,MATCH($A386,CS!$B:$B,0)+COLUMN(G$1),1))</f>
        <v/>
      </c>
      <c r="BN386" s="37" t="str">
        <f t="array" ref="BN386">IF($A386="","", INDEX(CS!$B$1:$B$15026,MATCH($A386,CS!$B:$B,0)+COLUMN(H$1),1))</f>
        <v/>
      </c>
      <c r="BO386" s="37" t="str">
        <f t="array" ref="BO386">IF($A386="","", INDEX(CS!$B$1:$B$15026,MATCH($A386,CS!$B:$B,0)+COLUMN(I$1),1))</f>
        <v/>
      </c>
      <c r="BP386" s="37" t="str">
        <f t="array" ref="BP386">IF($A386="","", INDEX(CS!$B$1:$B$15026,MATCH($A386,CS!$B:$B,0)+COLUMN(J$1),1))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INDEX(CS!$B$1:$B$15026,MATCH($A387,CS!$B:$B,0)+COLUMN(A$1),1))</f>
        <v/>
      </c>
      <c r="BH387" s="37" t="str">
        <f t="array" ref="BH387">IF($A387="","", INDEX(CS!$B$1:$B$15026,MATCH($A387,CS!$B:$B,0)+COLUMN(B$1),1))</f>
        <v/>
      </c>
      <c r="BI387" s="37" t="str">
        <f t="array" ref="BI387">IF($A387="","", INDEX(CS!$B$1:$B$15026,MATCH($A387,CS!$B:$B,0)+COLUMN(C$1),1))</f>
        <v/>
      </c>
      <c r="BJ387" s="37" t="str">
        <f t="array" ref="BJ387">IF($A387="","", INDEX(CS!$B$1:$B$15026,MATCH($A387,CS!$B:$B,0)+COLUMN(D$1),1))</f>
        <v/>
      </c>
      <c r="BK387" s="37" t="str">
        <f t="array" ref="BK387">IF($A387="","", INDEX(CS!$B$1:$B$15026,MATCH($A387,CS!$B:$B,0)+COLUMN(E$1),1))</f>
        <v/>
      </c>
      <c r="BL387" s="37" t="str">
        <f t="array" ref="BL387">IF($A387="","", INDEX(CS!$B$1:$B$15026,MATCH($A387,CS!$B:$B,0)+COLUMN(F$1),1))</f>
        <v/>
      </c>
      <c r="BM387" s="37" t="str">
        <f t="array" ref="BM387">IF($A387="","", INDEX(CS!$B$1:$B$15026,MATCH($A387,CS!$B:$B,0)+COLUMN(G$1),1))</f>
        <v/>
      </c>
      <c r="BN387" s="37" t="str">
        <f t="array" ref="BN387">IF($A387="","", INDEX(CS!$B$1:$B$15026,MATCH($A387,CS!$B:$B,0)+COLUMN(H$1),1))</f>
        <v/>
      </c>
      <c r="BO387" s="37" t="str">
        <f t="array" ref="BO387">IF($A387="","", INDEX(CS!$B$1:$B$15026,MATCH($A387,CS!$B:$B,0)+COLUMN(I$1),1))</f>
        <v/>
      </c>
      <c r="BP387" s="37" t="str">
        <f t="array" ref="BP387">IF($A387="","", INDEX(CS!$B$1:$B$15026,MATCH($A387,CS!$B:$B,0)+COLUMN(J$1),1))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INDEX(CS!$B$1:$B$15026,MATCH($A388,CS!$B:$B,0)+COLUMN(A$1),1))</f>
        <v/>
      </c>
      <c r="BH388" s="37" t="str">
        <f t="array" ref="BH388">IF($A388="","", INDEX(CS!$B$1:$B$15026,MATCH($A388,CS!$B:$B,0)+COLUMN(B$1),1))</f>
        <v/>
      </c>
      <c r="BI388" s="37" t="str">
        <f t="array" ref="BI388">IF($A388="","", INDEX(CS!$B$1:$B$15026,MATCH($A388,CS!$B:$B,0)+COLUMN(C$1),1))</f>
        <v/>
      </c>
      <c r="BJ388" s="37" t="str">
        <f t="array" ref="BJ388">IF($A388="","", INDEX(CS!$B$1:$B$15026,MATCH($A388,CS!$B:$B,0)+COLUMN(D$1),1))</f>
        <v/>
      </c>
      <c r="BK388" s="37" t="str">
        <f t="array" ref="BK388">IF($A388="","", INDEX(CS!$B$1:$B$15026,MATCH($A388,CS!$B:$B,0)+COLUMN(E$1),1))</f>
        <v/>
      </c>
      <c r="BL388" s="37" t="str">
        <f t="array" ref="BL388">IF($A388="","", INDEX(CS!$B$1:$B$15026,MATCH($A388,CS!$B:$B,0)+COLUMN(F$1),1))</f>
        <v/>
      </c>
      <c r="BM388" s="37" t="str">
        <f t="array" ref="BM388">IF($A388="","", INDEX(CS!$B$1:$B$15026,MATCH($A388,CS!$B:$B,0)+COLUMN(G$1),1))</f>
        <v/>
      </c>
      <c r="BN388" s="37" t="str">
        <f t="array" ref="BN388">IF($A388="","", INDEX(CS!$B$1:$B$15026,MATCH($A388,CS!$B:$B,0)+COLUMN(H$1),1))</f>
        <v/>
      </c>
      <c r="BO388" s="37" t="str">
        <f t="array" ref="BO388">IF($A388="","", INDEX(CS!$B$1:$B$15026,MATCH($A388,CS!$B:$B,0)+COLUMN(I$1),1))</f>
        <v/>
      </c>
      <c r="BP388" s="37" t="str">
        <f t="array" ref="BP388">IF($A388="","", INDEX(CS!$B$1:$B$15026,MATCH($A388,CS!$B:$B,0)+COLUMN(J$1),1))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INDEX(CS!$B$1:$B$15026,MATCH($A389,CS!$B:$B,0)+COLUMN(A$1),1))</f>
        <v/>
      </c>
      <c r="BH389" s="37" t="str">
        <f t="array" ref="BH389">IF($A389="","", INDEX(CS!$B$1:$B$15026,MATCH($A389,CS!$B:$B,0)+COLUMN(B$1),1))</f>
        <v/>
      </c>
      <c r="BI389" s="37" t="str">
        <f t="array" ref="BI389">IF($A389="","", INDEX(CS!$B$1:$B$15026,MATCH($A389,CS!$B:$B,0)+COLUMN(C$1),1))</f>
        <v/>
      </c>
      <c r="BJ389" s="37" t="str">
        <f t="array" ref="BJ389">IF($A389="","", INDEX(CS!$B$1:$B$15026,MATCH($A389,CS!$B:$B,0)+COLUMN(D$1),1))</f>
        <v/>
      </c>
      <c r="BK389" s="37" t="str">
        <f t="array" ref="BK389">IF($A389="","", INDEX(CS!$B$1:$B$15026,MATCH($A389,CS!$B:$B,0)+COLUMN(E$1),1))</f>
        <v/>
      </c>
      <c r="BL389" s="37" t="str">
        <f t="array" ref="BL389">IF($A389="","", INDEX(CS!$B$1:$B$15026,MATCH($A389,CS!$B:$B,0)+COLUMN(F$1),1))</f>
        <v/>
      </c>
      <c r="BM389" s="37" t="str">
        <f t="array" ref="BM389">IF($A389="","", INDEX(CS!$B$1:$B$15026,MATCH($A389,CS!$B:$B,0)+COLUMN(G$1),1))</f>
        <v/>
      </c>
      <c r="BN389" s="37" t="str">
        <f t="array" ref="BN389">IF($A389="","", INDEX(CS!$B$1:$B$15026,MATCH($A389,CS!$B:$B,0)+COLUMN(H$1),1))</f>
        <v/>
      </c>
      <c r="BO389" s="37" t="str">
        <f t="array" ref="BO389">IF($A389="","", INDEX(CS!$B$1:$B$15026,MATCH($A389,CS!$B:$B,0)+COLUMN(I$1),1))</f>
        <v/>
      </c>
      <c r="BP389" s="37" t="str">
        <f t="array" ref="BP389">IF($A389="","", INDEX(CS!$B$1:$B$15026,MATCH($A389,CS!$B:$B,0)+COLUMN(J$1),1))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INDEX(CS!$B$1:$B$15026,MATCH($A390,CS!$B:$B,0)+COLUMN(A$1),1))</f>
        <v/>
      </c>
      <c r="BH390" s="37" t="str">
        <f t="array" ref="BH390">IF($A390="","", INDEX(CS!$B$1:$B$15026,MATCH($A390,CS!$B:$B,0)+COLUMN(B$1),1))</f>
        <v/>
      </c>
      <c r="BI390" s="37" t="str">
        <f t="array" ref="BI390">IF($A390="","", INDEX(CS!$B$1:$B$15026,MATCH($A390,CS!$B:$B,0)+COLUMN(C$1),1))</f>
        <v/>
      </c>
      <c r="BJ390" s="37" t="str">
        <f t="array" ref="BJ390">IF($A390="","", INDEX(CS!$B$1:$B$15026,MATCH($A390,CS!$B:$B,0)+COLUMN(D$1),1))</f>
        <v/>
      </c>
      <c r="BK390" s="37" t="str">
        <f t="array" ref="BK390">IF($A390="","", INDEX(CS!$B$1:$B$15026,MATCH($A390,CS!$B:$B,0)+COLUMN(E$1),1))</f>
        <v/>
      </c>
      <c r="BL390" s="37" t="str">
        <f t="array" ref="BL390">IF($A390="","", INDEX(CS!$B$1:$B$15026,MATCH($A390,CS!$B:$B,0)+COLUMN(F$1),1))</f>
        <v/>
      </c>
      <c r="BM390" s="37" t="str">
        <f t="array" ref="BM390">IF($A390="","", INDEX(CS!$B$1:$B$15026,MATCH($A390,CS!$B:$B,0)+COLUMN(G$1),1))</f>
        <v/>
      </c>
      <c r="BN390" s="37" t="str">
        <f t="array" ref="BN390">IF($A390="","", INDEX(CS!$B$1:$B$15026,MATCH($A390,CS!$B:$B,0)+COLUMN(H$1),1))</f>
        <v/>
      </c>
      <c r="BO390" s="37" t="str">
        <f t="array" ref="BO390">IF($A390="","", INDEX(CS!$B$1:$B$15026,MATCH($A390,CS!$B:$B,0)+COLUMN(I$1),1))</f>
        <v/>
      </c>
      <c r="BP390" s="37" t="str">
        <f t="array" ref="BP390">IF($A390="","", INDEX(CS!$B$1:$B$15026,MATCH($A390,CS!$B:$B,0)+COLUMN(J$1),1))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INDEX(CS!$B$1:$B$15026,MATCH($A391,CS!$B:$B,0)+COLUMN(A$1),1))</f>
        <v/>
      </c>
      <c r="BH391" s="37" t="str">
        <f t="array" ref="BH391">IF($A391="","", INDEX(CS!$B$1:$B$15026,MATCH($A391,CS!$B:$B,0)+COLUMN(B$1),1))</f>
        <v/>
      </c>
      <c r="BI391" s="37" t="str">
        <f t="array" ref="BI391">IF($A391="","", INDEX(CS!$B$1:$B$15026,MATCH($A391,CS!$B:$B,0)+COLUMN(C$1),1))</f>
        <v/>
      </c>
      <c r="BJ391" s="37" t="str">
        <f t="array" ref="BJ391">IF($A391="","", INDEX(CS!$B$1:$B$15026,MATCH($A391,CS!$B:$B,0)+COLUMN(D$1),1))</f>
        <v/>
      </c>
      <c r="BK391" s="37" t="str">
        <f t="array" ref="BK391">IF($A391="","", INDEX(CS!$B$1:$B$15026,MATCH($A391,CS!$B:$B,0)+COLUMN(E$1),1))</f>
        <v/>
      </c>
      <c r="BL391" s="37" t="str">
        <f t="array" ref="BL391">IF($A391="","", INDEX(CS!$B$1:$B$15026,MATCH($A391,CS!$B:$B,0)+COLUMN(F$1),1))</f>
        <v/>
      </c>
      <c r="BM391" s="37" t="str">
        <f t="array" ref="BM391">IF($A391="","", INDEX(CS!$B$1:$B$15026,MATCH($A391,CS!$B:$B,0)+COLUMN(G$1),1))</f>
        <v/>
      </c>
      <c r="BN391" s="37" t="str">
        <f t="array" ref="BN391">IF($A391="","", INDEX(CS!$B$1:$B$15026,MATCH($A391,CS!$B:$B,0)+COLUMN(H$1),1))</f>
        <v/>
      </c>
      <c r="BO391" s="37" t="str">
        <f t="array" ref="BO391">IF($A391="","", INDEX(CS!$B$1:$B$15026,MATCH($A391,CS!$B:$B,0)+COLUMN(I$1),1))</f>
        <v/>
      </c>
      <c r="BP391" s="37" t="str">
        <f t="array" ref="BP391">IF($A391="","", INDEX(CS!$B$1:$B$15026,MATCH($A391,CS!$B:$B,0)+COLUMN(J$1),1))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INDEX(CS!$B$1:$B$15026,MATCH($A392,CS!$B:$B,0)+COLUMN(A$1),1))</f>
        <v/>
      </c>
      <c r="BH392" s="37" t="str">
        <f t="array" ref="BH392">IF($A392="","", INDEX(CS!$B$1:$B$15026,MATCH($A392,CS!$B:$B,0)+COLUMN(B$1),1))</f>
        <v/>
      </c>
      <c r="BI392" s="37" t="str">
        <f t="array" ref="BI392">IF($A392="","", INDEX(CS!$B$1:$B$15026,MATCH($A392,CS!$B:$B,0)+COLUMN(C$1),1))</f>
        <v/>
      </c>
      <c r="BJ392" s="37" t="str">
        <f t="array" ref="BJ392">IF($A392="","", INDEX(CS!$B$1:$B$15026,MATCH($A392,CS!$B:$B,0)+COLUMN(D$1),1))</f>
        <v/>
      </c>
      <c r="BK392" s="37" t="str">
        <f t="array" ref="BK392">IF($A392="","", INDEX(CS!$B$1:$B$15026,MATCH($A392,CS!$B:$B,0)+COLUMN(E$1),1))</f>
        <v/>
      </c>
      <c r="BL392" s="37" t="str">
        <f t="array" ref="BL392">IF($A392="","", INDEX(CS!$B$1:$B$15026,MATCH($A392,CS!$B:$B,0)+COLUMN(F$1),1))</f>
        <v/>
      </c>
      <c r="BM392" s="37" t="str">
        <f t="array" ref="BM392">IF($A392="","", INDEX(CS!$B$1:$B$15026,MATCH($A392,CS!$B:$B,0)+COLUMN(G$1),1))</f>
        <v/>
      </c>
      <c r="BN392" s="37" t="str">
        <f t="array" ref="BN392">IF($A392="","", INDEX(CS!$B$1:$B$15026,MATCH($A392,CS!$B:$B,0)+COLUMN(H$1),1))</f>
        <v/>
      </c>
      <c r="BO392" s="37" t="str">
        <f t="array" ref="BO392">IF($A392="","", INDEX(CS!$B$1:$B$15026,MATCH($A392,CS!$B:$B,0)+COLUMN(I$1),1))</f>
        <v/>
      </c>
      <c r="BP392" s="37" t="str">
        <f t="array" ref="BP392">IF($A392="","", INDEX(CS!$B$1:$B$15026,MATCH($A392,CS!$B:$B,0)+COLUMN(J$1),1))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INDEX(CS!$B$1:$B$15026,MATCH($A393,CS!$B:$B,0)+COLUMN(A$1),1))</f>
        <v/>
      </c>
      <c r="BH393" s="37" t="str">
        <f t="array" ref="BH393">IF($A393="","", INDEX(CS!$B$1:$B$15026,MATCH($A393,CS!$B:$B,0)+COLUMN(B$1),1))</f>
        <v/>
      </c>
      <c r="BI393" s="37" t="str">
        <f t="array" ref="BI393">IF($A393="","", INDEX(CS!$B$1:$B$15026,MATCH($A393,CS!$B:$B,0)+COLUMN(C$1),1))</f>
        <v/>
      </c>
      <c r="BJ393" s="37" t="str">
        <f t="array" ref="BJ393">IF($A393="","", INDEX(CS!$B$1:$B$15026,MATCH($A393,CS!$B:$B,0)+COLUMN(D$1),1))</f>
        <v/>
      </c>
      <c r="BK393" s="37" t="str">
        <f t="array" ref="BK393">IF($A393="","", INDEX(CS!$B$1:$B$15026,MATCH($A393,CS!$B:$B,0)+COLUMN(E$1),1))</f>
        <v/>
      </c>
      <c r="BL393" s="37" t="str">
        <f t="array" ref="BL393">IF($A393="","", INDEX(CS!$B$1:$B$15026,MATCH($A393,CS!$B:$B,0)+COLUMN(F$1),1))</f>
        <v/>
      </c>
      <c r="BM393" s="37" t="str">
        <f t="array" ref="BM393">IF($A393="","", INDEX(CS!$B$1:$B$15026,MATCH($A393,CS!$B:$B,0)+COLUMN(G$1),1))</f>
        <v/>
      </c>
      <c r="BN393" s="37" t="str">
        <f t="array" ref="BN393">IF($A393="","", INDEX(CS!$B$1:$B$15026,MATCH($A393,CS!$B:$B,0)+COLUMN(H$1),1))</f>
        <v/>
      </c>
      <c r="BO393" s="37" t="str">
        <f t="array" ref="BO393">IF($A393="","", INDEX(CS!$B$1:$B$15026,MATCH($A393,CS!$B:$B,0)+COLUMN(I$1),1))</f>
        <v/>
      </c>
      <c r="BP393" s="37" t="str">
        <f t="array" ref="BP393">IF($A393="","", INDEX(CS!$B$1:$B$15026,MATCH($A393,CS!$B:$B,0)+COLUMN(J$1),1))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INDEX(CS!$B$1:$B$15026,MATCH($A394,CS!$B:$B,0)+COLUMN(A$1),1))</f>
        <v/>
      </c>
      <c r="BH394" s="37" t="str">
        <f t="array" ref="BH394">IF($A394="","", INDEX(CS!$B$1:$B$15026,MATCH($A394,CS!$B:$B,0)+COLUMN(B$1),1))</f>
        <v/>
      </c>
      <c r="BI394" s="37" t="str">
        <f t="array" ref="BI394">IF($A394="","", INDEX(CS!$B$1:$B$15026,MATCH($A394,CS!$B:$B,0)+COLUMN(C$1),1))</f>
        <v/>
      </c>
      <c r="BJ394" s="37" t="str">
        <f t="array" ref="BJ394">IF($A394="","", INDEX(CS!$B$1:$B$15026,MATCH($A394,CS!$B:$B,0)+COLUMN(D$1),1))</f>
        <v/>
      </c>
      <c r="BK394" s="37" t="str">
        <f t="array" ref="BK394">IF($A394="","", INDEX(CS!$B$1:$B$15026,MATCH($A394,CS!$B:$B,0)+COLUMN(E$1),1))</f>
        <v/>
      </c>
      <c r="BL394" s="37" t="str">
        <f t="array" ref="BL394">IF($A394="","", INDEX(CS!$B$1:$B$15026,MATCH($A394,CS!$B:$B,0)+COLUMN(F$1),1))</f>
        <v/>
      </c>
      <c r="BM394" s="37" t="str">
        <f t="array" ref="BM394">IF($A394="","", INDEX(CS!$B$1:$B$15026,MATCH($A394,CS!$B:$B,0)+COLUMN(G$1),1))</f>
        <v/>
      </c>
      <c r="BN394" s="37" t="str">
        <f t="array" ref="BN394">IF($A394="","", INDEX(CS!$B$1:$B$15026,MATCH($A394,CS!$B:$B,0)+COLUMN(H$1),1))</f>
        <v/>
      </c>
      <c r="BO394" s="37" t="str">
        <f t="array" ref="BO394">IF($A394="","", INDEX(CS!$B$1:$B$15026,MATCH($A394,CS!$B:$B,0)+COLUMN(I$1),1))</f>
        <v/>
      </c>
      <c r="BP394" s="37" t="str">
        <f t="array" ref="BP394">IF($A394="","", INDEX(CS!$B$1:$B$15026,MATCH($A394,CS!$B:$B,0)+COLUMN(J$1),1))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INDEX(CS!$B$1:$B$15026,MATCH($A395,CS!$B:$B,0)+COLUMN(A$1),1))</f>
        <v/>
      </c>
      <c r="BH395" s="37" t="str">
        <f t="array" ref="BH395">IF($A395="","", INDEX(CS!$B$1:$B$15026,MATCH($A395,CS!$B:$B,0)+COLUMN(B$1),1))</f>
        <v/>
      </c>
      <c r="BI395" s="37" t="str">
        <f t="array" ref="BI395">IF($A395="","", INDEX(CS!$B$1:$B$15026,MATCH($A395,CS!$B:$B,0)+COLUMN(C$1),1))</f>
        <v/>
      </c>
      <c r="BJ395" s="37" t="str">
        <f t="array" ref="BJ395">IF($A395="","", INDEX(CS!$B$1:$B$15026,MATCH($A395,CS!$B:$B,0)+COLUMN(D$1),1))</f>
        <v/>
      </c>
      <c r="BK395" s="37" t="str">
        <f t="array" ref="BK395">IF($A395="","", INDEX(CS!$B$1:$B$15026,MATCH($A395,CS!$B:$B,0)+COLUMN(E$1),1))</f>
        <v/>
      </c>
      <c r="BL395" s="37" t="str">
        <f t="array" ref="BL395">IF($A395="","", INDEX(CS!$B$1:$B$15026,MATCH($A395,CS!$B:$B,0)+COLUMN(F$1),1))</f>
        <v/>
      </c>
      <c r="BM395" s="37" t="str">
        <f t="array" ref="BM395">IF($A395="","", INDEX(CS!$B$1:$B$15026,MATCH($A395,CS!$B:$B,0)+COLUMN(G$1),1))</f>
        <v/>
      </c>
      <c r="BN395" s="37" t="str">
        <f t="array" ref="BN395">IF($A395="","", INDEX(CS!$B$1:$B$15026,MATCH($A395,CS!$B:$B,0)+COLUMN(H$1),1))</f>
        <v/>
      </c>
      <c r="BO395" s="37" t="str">
        <f t="array" ref="BO395">IF($A395="","", INDEX(CS!$B$1:$B$15026,MATCH($A395,CS!$B:$B,0)+COLUMN(I$1),1))</f>
        <v/>
      </c>
      <c r="BP395" s="37" t="str">
        <f t="array" ref="BP395">IF($A395="","", INDEX(CS!$B$1:$B$15026,MATCH($A395,CS!$B:$B,0)+COLUMN(J$1),1))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INDEX(CS!$B$1:$B$15026,MATCH($A396,CS!$B:$B,0)+COLUMN(A$1),1))</f>
        <v/>
      </c>
      <c r="BH396" s="37" t="str">
        <f t="array" ref="BH396">IF($A396="","", INDEX(CS!$B$1:$B$15026,MATCH($A396,CS!$B:$B,0)+COLUMN(B$1),1))</f>
        <v/>
      </c>
      <c r="BI396" s="37" t="str">
        <f t="array" ref="BI396">IF($A396="","", INDEX(CS!$B$1:$B$15026,MATCH($A396,CS!$B:$B,0)+COLUMN(C$1),1))</f>
        <v/>
      </c>
      <c r="BJ396" s="37" t="str">
        <f t="array" ref="BJ396">IF($A396="","", INDEX(CS!$B$1:$B$15026,MATCH($A396,CS!$B:$B,0)+COLUMN(D$1),1))</f>
        <v/>
      </c>
      <c r="BK396" s="37" t="str">
        <f t="array" ref="BK396">IF($A396="","", INDEX(CS!$B$1:$B$15026,MATCH($A396,CS!$B:$B,0)+COLUMN(E$1),1))</f>
        <v/>
      </c>
      <c r="BL396" s="37" t="str">
        <f t="array" ref="BL396">IF($A396="","", INDEX(CS!$B$1:$B$15026,MATCH($A396,CS!$B:$B,0)+COLUMN(F$1),1))</f>
        <v/>
      </c>
      <c r="BM396" s="37" t="str">
        <f t="array" ref="BM396">IF($A396="","", INDEX(CS!$B$1:$B$15026,MATCH($A396,CS!$B:$B,0)+COLUMN(G$1),1))</f>
        <v/>
      </c>
      <c r="BN396" s="37" t="str">
        <f t="array" ref="BN396">IF($A396="","", INDEX(CS!$B$1:$B$15026,MATCH($A396,CS!$B:$B,0)+COLUMN(H$1),1))</f>
        <v/>
      </c>
      <c r="BO396" s="37" t="str">
        <f t="array" ref="BO396">IF($A396="","", INDEX(CS!$B$1:$B$15026,MATCH($A396,CS!$B:$B,0)+COLUMN(I$1),1))</f>
        <v/>
      </c>
      <c r="BP396" s="37" t="str">
        <f t="array" ref="BP396">IF($A396="","", INDEX(CS!$B$1:$B$15026,MATCH($A396,CS!$B:$B,0)+COLUMN(J$1),1))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INDEX(CS!$B$1:$B$15026,MATCH($A397,CS!$B:$B,0)+COLUMN(A$1),1))</f>
        <v/>
      </c>
      <c r="BH397" s="37" t="str">
        <f t="array" ref="BH397">IF($A397="","", INDEX(CS!$B$1:$B$15026,MATCH($A397,CS!$B:$B,0)+COLUMN(B$1),1))</f>
        <v/>
      </c>
      <c r="BI397" s="37" t="str">
        <f t="array" ref="BI397">IF($A397="","", INDEX(CS!$B$1:$B$15026,MATCH($A397,CS!$B:$B,0)+COLUMN(C$1),1))</f>
        <v/>
      </c>
      <c r="BJ397" s="37" t="str">
        <f t="array" ref="BJ397">IF($A397="","", INDEX(CS!$B$1:$B$15026,MATCH($A397,CS!$B:$B,0)+COLUMN(D$1),1))</f>
        <v/>
      </c>
      <c r="BK397" s="37" t="str">
        <f t="array" ref="BK397">IF($A397="","", INDEX(CS!$B$1:$B$15026,MATCH($A397,CS!$B:$B,0)+COLUMN(E$1),1))</f>
        <v/>
      </c>
      <c r="BL397" s="37" t="str">
        <f t="array" ref="BL397">IF($A397="","", INDEX(CS!$B$1:$B$15026,MATCH($A397,CS!$B:$B,0)+COLUMN(F$1),1))</f>
        <v/>
      </c>
      <c r="BM397" s="37" t="str">
        <f t="array" ref="BM397">IF($A397="","", INDEX(CS!$B$1:$B$15026,MATCH($A397,CS!$B:$B,0)+COLUMN(G$1),1))</f>
        <v/>
      </c>
      <c r="BN397" s="37" t="str">
        <f t="array" ref="BN397">IF($A397="","", INDEX(CS!$B$1:$B$15026,MATCH($A397,CS!$B:$B,0)+COLUMN(H$1),1))</f>
        <v/>
      </c>
      <c r="BO397" s="37" t="str">
        <f t="array" ref="BO397">IF($A397="","", INDEX(CS!$B$1:$B$15026,MATCH($A397,CS!$B:$B,0)+COLUMN(I$1),1))</f>
        <v/>
      </c>
      <c r="BP397" s="37" t="str">
        <f t="array" ref="BP397">IF($A397="","", INDEX(CS!$B$1:$B$15026,MATCH($A397,CS!$B:$B,0)+COLUMN(J$1),1))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INDEX(CS!$B$1:$B$15026,MATCH($A398,CS!$B:$B,0)+COLUMN(A$1),1))</f>
        <v/>
      </c>
      <c r="BH398" s="37" t="str">
        <f t="array" ref="BH398">IF($A398="","", INDEX(CS!$B$1:$B$15026,MATCH($A398,CS!$B:$B,0)+COLUMN(B$1),1))</f>
        <v/>
      </c>
      <c r="BI398" s="37" t="str">
        <f t="array" ref="BI398">IF($A398="","", INDEX(CS!$B$1:$B$15026,MATCH($A398,CS!$B:$B,0)+COLUMN(C$1),1))</f>
        <v/>
      </c>
      <c r="BJ398" s="37" t="str">
        <f t="array" ref="BJ398">IF($A398="","", INDEX(CS!$B$1:$B$15026,MATCH($A398,CS!$B:$B,0)+COLUMN(D$1),1))</f>
        <v/>
      </c>
      <c r="BK398" s="37" t="str">
        <f t="array" ref="BK398">IF($A398="","", INDEX(CS!$B$1:$B$15026,MATCH($A398,CS!$B:$B,0)+COLUMN(E$1),1))</f>
        <v/>
      </c>
      <c r="BL398" s="37" t="str">
        <f t="array" ref="BL398">IF($A398="","", INDEX(CS!$B$1:$B$15026,MATCH($A398,CS!$B:$B,0)+COLUMN(F$1),1))</f>
        <v/>
      </c>
      <c r="BM398" s="37" t="str">
        <f t="array" ref="BM398">IF($A398="","", INDEX(CS!$B$1:$B$15026,MATCH($A398,CS!$B:$B,0)+COLUMN(G$1),1))</f>
        <v/>
      </c>
      <c r="BN398" s="37" t="str">
        <f t="array" ref="BN398">IF($A398="","", INDEX(CS!$B$1:$B$15026,MATCH($A398,CS!$B:$B,0)+COLUMN(H$1),1))</f>
        <v/>
      </c>
      <c r="BO398" s="37" t="str">
        <f t="array" ref="BO398">IF($A398="","", INDEX(CS!$B$1:$B$15026,MATCH($A398,CS!$B:$B,0)+COLUMN(I$1),1))</f>
        <v/>
      </c>
      <c r="BP398" s="37" t="str">
        <f t="array" ref="BP398">IF($A398="","", INDEX(CS!$B$1:$B$15026,MATCH($A398,CS!$B:$B,0)+COLUMN(J$1),1))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INDEX(CS!$B$1:$B$15026,MATCH($A399,CS!$B:$B,0)+COLUMN(A$1),1))</f>
        <v/>
      </c>
      <c r="BH399" s="37" t="str">
        <f t="array" ref="BH399">IF($A399="","", INDEX(CS!$B$1:$B$15026,MATCH($A399,CS!$B:$B,0)+COLUMN(B$1),1))</f>
        <v/>
      </c>
      <c r="BI399" s="37" t="str">
        <f t="array" ref="BI399">IF($A399="","", INDEX(CS!$B$1:$B$15026,MATCH($A399,CS!$B:$B,0)+COLUMN(C$1),1))</f>
        <v/>
      </c>
      <c r="BJ399" s="37" t="str">
        <f t="array" ref="BJ399">IF($A399="","", INDEX(CS!$B$1:$B$15026,MATCH($A399,CS!$B:$B,0)+COLUMN(D$1),1))</f>
        <v/>
      </c>
      <c r="BK399" s="37" t="str">
        <f t="array" ref="BK399">IF($A399="","", INDEX(CS!$B$1:$B$15026,MATCH($A399,CS!$B:$B,0)+COLUMN(E$1),1))</f>
        <v/>
      </c>
      <c r="BL399" s="37" t="str">
        <f t="array" ref="BL399">IF($A399="","", INDEX(CS!$B$1:$B$15026,MATCH($A399,CS!$B:$B,0)+COLUMN(F$1),1))</f>
        <v/>
      </c>
      <c r="BM399" s="37" t="str">
        <f t="array" ref="BM399">IF($A399="","", INDEX(CS!$B$1:$B$15026,MATCH($A399,CS!$B:$B,0)+COLUMN(G$1),1))</f>
        <v/>
      </c>
      <c r="BN399" s="37" t="str">
        <f t="array" ref="BN399">IF($A399="","", INDEX(CS!$B$1:$B$15026,MATCH($A399,CS!$B:$B,0)+COLUMN(H$1),1))</f>
        <v/>
      </c>
      <c r="BO399" s="37" t="str">
        <f t="array" ref="BO399">IF($A399="","", INDEX(CS!$B$1:$B$15026,MATCH($A399,CS!$B:$B,0)+COLUMN(I$1),1))</f>
        <v/>
      </c>
      <c r="BP399" s="37" t="str">
        <f t="array" ref="BP399">IF($A399="","", INDEX(CS!$B$1:$B$15026,MATCH($A399,CS!$B:$B,0)+COLUMN(J$1),1))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INDEX(CS!$B$1:$B$15026,MATCH($A400,CS!$B:$B,0)+COLUMN(A$1),1))</f>
        <v/>
      </c>
      <c r="BH400" s="37" t="str">
        <f t="array" ref="BH400">IF($A400="","", INDEX(CS!$B$1:$B$15026,MATCH($A400,CS!$B:$B,0)+COLUMN(B$1),1))</f>
        <v/>
      </c>
      <c r="BI400" s="37" t="str">
        <f t="array" ref="BI400">IF($A400="","", INDEX(CS!$B$1:$B$15026,MATCH($A400,CS!$B:$B,0)+COLUMN(C$1),1))</f>
        <v/>
      </c>
      <c r="BJ400" s="37" t="str">
        <f t="array" ref="BJ400">IF($A400="","", INDEX(CS!$B$1:$B$15026,MATCH($A400,CS!$B:$B,0)+COLUMN(D$1),1))</f>
        <v/>
      </c>
      <c r="BK400" s="37" t="str">
        <f t="array" ref="BK400">IF($A400="","", INDEX(CS!$B$1:$B$15026,MATCH($A400,CS!$B:$B,0)+COLUMN(E$1),1))</f>
        <v/>
      </c>
      <c r="BL400" s="37" t="str">
        <f t="array" ref="BL400">IF($A400="","", INDEX(CS!$B$1:$B$15026,MATCH($A400,CS!$B:$B,0)+COLUMN(F$1),1))</f>
        <v/>
      </c>
      <c r="BM400" s="37" t="str">
        <f t="array" ref="BM400">IF($A400="","", INDEX(CS!$B$1:$B$15026,MATCH($A400,CS!$B:$B,0)+COLUMN(G$1),1))</f>
        <v/>
      </c>
      <c r="BN400" s="37" t="str">
        <f t="array" ref="BN400">IF($A400="","", INDEX(CS!$B$1:$B$15026,MATCH($A400,CS!$B:$B,0)+COLUMN(H$1),1))</f>
        <v/>
      </c>
      <c r="BO400" s="37" t="str">
        <f t="array" ref="BO400">IF($A400="","", INDEX(CS!$B$1:$B$15026,MATCH($A400,CS!$B:$B,0)+COLUMN(I$1),1))</f>
        <v/>
      </c>
      <c r="BP400" s="37" t="str">
        <f t="array" ref="BP400">IF($A400="","", INDEX(CS!$B$1:$B$15026,MATCH($A400,CS!$B:$B,0)+COLUMN(J$1),1))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INDEX(CS!$B$1:$B$15026,MATCH($A401,CS!$B:$B,0)+COLUMN(A$1),1))</f>
        <v/>
      </c>
      <c r="BH401" s="37" t="str">
        <f t="array" ref="BH401">IF($A401="","", INDEX(CS!$B$1:$B$15026,MATCH($A401,CS!$B:$B,0)+COLUMN(B$1),1))</f>
        <v/>
      </c>
      <c r="BI401" s="37" t="str">
        <f t="array" ref="BI401">IF($A401="","", INDEX(CS!$B$1:$B$15026,MATCH($A401,CS!$B:$B,0)+COLUMN(C$1),1))</f>
        <v/>
      </c>
      <c r="BJ401" s="37" t="str">
        <f t="array" ref="BJ401">IF($A401="","", INDEX(CS!$B$1:$B$15026,MATCH($A401,CS!$B:$B,0)+COLUMN(D$1),1))</f>
        <v/>
      </c>
      <c r="BK401" s="37" t="str">
        <f t="array" ref="BK401">IF($A401="","", INDEX(CS!$B$1:$B$15026,MATCH($A401,CS!$B:$B,0)+COLUMN(E$1),1))</f>
        <v/>
      </c>
      <c r="BL401" s="37" t="str">
        <f t="array" ref="BL401">IF($A401="","", INDEX(CS!$B$1:$B$15026,MATCH($A401,CS!$B:$B,0)+COLUMN(F$1),1))</f>
        <v/>
      </c>
      <c r="BM401" s="37" t="str">
        <f t="array" ref="BM401">IF($A401="","", INDEX(CS!$B$1:$B$15026,MATCH($A401,CS!$B:$B,0)+COLUMN(G$1),1))</f>
        <v/>
      </c>
      <c r="BN401" s="37" t="str">
        <f t="array" ref="BN401">IF($A401="","", INDEX(CS!$B$1:$B$15026,MATCH($A401,CS!$B:$B,0)+COLUMN(H$1),1))</f>
        <v/>
      </c>
      <c r="BO401" s="37" t="str">
        <f t="array" ref="BO401">IF($A401="","", INDEX(CS!$B$1:$B$15026,MATCH($A401,CS!$B:$B,0)+COLUMN(I$1),1))</f>
        <v/>
      </c>
      <c r="BP401" s="37" t="str">
        <f t="array" ref="BP401">IF($A401="","", INDEX(CS!$B$1:$B$15026,MATCH($A401,CS!$B:$B,0)+COLUMN(J$1),1))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INDEX(CS!$B$1:$B$15026,MATCH($A402,CS!$B:$B,0)+COLUMN(A$1),1))</f>
        <v/>
      </c>
      <c r="BH402" s="37" t="str">
        <f t="array" ref="BH402">IF($A402="","", INDEX(CS!$B$1:$B$15026,MATCH($A402,CS!$B:$B,0)+COLUMN(B$1),1))</f>
        <v/>
      </c>
      <c r="BI402" s="37" t="str">
        <f t="array" ref="BI402">IF($A402="","", INDEX(CS!$B$1:$B$15026,MATCH($A402,CS!$B:$B,0)+COLUMN(C$1),1))</f>
        <v/>
      </c>
      <c r="BJ402" s="37" t="str">
        <f t="array" ref="BJ402">IF($A402="","", INDEX(CS!$B$1:$B$15026,MATCH($A402,CS!$B:$B,0)+COLUMN(D$1),1))</f>
        <v/>
      </c>
      <c r="BK402" s="37" t="str">
        <f t="array" ref="BK402">IF($A402="","", INDEX(CS!$B$1:$B$15026,MATCH($A402,CS!$B:$B,0)+COLUMN(E$1),1))</f>
        <v/>
      </c>
      <c r="BL402" s="37" t="str">
        <f t="array" ref="BL402">IF($A402="","", INDEX(CS!$B$1:$B$15026,MATCH($A402,CS!$B:$B,0)+COLUMN(F$1),1))</f>
        <v/>
      </c>
      <c r="BM402" s="37" t="str">
        <f t="array" ref="BM402">IF($A402="","", INDEX(CS!$B$1:$B$15026,MATCH($A402,CS!$B:$B,0)+COLUMN(G$1),1))</f>
        <v/>
      </c>
      <c r="BN402" s="37" t="str">
        <f t="array" ref="BN402">IF($A402="","", INDEX(CS!$B$1:$B$15026,MATCH($A402,CS!$B:$B,0)+COLUMN(H$1),1))</f>
        <v/>
      </c>
      <c r="BO402" s="37" t="str">
        <f t="array" ref="BO402">IF($A402="","", INDEX(CS!$B$1:$B$15026,MATCH($A402,CS!$B:$B,0)+COLUMN(I$1),1))</f>
        <v/>
      </c>
      <c r="BP402" s="37" t="str">
        <f t="array" ref="BP402">IF($A402="","", INDEX(CS!$B$1:$B$15026,MATCH($A402,CS!$B:$B,0)+COLUMN(J$1),1))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INDEX(CS!$B$1:$B$15026,MATCH($A403,CS!$B:$B,0)+COLUMN(A$1),1))</f>
        <v/>
      </c>
      <c r="BH403" s="37" t="str">
        <f t="array" ref="BH403">IF($A403="","", INDEX(CS!$B$1:$B$15026,MATCH($A403,CS!$B:$B,0)+COLUMN(B$1),1))</f>
        <v/>
      </c>
      <c r="BI403" s="37" t="str">
        <f t="array" ref="BI403">IF($A403="","", INDEX(CS!$B$1:$B$15026,MATCH($A403,CS!$B:$B,0)+COLUMN(C$1),1))</f>
        <v/>
      </c>
      <c r="BJ403" s="37" t="str">
        <f t="array" ref="BJ403">IF($A403="","", INDEX(CS!$B$1:$B$15026,MATCH($A403,CS!$B:$B,0)+COLUMN(D$1),1))</f>
        <v/>
      </c>
      <c r="BK403" s="37" t="str">
        <f t="array" ref="BK403">IF($A403="","", INDEX(CS!$B$1:$B$15026,MATCH($A403,CS!$B:$B,0)+COLUMN(E$1),1))</f>
        <v/>
      </c>
      <c r="BL403" s="37" t="str">
        <f t="array" ref="BL403">IF($A403="","", INDEX(CS!$B$1:$B$15026,MATCH($A403,CS!$B:$B,0)+COLUMN(F$1),1))</f>
        <v/>
      </c>
      <c r="BM403" s="37" t="str">
        <f t="array" ref="BM403">IF($A403="","", INDEX(CS!$B$1:$B$15026,MATCH($A403,CS!$B:$B,0)+COLUMN(G$1),1))</f>
        <v/>
      </c>
      <c r="BN403" s="37" t="str">
        <f t="array" ref="BN403">IF($A403="","", INDEX(CS!$B$1:$B$15026,MATCH($A403,CS!$B:$B,0)+COLUMN(H$1),1))</f>
        <v/>
      </c>
      <c r="BO403" s="37" t="str">
        <f t="array" ref="BO403">IF($A403="","", INDEX(CS!$B$1:$B$15026,MATCH($A403,CS!$B:$B,0)+COLUMN(I$1),1))</f>
        <v/>
      </c>
      <c r="BP403" s="37" t="str">
        <f t="array" ref="BP403">IF($A403="","", INDEX(CS!$B$1:$B$15026,MATCH($A403,CS!$B:$B,0)+COLUMN(J$1),1))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INDEX(CS!$B$1:$B$15026,MATCH($A404,CS!$B:$B,0)+COLUMN(A$1),1))</f>
        <v/>
      </c>
      <c r="BH404" s="37" t="str">
        <f t="array" ref="BH404">IF($A404="","", INDEX(CS!$B$1:$B$15026,MATCH($A404,CS!$B:$B,0)+COLUMN(B$1),1))</f>
        <v/>
      </c>
      <c r="BI404" s="37" t="str">
        <f t="array" ref="BI404">IF($A404="","", INDEX(CS!$B$1:$B$15026,MATCH($A404,CS!$B:$B,0)+COLUMN(C$1),1))</f>
        <v/>
      </c>
      <c r="BJ404" s="37" t="str">
        <f t="array" ref="BJ404">IF($A404="","", INDEX(CS!$B$1:$B$15026,MATCH($A404,CS!$B:$B,0)+COLUMN(D$1),1))</f>
        <v/>
      </c>
      <c r="BK404" s="37" t="str">
        <f t="array" ref="BK404">IF($A404="","", INDEX(CS!$B$1:$B$15026,MATCH($A404,CS!$B:$B,0)+COLUMN(E$1),1))</f>
        <v/>
      </c>
      <c r="BL404" s="37" t="str">
        <f t="array" ref="BL404">IF($A404="","", INDEX(CS!$B$1:$B$15026,MATCH($A404,CS!$B:$B,0)+COLUMN(F$1),1))</f>
        <v/>
      </c>
      <c r="BM404" s="37" t="str">
        <f t="array" ref="BM404">IF($A404="","", INDEX(CS!$B$1:$B$15026,MATCH($A404,CS!$B:$B,0)+COLUMN(G$1),1))</f>
        <v/>
      </c>
      <c r="BN404" s="37" t="str">
        <f t="array" ref="BN404">IF($A404="","", INDEX(CS!$B$1:$B$15026,MATCH($A404,CS!$B:$B,0)+COLUMN(H$1),1))</f>
        <v/>
      </c>
      <c r="BO404" s="37" t="str">
        <f t="array" ref="BO404">IF($A404="","", INDEX(CS!$B$1:$B$15026,MATCH($A404,CS!$B:$B,0)+COLUMN(I$1),1))</f>
        <v/>
      </c>
      <c r="BP404" s="37" t="str">
        <f t="array" ref="BP404">IF($A404="","", INDEX(CS!$B$1:$B$15026,MATCH($A404,CS!$B:$B,0)+COLUMN(J$1),1))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INDEX(CS!$B$1:$B$15026,MATCH($A405,CS!$B:$B,0)+COLUMN(A$1),1))</f>
        <v/>
      </c>
      <c r="BH405" s="37" t="str">
        <f t="array" ref="BH405">IF($A405="","", INDEX(CS!$B$1:$B$15026,MATCH($A405,CS!$B:$B,0)+COLUMN(B$1),1))</f>
        <v/>
      </c>
      <c r="BI405" s="37" t="str">
        <f t="array" ref="BI405">IF($A405="","", INDEX(CS!$B$1:$B$15026,MATCH($A405,CS!$B:$B,0)+COLUMN(C$1),1))</f>
        <v/>
      </c>
      <c r="BJ405" s="37" t="str">
        <f t="array" ref="BJ405">IF($A405="","", INDEX(CS!$B$1:$B$15026,MATCH($A405,CS!$B:$B,0)+COLUMN(D$1),1))</f>
        <v/>
      </c>
      <c r="BK405" s="37" t="str">
        <f t="array" ref="BK405">IF($A405="","", INDEX(CS!$B$1:$B$15026,MATCH($A405,CS!$B:$B,0)+COLUMN(E$1),1))</f>
        <v/>
      </c>
      <c r="BL405" s="37" t="str">
        <f t="array" ref="BL405">IF($A405="","", INDEX(CS!$B$1:$B$15026,MATCH($A405,CS!$B:$B,0)+COLUMN(F$1),1))</f>
        <v/>
      </c>
      <c r="BM405" s="37" t="str">
        <f t="array" ref="BM405">IF($A405="","", INDEX(CS!$B$1:$B$15026,MATCH($A405,CS!$B:$B,0)+COLUMN(G$1),1))</f>
        <v/>
      </c>
      <c r="BN405" s="37" t="str">
        <f t="array" ref="BN405">IF($A405="","", INDEX(CS!$B$1:$B$15026,MATCH($A405,CS!$B:$B,0)+COLUMN(H$1),1))</f>
        <v/>
      </c>
      <c r="BO405" s="37" t="str">
        <f t="array" ref="BO405">IF($A405="","", INDEX(CS!$B$1:$B$15026,MATCH($A405,CS!$B:$B,0)+COLUMN(I$1),1))</f>
        <v/>
      </c>
      <c r="BP405" s="37" t="str">
        <f t="array" ref="BP405">IF($A405="","", INDEX(CS!$B$1:$B$15026,MATCH($A405,CS!$B:$B,0)+COLUMN(J$1),1))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INDEX(CS!$B$1:$B$15026,MATCH($A406,CS!$B:$B,0)+COLUMN(A$1),1))</f>
        <v/>
      </c>
      <c r="BH406" s="37" t="str">
        <f t="array" ref="BH406">IF($A406="","", INDEX(CS!$B$1:$B$15026,MATCH($A406,CS!$B:$B,0)+COLUMN(B$1),1))</f>
        <v/>
      </c>
      <c r="BI406" s="37" t="str">
        <f t="array" ref="BI406">IF($A406="","", INDEX(CS!$B$1:$B$15026,MATCH($A406,CS!$B:$B,0)+COLUMN(C$1),1))</f>
        <v/>
      </c>
      <c r="BJ406" s="37" t="str">
        <f t="array" ref="BJ406">IF($A406="","", INDEX(CS!$B$1:$B$15026,MATCH($A406,CS!$B:$B,0)+COLUMN(D$1),1))</f>
        <v/>
      </c>
      <c r="BK406" s="37" t="str">
        <f t="array" ref="BK406">IF($A406="","", INDEX(CS!$B$1:$B$15026,MATCH($A406,CS!$B:$B,0)+COLUMN(E$1),1))</f>
        <v/>
      </c>
      <c r="BL406" s="37" t="str">
        <f t="array" ref="BL406">IF($A406="","", INDEX(CS!$B$1:$B$15026,MATCH($A406,CS!$B:$B,0)+COLUMN(F$1),1))</f>
        <v/>
      </c>
      <c r="BM406" s="37" t="str">
        <f t="array" ref="BM406">IF($A406="","", INDEX(CS!$B$1:$B$15026,MATCH($A406,CS!$B:$B,0)+COLUMN(G$1),1))</f>
        <v/>
      </c>
      <c r="BN406" s="37" t="str">
        <f t="array" ref="BN406">IF($A406="","", INDEX(CS!$B$1:$B$15026,MATCH($A406,CS!$B:$B,0)+COLUMN(H$1),1))</f>
        <v/>
      </c>
      <c r="BO406" s="37" t="str">
        <f t="array" ref="BO406">IF($A406="","", INDEX(CS!$B$1:$B$15026,MATCH($A406,CS!$B:$B,0)+COLUMN(I$1),1))</f>
        <v/>
      </c>
      <c r="BP406" s="37" t="str">
        <f t="array" ref="BP406">IF($A406="","", INDEX(CS!$B$1:$B$15026,MATCH($A406,CS!$B:$B,0)+COLUMN(J$1),1))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INDEX(CS!$B$1:$B$15026,MATCH($A407,CS!$B:$B,0)+COLUMN(A$1),1))</f>
        <v/>
      </c>
      <c r="BH407" s="37" t="str">
        <f t="array" ref="BH407">IF($A407="","", INDEX(CS!$B$1:$B$15026,MATCH($A407,CS!$B:$B,0)+COLUMN(B$1),1))</f>
        <v/>
      </c>
      <c r="BI407" s="37" t="str">
        <f t="array" ref="BI407">IF($A407="","", INDEX(CS!$B$1:$B$15026,MATCH($A407,CS!$B:$B,0)+COLUMN(C$1),1))</f>
        <v/>
      </c>
      <c r="BJ407" s="37" t="str">
        <f t="array" ref="BJ407">IF($A407="","", INDEX(CS!$B$1:$B$15026,MATCH($A407,CS!$B:$B,0)+COLUMN(D$1),1))</f>
        <v/>
      </c>
      <c r="BK407" s="37" t="str">
        <f t="array" ref="BK407">IF($A407="","", INDEX(CS!$B$1:$B$15026,MATCH($A407,CS!$B:$B,0)+COLUMN(E$1),1))</f>
        <v/>
      </c>
      <c r="BL407" s="37" t="str">
        <f t="array" ref="BL407">IF($A407="","", INDEX(CS!$B$1:$B$15026,MATCH($A407,CS!$B:$B,0)+COLUMN(F$1),1))</f>
        <v/>
      </c>
      <c r="BM407" s="37" t="str">
        <f t="array" ref="BM407">IF($A407="","", INDEX(CS!$B$1:$B$15026,MATCH($A407,CS!$B:$B,0)+COLUMN(G$1),1))</f>
        <v/>
      </c>
      <c r="BN407" s="37" t="str">
        <f t="array" ref="BN407">IF($A407="","", INDEX(CS!$B$1:$B$15026,MATCH($A407,CS!$B:$B,0)+COLUMN(H$1),1))</f>
        <v/>
      </c>
      <c r="BO407" s="37" t="str">
        <f t="array" ref="BO407">IF($A407="","", INDEX(CS!$B$1:$B$15026,MATCH($A407,CS!$B:$B,0)+COLUMN(I$1),1))</f>
        <v/>
      </c>
      <c r="BP407" s="37" t="str">
        <f t="array" ref="BP407">IF($A407="","", INDEX(CS!$B$1:$B$15026,MATCH($A407,CS!$B:$B,0)+COLUMN(J$1),1))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INDEX(CS!$B$1:$B$15026,MATCH($A408,CS!$B:$B,0)+COLUMN(A$1),1))</f>
        <v/>
      </c>
      <c r="BH408" s="37" t="str">
        <f t="array" ref="BH408">IF($A408="","", INDEX(CS!$B$1:$B$15026,MATCH($A408,CS!$B:$B,0)+COLUMN(B$1),1))</f>
        <v/>
      </c>
      <c r="BI408" s="37" t="str">
        <f t="array" ref="BI408">IF($A408="","", INDEX(CS!$B$1:$B$15026,MATCH($A408,CS!$B:$B,0)+COLUMN(C$1),1))</f>
        <v/>
      </c>
      <c r="BJ408" s="37" t="str">
        <f t="array" ref="BJ408">IF($A408="","", INDEX(CS!$B$1:$B$15026,MATCH($A408,CS!$B:$B,0)+COLUMN(D$1),1))</f>
        <v/>
      </c>
      <c r="BK408" s="37" t="str">
        <f t="array" ref="BK408">IF($A408="","", INDEX(CS!$B$1:$B$15026,MATCH($A408,CS!$B:$B,0)+COLUMN(E$1),1))</f>
        <v/>
      </c>
      <c r="BL408" s="37" t="str">
        <f t="array" ref="BL408">IF($A408="","", INDEX(CS!$B$1:$B$15026,MATCH($A408,CS!$B:$B,0)+COLUMN(F$1),1))</f>
        <v/>
      </c>
      <c r="BM408" s="37" t="str">
        <f t="array" ref="BM408">IF($A408="","", INDEX(CS!$B$1:$B$15026,MATCH($A408,CS!$B:$B,0)+COLUMN(G$1),1))</f>
        <v/>
      </c>
      <c r="BN408" s="37" t="str">
        <f t="array" ref="BN408">IF($A408="","", INDEX(CS!$B$1:$B$15026,MATCH($A408,CS!$B:$B,0)+COLUMN(H$1),1))</f>
        <v/>
      </c>
      <c r="BO408" s="37" t="str">
        <f t="array" ref="BO408">IF($A408="","", INDEX(CS!$B$1:$B$15026,MATCH($A408,CS!$B:$B,0)+COLUMN(I$1),1))</f>
        <v/>
      </c>
      <c r="BP408" s="37" t="str">
        <f t="array" ref="BP408">IF($A408="","", INDEX(CS!$B$1:$B$15026,MATCH($A408,CS!$B:$B,0)+COLUMN(J$1),1))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INDEX(CS!$B$1:$B$15026,MATCH($A409,CS!$B:$B,0)+COLUMN(A$1),1))</f>
        <v/>
      </c>
      <c r="BH409" s="37" t="str">
        <f t="array" ref="BH409">IF($A409="","", INDEX(CS!$B$1:$B$15026,MATCH($A409,CS!$B:$B,0)+COLUMN(B$1),1))</f>
        <v/>
      </c>
      <c r="BI409" s="37" t="str">
        <f t="array" ref="BI409">IF($A409="","", INDEX(CS!$B$1:$B$15026,MATCH($A409,CS!$B:$B,0)+COLUMN(C$1),1))</f>
        <v/>
      </c>
      <c r="BJ409" s="37" t="str">
        <f t="array" ref="BJ409">IF($A409="","", INDEX(CS!$B$1:$B$15026,MATCH($A409,CS!$B:$B,0)+COLUMN(D$1),1))</f>
        <v/>
      </c>
      <c r="BK409" s="37" t="str">
        <f t="array" ref="BK409">IF($A409="","", INDEX(CS!$B$1:$B$15026,MATCH($A409,CS!$B:$B,0)+COLUMN(E$1),1))</f>
        <v/>
      </c>
      <c r="BL409" s="37" t="str">
        <f t="array" ref="BL409">IF($A409="","", INDEX(CS!$B$1:$B$15026,MATCH($A409,CS!$B:$B,0)+COLUMN(F$1),1))</f>
        <v/>
      </c>
      <c r="BM409" s="37" t="str">
        <f t="array" ref="BM409">IF($A409="","", INDEX(CS!$B$1:$B$15026,MATCH($A409,CS!$B:$B,0)+COLUMN(G$1),1))</f>
        <v/>
      </c>
      <c r="BN409" s="37" t="str">
        <f t="array" ref="BN409">IF($A409="","", INDEX(CS!$B$1:$B$15026,MATCH($A409,CS!$B:$B,0)+COLUMN(H$1),1))</f>
        <v/>
      </c>
      <c r="BO409" s="37" t="str">
        <f t="array" ref="BO409">IF($A409="","", INDEX(CS!$B$1:$B$15026,MATCH($A409,CS!$B:$B,0)+COLUMN(I$1),1))</f>
        <v/>
      </c>
      <c r="BP409" s="37" t="str">
        <f t="array" ref="BP409">IF($A409="","", INDEX(CS!$B$1:$B$15026,MATCH($A409,CS!$B:$B,0)+COLUMN(J$1),1))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INDEX(CS!$B$1:$B$15026,MATCH($A410,CS!$B:$B,0)+COLUMN(A$1),1))</f>
        <v/>
      </c>
      <c r="BH410" s="37" t="str">
        <f t="array" ref="BH410">IF($A410="","", INDEX(CS!$B$1:$B$15026,MATCH($A410,CS!$B:$B,0)+COLUMN(B$1),1))</f>
        <v/>
      </c>
      <c r="BI410" s="37" t="str">
        <f t="array" ref="BI410">IF($A410="","", INDEX(CS!$B$1:$B$15026,MATCH($A410,CS!$B:$B,0)+COLUMN(C$1),1))</f>
        <v/>
      </c>
      <c r="BJ410" s="37" t="str">
        <f t="array" ref="BJ410">IF($A410="","", INDEX(CS!$B$1:$B$15026,MATCH($A410,CS!$B:$B,0)+COLUMN(D$1),1))</f>
        <v/>
      </c>
      <c r="BK410" s="37" t="str">
        <f t="array" ref="BK410">IF($A410="","", INDEX(CS!$B$1:$B$15026,MATCH($A410,CS!$B:$B,0)+COLUMN(E$1),1))</f>
        <v/>
      </c>
      <c r="BL410" s="37" t="str">
        <f t="array" ref="BL410">IF($A410="","", INDEX(CS!$B$1:$B$15026,MATCH($A410,CS!$B:$B,0)+COLUMN(F$1),1))</f>
        <v/>
      </c>
      <c r="BM410" s="37" t="str">
        <f t="array" ref="BM410">IF($A410="","", INDEX(CS!$B$1:$B$15026,MATCH($A410,CS!$B:$B,0)+COLUMN(G$1),1))</f>
        <v/>
      </c>
      <c r="BN410" s="37" t="str">
        <f t="array" ref="BN410">IF($A410="","", INDEX(CS!$B$1:$B$15026,MATCH($A410,CS!$B:$B,0)+COLUMN(H$1),1))</f>
        <v/>
      </c>
      <c r="BO410" s="37" t="str">
        <f t="array" ref="BO410">IF($A410="","", INDEX(CS!$B$1:$B$15026,MATCH($A410,CS!$B:$B,0)+COLUMN(I$1),1))</f>
        <v/>
      </c>
      <c r="BP410" s="37" t="str">
        <f t="array" ref="BP410">IF($A410="","", INDEX(CS!$B$1:$B$15026,MATCH($A410,CS!$B:$B,0)+COLUMN(J$1),1))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INDEX(CS!$B$1:$B$15026,MATCH($A411,CS!$B:$B,0)+COLUMN(A$1),1))</f>
        <v/>
      </c>
      <c r="BH411" s="37" t="str">
        <f t="array" ref="BH411">IF($A411="","", INDEX(CS!$B$1:$B$15026,MATCH($A411,CS!$B:$B,0)+COLUMN(B$1),1))</f>
        <v/>
      </c>
      <c r="BI411" s="37" t="str">
        <f t="array" ref="BI411">IF($A411="","", INDEX(CS!$B$1:$B$15026,MATCH($A411,CS!$B:$B,0)+COLUMN(C$1),1))</f>
        <v/>
      </c>
      <c r="BJ411" s="37" t="str">
        <f t="array" ref="BJ411">IF($A411="","", INDEX(CS!$B$1:$B$15026,MATCH($A411,CS!$B:$B,0)+COLUMN(D$1),1))</f>
        <v/>
      </c>
      <c r="BK411" s="37" t="str">
        <f t="array" ref="BK411">IF($A411="","", INDEX(CS!$B$1:$B$15026,MATCH($A411,CS!$B:$B,0)+COLUMN(E$1),1))</f>
        <v/>
      </c>
      <c r="BL411" s="37" t="str">
        <f t="array" ref="BL411">IF($A411="","", INDEX(CS!$B$1:$B$15026,MATCH($A411,CS!$B:$B,0)+COLUMN(F$1),1))</f>
        <v/>
      </c>
      <c r="BM411" s="37" t="str">
        <f t="array" ref="BM411">IF($A411="","", INDEX(CS!$B$1:$B$15026,MATCH($A411,CS!$B:$B,0)+COLUMN(G$1),1))</f>
        <v/>
      </c>
      <c r="BN411" s="37" t="str">
        <f t="array" ref="BN411">IF($A411="","", INDEX(CS!$B$1:$B$15026,MATCH($A411,CS!$B:$B,0)+COLUMN(H$1),1))</f>
        <v/>
      </c>
      <c r="BO411" s="37" t="str">
        <f t="array" ref="BO411">IF($A411="","", INDEX(CS!$B$1:$B$15026,MATCH($A411,CS!$B:$B,0)+COLUMN(I$1),1))</f>
        <v/>
      </c>
      <c r="BP411" s="37" t="str">
        <f t="array" ref="BP411">IF($A411="","", INDEX(CS!$B$1:$B$15026,MATCH($A411,CS!$B:$B,0)+COLUMN(J$1),1))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INDEX(CS!$B$1:$B$15026,MATCH($A412,CS!$B:$B,0)+COLUMN(A$1),1))</f>
        <v/>
      </c>
      <c r="BH412" s="37" t="str">
        <f t="array" ref="BH412">IF($A412="","", INDEX(CS!$B$1:$B$15026,MATCH($A412,CS!$B:$B,0)+COLUMN(B$1),1))</f>
        <v/>
      </c>
      <c r="BI412" s="37" t="str">
        <f t="array" ref="BI412">IF($A412="","", INDEX(CS!$B$1:$B$15026,MATCH($A412,CS!$B:$B,0)+COLUMN(C$1),1))</f>
        <v/>
      </c>
      <c r="BJ412" s="37" t="str">
        <f t="array" ref="BJ412">IF($A412="","", INDEX(CS!$B$1:$B$15026,MATCH($A412,CS!$B:$B,0)+COLUMN(D$1),1))</f>
        <v/>
      </c>
      <c r="BK412" s="37" t="str">
        <f t="array" ref="BK412">IF($A412="","", INDEX(CS!$B$1:$B$15026,MATCH($A412,CS!$B:$B,0)+COLUMN(E$1),1))</f>
        <v/>
      </c>
      <c r="BL412" s="37" t="str">
        <f t="array" ref="BL412">IF($A412="","", INDEX(CS!$B$1:$B$15026,MATCH($A412,CS!$B:$B,0)+COLUMN(F$1),1))</f>
        <v/>
      </c>
      <c r="BM412" s="37" t="str">
        <f t="array" ref="BM412">IF($A412="","", INDEX(CS!$B$1:$B$15026,MATCH($A412,CS!$B:$B,0)+COLUMN(G$1),1))</f>
        <v/>
      </c>
      <c r="BN412" s="37" t="str">
        <f t="array" ref="BN412">IF($A412="","", INDEX(CS!$B$1:$B$15026,MATCH($A412,CS!$B:$B,0)+COLUMN(H$1),1))</f>
        <v/>
      </c>
      <c r="BO412" s="37" t="str">
        <f t="array" ref="BO412">IF($A412="","", INDEX(CS!$B$1:$B$15026,MATCH($A412,CS!$B:$B,0)+COLUMN(I$1),1))</f>
        <v/>
      </c>
      <c r="BP412" s="37" t="str">
        <f t="array" ref="BP412">IF($A412="","", INDEX(CS!$B$1:$B$15026,MATCH($A412,CS!$B:$B,0)+COLUMN(J$1),1))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INDEX(CS!$B$1:$B$15026,MATCH($A413,CS!$B:$B,0)+COLUMN(A$1),1))</f>
        <v/>
      </c>
      <c r="BH413" s="37" t="str">
        <f t="array" ref="BH413">IF($A413="","", INDEX(CS!$B$1:$B$15026,MATCH($A413,CS!$B:$B,0)+COLUMN(B$1),1))</f>
        <v/>
      </c>
      <c r="BI413" s="37" t="str">
        <f t="array" ref="BI413">IF($A413="","", INDEX(CS!$B$1:$B$15026,MATCH($A413,CS!$B:$B,0)+COLUMN(C$1),1))</f>
        <v/>
      </c>
      <c r="BJ413" s="37" t="str">
        <f t="array" ref="BJ413">IF($A413="","", INDEX(CS!$B$1:$B$15026,MATCH($A413,CS!$B:$B,0)+COLUMN(D$1),1))</f>
        <v/>
      </c>
      <c r="BK413" s="37" t="str">
        <f t="array" ref="BK413">IF($A413="","", INDEX(CS!$B$1:$B$15026,MATCH($A413,CS!$B:$B,0)+COLUMN(E$1),1))</f>
        <v/>
      </c>
      <c r="BL413" s="37" t="str">
        <f t="array" ref="BL413">IF($A413="","", INDEX(CS!$B$1:$B$15026,MATCH($A413,CS!$B:$B,0)+COLUMN(F$1),1))</f>
        <v/>
      </c>
      <c r="BM413" s="37" t="str">
        <f t="array" ref="BM413">IF($A413="","", INDEX(CS!$B$1:$B$15026,MATCH($A413,CS!$B:$B,0)+COLUMN(G$1),1))</f>
        <v/>
      </c>
      <c r="BN413" s="37" t="str">
        <f t="array" ref="BN413">IF($A413="","", INDEX(CS!$B$1:$B$15026,MATCH($A413,CS!$B:$B,0)+COLUMN(H$1),1))</f>
        <v/>
      </c>
      <c r="BO413" s="37" t="str">
        <f t="array" ref="BO413">IF($A413="","", INDEX(CS!$B$1:$B$15026,MATCH($A413,CS!$B:$B,0)+COLUMN(I$1),1))</f>
        <v/>
      </c>
      <c r="BP413" s="37" t="str">
        <f t="array" ref="BP413">IF($A413="","", INDEX(CS!$B$1:$B$15026,MATCH($A413,CS!$B:$B,0)+COLUMN(J$1),1))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INDEX(CS!$B$1:$B$15026,MATCH($A414,CS!$B:$B,0)+COLUMN(A$1),1))</f>
        <v/>
      </c>
      <c r="BH414" s="37" t="str">
        <f t="array" ref="BH414">IF($A414="","", INDEX(CS!$B$1:$B$15026,MATCH($A414,CS!$B:$B,0)+COLUMN(B$1),1))</f>
        <v/>
      </c>
      <c r="BI414" s="37" t="str">
        <f t="array" ref="BI414">IF($A414="","", INDEX(CS!$B$1:$B$15026,MATCH($A414,CS!$B:$B,0)+COLUMN(C$1),1))</f>
        <v/>
      </c>
      <c r="BJ414" s="37" t="str">
        <f t="array" ref="BJ414">IF($A414="","", INDEX(CS!$B$1:$B$15026,MATCH($A414,CS!$B:$B,0)+COLUMN(D$1),1))</f>
        <v/>
      </c>
      <c r="BK414" s="37" t="str">
        <f t="array" ref="BK414">IF($A414="","", INDEX(CS!$B$1:$B$15026,MATCH($A414,CS!$B:$B,0)+COLUMN(E$1),1))</f>
        <v/>
      </c>
      <c r="BL414" s="37" t="str">
        <f t="array" ref="BL414">IF($A414="","", INDEX(CS!$B$1:$B$15026,MATCH($A414,CS!$B:$B,0)+COLUMN(F$1),1))</f>
        <v/>
      </c>
      <c r="BM414" s="37" t="str">
        <f t="array" ref="BM414">IF($A414="","", INDEX(CS!$B$1:$B$15026,MATCH($A414,CS!$B:$B,0)+COLUMN(G$1),1))</f>
        <v/>
      </c>
      <c r="BN414" s="37" t="str">
        <f t="array" ref="BN414">IF($A414="","", INDEX(CS!$B$1:$B$15026,MATCH($A414,CS!$B:$B,0)+COLUMN(H$1),1))</f>
        <v/>
      </c>
      <c r="BO414" s="37" t="str">
        <f t="array" ref="BO414">IF($A414="","", INDEX(CS!$B$1:$B$15026,MATCH($A414,CS!$B:$B,0)+COLUMN(I$1),1))</f>
        <v/>
      </c>
      <c r="BP414" s="37" t="str">
        <f t="array" ref="BP414">IF($A414="","", INDEX(CS!$B$1:$B$15026,MATCH($A414,CS!$B:$B,0)+COLUMN(J$1),1))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INDEX(CS!$B$1:$B$15026,MATCH($A415,CS!$B:$B,0)+COLUMN(A$1),1))</f>
        <v/>
      </c>
      <c r="BH415" s="37" t="str">
        <f t="array" ref="BH415">IF($A415="","", INDEX(CS!$B$1:$B$15026,MATCH($A415,CS!$B:$B,0)+COLUMN(B$1),1))</f>
        <v/>
      </c>
      <c r="BI415" s="37" t="str">
        <f t="array" ref="BI415">IF($A415="","", INDEX(CS!$B$1:$B$15026,MATCH($A415,CS!$B:$B,0)+COLUMN(C$1),1))</f>
        <v/>
      </c>
      <c r="BJ415" s="37" t="str">
        <f t="array" ref="BJ415">IF($A415="","", INDEX(CS!$B$1:$B$15026,MATCH($A415,CS!$B:$B,0)+COLUMN(D$1),1))</f>
        <v/>
      </c>
      <c r="BK415" s="37" t="str">
        <f t="array" ref="BK415">IF($A415="","", INDEX(CS!$B$1:$B$15026,MATCH($A415,CS!$B:$B,0)+COLUMN(E$1),1))</f>
        <v/>
      </c>
      <c r="BL415" s="37" t="str">
        <f t="array" ref="BL415">IF($A415="","", INDEX(CS!$B$1:$B$15026,MATCH($A415,CS!$B:$B,0)+COLUMN(F$1),1))</f>
        <v/>
      </c>
      <c r="BM415" s="37" t="str">
        <f t="array" ref="BM415">IF($A415="","", INDEX(CS!$B$1:$B$15026,MATCH($A415,CS!$B:$B,0)+COLUMN(G$1),1))</f>
        <v/>
      </c>
      <c r="BN415" s="37" t="str">
        <f t="array" ref="BN415">IF($A415="","", INDEX(CS!$B$1:$B$15026,MATCH($A415,CS!$B:$B,0)+COLUMN(H$1),1))</f>
        <v/>
      </c>
      <c r="BO415" s="37" t="str">
        <f t="array" ref="BO415">IF($A415="","", INDEX(CS!$B$1:$B$15026,MATCH($A415,CS!$B:$B,0)+COLUMN(I$1),1))</f>
        <v/>
      </c>
      <c r="BP415" s="37" t="str">
        <f t="array" ref="BP415">IF($A415="","", INDEX(CS!$B$1:$B$15026,MATCH($A415,CS!$B:$B,0)+COLUMN(J$1),1))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INDEX(CS!$B$1:$B$15026,MATCH($A416,CS!$B:$B,0)+COLUMN(A$1),1))</f>
        <v/>
      </c>
      <c r="BH416" s="37" t="str">
        <f t="array" ref="BH416">IF($A416="","", INDEX(CS!$B$1:$B$15026,MATCH($A416,CS!$B:$B,0)+COLUMN(B$1),1))</f>
        <v/>
      </c>
      <c r="BI416" s="37" t="str">
        <f t="array" ref="BI416">IF($A416="","", INDEX(CS!$B$1:$B$15026,MATCH($A416,CS!$B:$B,0)+COLUMN(C$1),1))</f>
        <v/>
      </c>
      <c r="BJ416" s="37" t="str">
        <f t="array" ref="BJ416">IF($A416="","", INDEX(CS!$B$1:$B$15026,MATCH($A416,CS!$B:$B,0)+COLUMN(D$1),1))</f>
        <v/>
      </c>
      <c r="BK416" s="37" t="str">
        <f t="array" ref="BK416">IF($A416="","", INDEX(CS!$B$1:$B$15026,MATCH($A416,CS!$B:$B,0)+COLUMN(E$1),1))</f>
        <v/>
      </c>
      <c r="BL416" s="37" t="str">
        <f t="array" ref="BL416">IF($A416="","", INDEX(CS!$B$1:$B$15026,MATCH($A416,CS!$B:$B,0)+COLUMN(F$1),1))</f>
        <v/>
      </c>
      <c r="BM416" s="37" t="str">
        <f t="array" ref="BM416">IF($A416="","", INDEX(CS!$B$1:$B$15026,MATCH($A416,CS!$B:$B,0)+COLUMN(G$1),1))</f>
        <v/>
      </c>
      <c r="BN416" s="37" t="str">
        <f t="array" ref="BN416">IF($A416="","", INDEX(CS!$B$1:$B$15026,MATCH($A416,CS!$B:$B,0)+COLUMN(H$1),1))</f>
        <v/>
      </c>
      <c r="BO416" s="37" t="str">
        <f t="array" ref="BO416">IF($A416="","", INDEX(CS!$B$1:$B$15026,MATCH($A416,CS!$B:$B,0)+COLUMN(I$1),1))</f>
        <v/>
      </c>
      <c r="BP416" s="37" t="str">
        <f t="array" ref="BP416">IF($A416="","", INDEX(CS!$B$1:$B$15026,MATCH($A416,CS!$B:$B,0)+COLUMN(J$1),1))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INDEX(CS!$B$1:$B$15026,MATCH($A417,CS!$B:$B,0)+COLUMN(A$1),1))</f>
        <v/>
      </c>
      <c r="BH417" s="37" t="str">
        <f t="array" ref="BH417">IF($A417="","", INDEX(CS!$B$1:$B$15026,MATCH($A417,CS!$B:$B,0)+COLUMN(B$1),1))</f>
        <v/>
      </c>
      <c r="BI417" s="37" t="str">
        <f t="array" ref="BI417">IF($A417="","", INDEX(CS!$B$1:$B$15026,MATCH($A417,CS!$B:$B,0)+COLUMN(C$1),1))</f>
        <v/>
      </c>
      <c r="BJ417" s="37" t="str">
        <f t="array" ref="BJ417">IF($A417="","", INDEX(CS!$B$1:$B$15026,MATCH($A417,CS!$B:$B,0)+COLUMN(D$1),1))</f>
        <v/>
      </c>
      <c r="BK417" s="37" t="str">
        <f t="array" ref="BK417">IF($A417="","", INDEX(CS!$B$1:$B$15026,MATCH($A417,CS!$B:$B,0)+COLUMN(E$1),1))</f>
        <v/>
      </c>
      <c r="BL417" s="37" t="str">
        <f t="array" ref="BL417">IF($A417="","", INDEX(CS!$B$1:$B$15026,MATCH($A417,CS!$B:$B,0)+COLUMN(F$1),1))</f>
        <v/>
      </c>
      <c r="BM417" s="37" t="str">
        <f t="array" ref="BM417">IF($A417="","", INDEX(CS!$B$1:$B$15026,MATCH($A417,CS!$B:$B,0)+COLUMN(G$1),1))</f>
        <v/>
      </c>
      <c r="BN417" s="37" t="str">
        <f t="array" ref="BN417">IF($A417="","", INDEX(CS!$B$1:$B$15026,MATCH($A417,CS!$B:$B,0)+COLUMN(H$1),1))</f>
        <v/>
      </c>
      <c r="BO417" s="37" t="str">
        <f t="array" ref="BO417">IF($A417="","", INDEX(CS!$B$1:$B$15026,MATCH($A417,CS!$B:$B,0)+COLUMN(I$1),1))</f>
        <v/>
      </c>
      <c r="BP417" s="37" t="str">
        <f t="array" ref="BP417">IF($A417="","", INDEX(CS!$B$1:$B$15026,MATCH($A417,CS!$B:$B,0)+COLUMN(J$1),1))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INDEX(CS!$B$1:$B$15026,MATCH($A418,CS!$B:$B,0)+COLUMN(A$1),1))</f>
        <v/>
      </c>
      <c r="BH418" s="37" t="str">
        <f t="array" ref="BH418">IF($A418="","", INDEX(CS!$B$1:$B$15026,MATCH($A418,CS!$B:$B,0)+COLUMN(B$1),1))</f>
        <v/>
      </c>
      <c r="BI418" s="37" t="str">
        <f t="array" ref="BI418">IF($A418="","", INDEX(CS!$B$1:$B$15026,MATCH($A418,CS!$B:$B,0)+COLUMN(C$1),1))</f>
        <v/>
      </c>
      <c r="BJ418" s="37" t="str">
        <f t="array" ref="BJ418">IF($A418="","", INDEX(CS!$B$1:$B$15026,MATCH($A418,CS!$B:$B,0)+COLUMN(D$1),1))</f>
        <v/>
      </c>
      <c r="BK418" s="37" t="str">
        <f t="array" ref="BK418">IF($A418="","", INDEX(CS!$B$1:$B$15026,MATCH($A418,CS!$B:$B,0)+COLUMN(E$1),1))</f>
        <v/>
      </c>
      <c r="BL418" s="37" t="str">
        <f t="array" ref="BL418">IF($A418="","", INDEX(CS!$B$1:$B$15026,MATCH($A418,CS!$B:$B,0)+COLUMN(F$1),1))</f>
        <v/>
      </c>
      <c r="BM418" s="37" t="str">
        <f t="array" ref="BM418">IF($A418="","", INDEX(CS!$B$1:$B$15026,MATCH($A418,CS!$B:$B,0)+COLUMN(G$1),1))</f>
        <v/>
      </c>
      <c r="BN418" s="37" t="str">
        <f t="array" ref="BN418">IF($A418="","", INDEX(CS!$B$1:$B$15026,MATCH($A418,CS!$B:$B,0)+COLUMN(H$1),1))</f>
        <v/>
      </c>
      <c r="BO418" s="37" t="str">
        <f t="array" ref="BO418">IF($A418="","", INDEX(CS!$B$1:$B$15026,MATCH($A418,CS!$B:$B,0)+COLUMN(I$1),1))</f>
        <v/>
      </c>
      <c r="BP418" s="37" t="str">
        <f t="array" ref="BP418">IF($A418="","", INDEX(CS!$B$1:$B$15026,MATCH($A418,CS!$B:$B,0)+COLUMN(J$1),1))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INDEX(CS!$B$1:$B$15026,MATCH($A419,CS!$B:$B,0)+COLUMN(A$1),1))</f>
        <v/>
      </c>
      <c r="BH419" s="37" t="str">
        <f t="array" ref="BH419">IF($A419="","", INDEX(CS!$B$1:$B$15026,MATCH($A419,CS!$B:$B,0)+COLUMN(B$1),1))</f>
        <v/>
      </c>
      <c r="BI419" s="37" t="str">
        <f t="array" ref="BI419">IF($A419="","", INDEX(CS!$B$1:$B$15026,MATCH($A419,CS!$B:$B,0)+COLUMN(C$1),1))</f>
        <v/>
      </c>
      <c r="BJ419" s="37" t="str">
        <f t="array" ref="BJ419">IF($A419="","", INDEX(CS!$B$1:$B$15026,MATCH($A419,CS!$B:$B,0)+COLUMN(D$1),1))</f>
        <v/>
      </c>
      <c r="BK419" s="37" t="str">
        <f t="array" ref="BK419">IF($A419="","", INDEX(CS!$B$1:$B$15026,MATCH($A419,CS!$B:$B,0)+COLUMN(E$1),1))</f>
        <v/>
      </c>
      <c r="BL419" s="37" t="str">
        <f t="array" ref="BL419">IF($A419="","", INDEX(CS!$B$1:$B$15026,MATCH($A419,CS!$B:$B,0)+COLUMN(F$1),1))</f>
        <v/>
      </c>
      <c r="BM419" s="37" t="str">
        <f t="array" ref="BM419">IF($A419="","", INDEX(CS!$B$1:$B$15026,MATCH($A419,CS!$B:$B,0)+COLUMN(G$1),1))</f>
        <v/>
      </c>
      <c r="BN419" s="37" t="str">
        <f t="array" ref="BN419">IF($A419="","", INDEX(CS!$B$1:$B$15026,MATCH($A419,CS!$B:$B,0)+COLUMN(H$1),1))</f>
        <v/>
      </c>
      <c r="BO419" s="37" t="str">
        <f t="array" ref="BO419">IF($A419="","", INDEX(CS!$B$1:$B$15026,MATCH($A419,CS!$B:$B,0)+COLUMN(I$1),1))</f>
        <v/>
      </c>
      <c r="BP419" s="37" t="str">
        <f t="array" ref="BP419">IF($A419="","", INDEX(CS!$B$1:$B$15026,MATCH($A419,CS!$B:$B,0)+COLUMN(J$1),1))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INDEX(CS!$B$1:$B$15026,MATCH($A420,CS!$B:$B,0)+COLUMN(A$1),1))</f>
        <v/>
      </c>
      <c r="BH420" s="37" t="str">
        <f t="array" ref="BH420">IF($A420="","", INDEX(CS!$B$1:$B$15026,MATCH($A420,CS!$B:$B,0)+COLUMN(B$1),1))</f>
        <v/>
      </c>
      <c r="BI420" s="37" t="str">
        <f t="array" ref="BI420">IF($A420="","", INDEX(CS!$B$1:$B$15026,MATCH($A420,CS!$B:$B,0)+COLUMN(C$1),1))</f>
        <v/>
      </c>
      <c r="BJ420" s="37" t="str">
        <f t="array" ref="BJ420">IF($A420="","", INDEX(CS!$B$1:$B$15026,MATCH($A420,CS!$B:$B,0)+COLUMN(D$1),1))</f>
        <v/>
      </c>
      <c r="BK420" s="37" t="str">
        <f t="array" ref="BK420">IF($A420="","", INDEX(CS!$B$1:$B$15026,MATCH($A420,CS!$B:$B,0)+COLUMN(E$1),1))</f>
        <v/>
      </c>
      <c r="BL420" s="37" t="str">
        <f t="array" ref="BL420">IF($A420="","", INDEX(CS!$B$1:$B$15026,MATCH($A420,CS!$B:$B,0)+COLUMN(F$1),1))</f>
        <v/>
      </c>
      <c r="BM420" s="37" t="str">
        <f t="array" ref="BM420">IF($A420="","", INDEX(CS!$B$1:$B$15026,MATCH($A420,CS!$B:$B,0)+COLUMN(G$1),1))</f>
        <v/>
      </c>
      <c r="BN420" s="37" t="str">
        <f t="array" ref="BN420">IF($A420="","", INDEX(CS!$B$1:$B$15026,MATCH($A420,CS!$B:$B,0)+COLUMN(H$1),1))</f>
        <v/>
      </c>
      <c r="BO420" s="37" t="str">
        <f t="array" ref="BO420">IF($A420="","", INDEX(CS!$B$1:$B$15026,MATCH($A420,CS!$B:$B,0)+COLUMN(I$1),1))</f>
        <v/>
      </c>
      <c r="BP420" s="37" t="str">
        <f t="array" ref="BP420">IF($A420="","", INDEX(CS!$B$1:$B$15026,MATCH($A420,CS!$B:$B,0)+COLUMN(J$1),1))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INDEX(CS!$B$1:$B$15026,MATCH($A421,CS!$B:$B,0)+COLUMN(A$1),1))</f>
        <v/>
      </c>
      <c r="BH421" s="37" t="str">
        <f t="array" ref="BH421">IF($A421="","", INDEX(CS!$B$1:$B$15026,MATCH($A421,CS!$B:$B,0)+COLUMN(B$1),1))</f>
        <v/>
      </c>
      <c r="BI421" s="37" t="str">
        <f t="array" ref="BI421">IF($A421="","", INDEX(CS!$B$1:$B$15026,MATCH($A421,CS!$B:$B,0)+COLUMN(C$1),1))</f>
        <v/>
      </c>
      <c r="BJ421" s="37" t="str">
        <f t="array" ref="BJ421">IF($A421="","", INDEX(CS!$B$1:$B$15026,MATCH($A421,CS!$B:$B,0)+COLUMN(D$1),1))</f>
        <v/>
      </c>
      <c r="BK421" s="37" t="str">
        <f t="array" ref="BK421">IF($A421="","", INDEX(CS!$B$1:$B$15026,MATCH($A421,CS!$B:$B,0)+COLUMN(E$1),1))</f>
        <v/>
      </c>
      <c r="BL421" s="37" t="str">
        <f t="array" ref="BL421">IF($A421="","", INDEX(CS!$B$1:$B$15026,MATCH($A421,CS!$B:$B,0)+COLUMN(F$1),1))</f>
        <v/>
      </c>
      <c r="BM421" s="37" t="str">
        <f t="array" ref="BM421">IF($A421="","", INDEX(CS!$B$1:$B$15026,MATCH($A421,CS!$B:$B,0)+COLUMN(G$1),1))</f>
        <v/>
      </c>
      <c r="BN421" s="37" t="str">
        <f t="array" ref="BN421">IF($A421="","", INDEX(CS!$B$1:$B$15026,MATCH($A421,CS!$B:$B,0)+COLUMN(H$1),1))</f>
        <v/>
      </c>
      <c r="BO421" s="37" t="str">
        <f t="array" ref="BO421">IF($A421="","", INDEX(CS!$B$1:$B$15026,MATCH($A421,CS!$B:$B,0)+COLUMN(I$1),1))</f>
        <v/>
      </c>
      <c r="BP421" s="37" t="str">
        <f t="array" ref="BP421">IF($A421="","", INDEX(CS!$B$1:$B$15026,MATCH($A421,CS!$B:$B,0)+COLUMN(J$1),1))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INDEX(CS!$B$1:$B$15026,MATCH($A422,CS!$B:$B,0)+COLUMN(A$1),1))</f>
        <v/>
      </c>
      <c r="BH422" s="37" t="str">
        <f t="array" ref="BH422">IF($A422="","", INDEX(CS!$B$1:$B$15026,MATCH($A422,CS!$B:$B,0)+COLUMN(B$1),1))</f>
        <v/>
      </c>
      <c r="BI422" s="37" t="str">
        <f t="array" ref="BI422">IF($A422="","", INDEX(CS!$B$1:$B$15026,MATCH($A422,CS!$B:$B,0)+COLUMN(C$1),1))</f>
        <v/>
      </c>
      <c r="BJ422" s="37" t="str">
        <f t="array" ref="BJ422">IF($A422="","", INDEX(CS!$B$1:$B$15026,MATCH($A422,CS!$B:$B,0)+COLUMN(D$1),1))</f>
        <v/>
      </c>
      <c r="BK422" s="37" t="str">
        <f t="array" ref="BK422">IF($A422="","", INDEX(CS!$B$1:$B$15026,MATCH($A422,CS!$B:$B,0)+COLUMN(E$1),1))</f>
        <v/>
      </c>
      <c r="BL422" s="37" t="str">
        <f t="array" ref="BL422">IF($A422="","", INDEX(CS!$B$1:$B$15026,MATCH($A422,CS!$B:$B,0)+COLUMN(F$1),1))</f>
        <v/>
      </c>
      <c r="BM422" s="37" t="str">
        <f t="array" ref="BM422">IF($A422="","", INDEX(CS!$B$1:$B$15026,MATCH($A422,CS!$B:$B,0)+COLUMN(I$1),1))</f>
        <v/>
      </c>
      <c r="BN422" s="37" t="str">
        <f t="array" ref="BN422">IF($A422="","", INDEX(CS!$B$1:$B$15026,MATCH($A422,CS!$B:$B,0)+COLUMN(J$1),1))</f>
        <v/>
      </c>
      <c r="BO422" s="37" t="str">
        <f t="array" ref="BO422">IF($A422="","", INDEX(CS!$B$1:$B$15026,MATCH($A422,CS!$B:$B,0)+COLUMN(K$1),1))</f>
        <v/>
      </c>
      <c r="BP422" s="37" t="str">
        <f t="array" ref="BP422">IF($A422="","", INDEX(CS!$B$1:$B$15026,MATCH($A422,CS!$B:$B,0)+COLUMN(L$1),1))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INDEX(CS!$B$1:$B$15026,MATCH($A423,CS!$B:$B,0)+COLUMN(A$1),1))</f>
        <v/>
      </c>
      <c r="BH423" s="37" t="str">
        <f t="array" ref="BH423">IF($A423="","", INDEX(CS!$B$1:$B$15026,MATCH($A423,CS!$B:$B,0)+COLUMN(B$1),1))</f>
        <v/>
      </c>
      <c r="BI423" s="37" t="str">
        <f t="array" ref="BI423">IF($A423="","", INDEX(CS!$B$1:$B$15026,MATCH($A423,CS!$B:$B,0)+COLUMN(C$1),1))</f>
        <v/>
      </c>
      <c r="BJ423" s="37" t="str">
        <f t="array" ref="BJ423">IF($A423="","", INDEX(CS!$B$1:$B$15026,MATCH($A423,CS!$B:$B,0)+COLUMN(D$1),1))</f>
        <v/>
      </c>
      <c r="BK423" s="37" t="str">
        <f t="array" ref="BK423">IF($A423="","", INDEX(CS!$B$1:$B$15026,MATCH($A423,CS!$B:$B,0)+COLUMN(E$1),1))</f>
        <v/>
      </c>
      <c r="BL423" s="37" t="str">
        <f t="array" ref="BL423">IF($A423="","", INDEX(CS!$B$1:$B$15026,MATCH($A423,CS!$B:$B,0)+COLUMN(F$1),1))</f>
        <v/>
      </c>
      <c r="BM423" s="37" t="str">
        <f t="array" ref="BM423">IF($A423="","", INDEX(CS!$B$1:$B$15026,MATCH($A423,CS!$B:$B,0)+COLUMN(I$1),1))</f>
        <v/>
      </c>
      <c r="BN423" s="37" t="str">
        <f t="array" ref="BN423">IF($A423="","", INDEX(CS!$B$1:$B$15026,MATCH($A423,CS!$B:$B,0)+COLUMN(J$1),1))</f>
        <v/>
      </c>
      <c r="BO423" s="37" t="str">
        <f t="array" ref="BO423">IF($A423="","", INDEX(CS!$B$1:$B$15026,MATCH($A423,CS!$B:$B,0)+COLUMN(K$1),1))</f>
        <v/>
      </c>
      <c r="BP423" s="37" t="str">
        <f t="array" ref="BP423">IF($A423="","", INDEX(CS!$B$1:$B$15026,MATCH($A423,CS!$B:$B,0)+COLUMN(L$1),1))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INDEX(CS!$B$1:$B$15026,MATCH($A424,CS!$B:$B,0)+COLUMN(A$1),1))</f>
        <v/>
      </c>
      <c r="BH424" s="37" t="str">
        <f t="array" ref="BH424">IF($A424="","", INDEX(CS!$B$1:$B$15026,MATCH($A424,CS!$B:$B,0)+COLUMN(B$1),1))</f>
        <v/>
      </c>
      <c r="BI424" s="37" t="str">
        <f t="array" ref="BI424">IF($A424="","", INDEX(CS!$B$1:$B$15026,MATCH($A424,CS!$B:$B,0)+COLUMN(C$1),1))</f>
        <v/>
      </c>
      <c r="BJ424" s="37" t="str">
        <f t="array" ref="BJ424">IF($A424="","", INDEX(CS!$B$1:$B$15026,MATCH($A424,CS!$B:$B,0)+COLUMN(D$1),1))</f>
        <v/>
      </c>
      <c r="BK424" s="37" t="str">
        <f t="array" ref="BK424">IF($A424="","", INDEX(CS!$B$1:$B$15026,MATCH($A424,CS!$B:$B,0)+COLUMN(E$1),1))</f>
        <v/>
      </c>
      <c r="BL424" s="37" t="str">
        <f t="array" ref="BL424">IF($A424="","", INDEX(CS!$B$1:$B$15026,MATCH($A424,CS!$B:$B,0)+COLUMN(F$1),1))</f>
        <v/>
      </c>
      <c r="BM424" s="37" t="str">
        <f t="array" ref="BM424">IF($A424="","", INDEX(CS!$B$1:$B$15026,MATCH($A424,CS!$B:$B,0)+COLUMN(I$1),1))</f>
        <v/>
      </c>
      <c r="BN424" s="37" t="str">
        <f t="array" ref="BN424">IF($A424="","", INDEX(CS!$B$1:$B$15026,MATCH($A424,CS!$B:$B,0)+COLUMN(J$1),1))</f>
        <v/>
      </c>
      <c r="BO424" s="37" t="str">
        <f t="array" ref="BO424">IF($A424="","", INDEX(CS!$B$1:$B$15026,MATCH($A424,CS!$B:$B,0)+COLUMN(K$1),1))</f>
        <v/>
      </c>
      <c r="BP424" s="37" t="str">
        <f t="array" ref="BP424">IF($A424="","", INDEX(CS!$B$1:$B$15026,MATCH($A424,CS!$B:$B,0)+COLUMN(L$1),1))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INDEX(CS!$B$1:$B$15026,MATCH($A425,CS!$B:$B,0)+COLUMN(A$1),1))</f>
        <v/>
      </c>
      <c r="BH425" s="37" t="str">
        <f t="array" ref="BH425">IF($A425="","", INDEX(CS!$B$1:$B$15026,MATCH($A425,CS!$B:$B,0)+COLUMN(B$1),1))</f>
        <v/>
      </c>
      <c r="BI425" s="37" t="str">
        <f t="array" ref="BI425">IF($A425="","", INDEX(CS!$B$1:$B$15026,MATCH($A425,CS!$B:$B,0)+COLUMN(C$1),1))</f>
        <v/>
      </c>
      <c r="BJ425" s="37" t="str">
        <f t="array" ref="BJ425">IF($A425="","", INDEX(CS!$B$1:$B$15026,MATCH($A425,CS!$B:$B,0)+COLUMN(D$1),1))</f>
        <v/>
      </c>
      <c r="BK425" s="37" t="str">
        <f t="array" ref="BK425">IF($A425="","", INDEX(CS!$B$1:$B$15026,MATCH($A425,CS!$B:$B,0)+COLUMN(E$1),1))</f>
        <v/>
      </c>
      <c r="BL425" s="37" t="str">
        <f t="array" ref="BL425">IF($A425="","", INDEX(CS!$B$1:$B$15026,MATCH($A425,CS!$B:$B,0)+COLUMN(F$1),1))</f>
        <v/>
      </c>
      <c r="BM425" s="37" t="str">
        <f t="array" ref="BM425">IF($A425="","", INDEX(CS!$B$1:$B$15026,MATCH($A425,CS!$B:$B,0)+COLUMN(I$1),1))</f>
        <v/>
      </c>
      <c r="BN425" s="37" t="str">
        <f t="array" ref="BN425">IF($A425="","", INDEX(CS!$B$1:$B$15026,MATCH($A425,CS!$B:$B,0)+COLUMN(J$1),1))</f>
        <v/>
      </c>
      <c r="BO425" s="37" t="str">
        <f t="array" ref="BO425">IF($A425="","", INDEX(CS!$B$1:$B$15026,MATCH($A425,CS!$B:$B,0)+COLUMN(K$1),1))</f>
        <v/>
      </c>
      <c r="BP425" s="37" t="str">
        <f t="array" ref="BP425">IF($A425="","", INDEX(CS!$B$1:$B$15026,MATCH($A425,CS!$B:$B,0)+COLUMN(L$1),1))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INDEX(CS!$B$1:$B$15026,MATCH($A426,CS!$B:$B,0)+COLUMN(A$1),1))</f>
        <v/>
      </c>
      <c r="BH426" s="37" t="str">
        <f t="array" ref="BH426">IF($A426="","", INDEX(CS!$B$1:$B$15026,MATCH($A426,CS!$B:$B,0)+COLUMN(B$1),1))</f>
        <v/>
      </c>
      <c r="BI426" s="37" t="str">
        <f t="array" ref="BI426">IF($A426="","", INDEX(CS!$B$1:$B$15026,MATCH($A426,CS!$B:$B,0)+COLUMN(C$1),1))</f>
        <v/>
      </c>
      <c r="BJ426" s="37" t="str">
        <f t="array" ref="BJ426">IF($A426="","", INDEX(CS!$B$1:$B$15026,MATCH($A426,CS!$B:$B,0)+COLUMN(D$1),1))</f>
        <v/>
      </c>
      <c r="BK426" s="37" t="str">
        <f t="array" ref="BK426">IF($A426="","", INDEX(CS!$B$1:$B$15026,MATCH($A426,CS!$B:$B,0)+COLUMN(E$1),1))</f>
        <v/>
      </c>
      <c r="BL426" s="37" t="str">
        <f t="array" ref="BL426">IF($A426="","", INDEX(CS!$B$1:$B$15026,MATCH($A426,CS!$B:$B,0)+COLUMN(F$1),1))</f>
        <v/>
      </c>
      <c r="BM426" s="37" t="str">
        <f t="array" ref="BM426">IF($A426="","", INDEX(CS!$B$1:$B$15026,MATCH($A426,CS!$B:$B,0)+COLUMN(I$1),1))</f>
        <v/>
      </c>
      <c r="BN426" s="37" t="str">
        <f t="array" ref="BN426">IF($A426="","", INDEX(CS!$B$1:$B$15026,MATCH($A426,CS!$B:$B,0)+COLUMN(J$1),1))</f>
        <v/>
      </c>
      <c r="BO426" s="37" t="str">
        <f t="array" ref="BO426">IF($A426="","", INDEX(CS!$B$1:$B$15026,MATCH($A426,CS!$B:$B,0)+COLUMN(K$1),1))</f>
        <v/>
      </c>
      <c r="BP426" s="37" t="str">
        <f t="array" ref="BP426">IF($A426="","", INDEX(CS!$B$1:$B$15026,MATCH($A426,CS!$B:$B,0)+COLUMN(L$1),1))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INDEX(CS!$B$1:$B$15026,MATCH($A427,CS!$B:$B,0)+COLUMN(A$1),1))</f>
        <v/>
      </c>
      <c r="BH427" s="37" t="str">
        <f t="array" ref="BH427">IF($A427="","", INDEX(CS!$B$1:$B$15026,MATCH($A427,CS!$B:$B,0)+COLUMN(B$1),1))</f>
        <v/>
      </c>
      <c r="BI427" s="37" t="str">
        <f t="array" ref="BI427">IF($A427="","", INDEX(CS!$B$1:$B$15026,MATCH($A427,CS!$B:$B,0)+COLUMN(C$1),1))</f>
        <v/>
      </c>
      <c r="BJ427" s="37" t="str">
        <f t="array" ref="BJ427">IF($A427="","", INDEX(CS!$B$1:$B$15026,MATCH($A427,CS!$B:$B,0)+COLUMN(D$1),1))</f>
        <v/>
      </c>
      <c r="BK427" s="37" t="str">
        <f t="array" ref="BK427">IF($A427="","", INDEX(CS!$B$1:$B$15026,MATCH($A427,CS!$B:$B,0)+COLUMN(E$1),1))</f>
        <v/>
      </c>
      <c r="BL427" s="37" t="str">
        <f t="array" ref="BL427">IF($A427="","", INDEX(CS!$B$1:$B$15026,MATCH($A427,CS!$B:$B,0)+COLUMN(F$1),1))</f>
        <v/>
      </c>
      <c r="BM427" s="37" t="str">
        <f t="array" ref="BM427">IF($A427="","", INDEX(CS!$B$1:$B$15026,MATCH($A427,CS!$B:$B,0)+COLUMN(I$1),1))</f>
        <v/>
      </c>
      <c r="BN427" s="37" t="str">
        <f t="array" ref="BN427">IF($A427="","", INDEX(CS!$B$1:$B$15026,MATCH($A427,CS!$B:$B,0)+COLUMN(J$1),1))</f>
        <v/>
      </c>
      <c r="BO427" s="37" t="str">
        <f t="array" ref="BO427">IF($A427="","", INDEX(CS!$B$1:$B$15026,MATCH($A427,CS!$B:$B,0)+COLUMN(K$1),1))</f>
        <v/>
      </c>
      <c r="BP427" s="37" t="str">
        <f t="array" ref="BP427">IF($A427="","", INDEX(CS!$B$1:$B$15026,MATCH($A427,CS!$B:$B,0)+COLUMN(L$1),1))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INDEX(CS!$B$1:$B$15026,MATCH($A428,CS!$B:$B,0)+COLUMN(A$1),1))</f>
        <v/>
      </c>
      <c r="BH428" s="37" t="str">
        <f t="array" ref="BH428">IF($A428="","", INDEX(CS!$B$1:$B$15026,MATCH($A428,CS!$B:$B,0)+COLUMN(B$1),1))</f>
        <v/>
      </c>
      <c r="BI428" s="37" t="str">
        <f t="array" ref="BI428">IF($A428="","", INDEX(CS!$B$1:$B$15026,MATCH($A428,CS!$B:$B,0)+COLUMN(C$1),1))</f>
        <v/>
      </c>
      <c r="BJ428" s="37" t="str">
        <f t="array" ref="BJ428">IF($A428="","", INDEX(CS!$B$1:$B$15026,MATCH($A428,CS!$B:$B,0)+COLUMN(D$1),1))</f>
        <v/>
      </c>
      <c r="BK428" s="37" t="str">
        <f t="array" ref="BK428">IF($A428="","", INDEX(CS!$B$1:$B$15026,MATCH($A428,CS!$B:$B,0)+COLUMN(E$1),1))</f>
        <v/>
      </c>
      <c r="BL428" s="37" t="str">
        <f t="array" ref="BL428">IF($A428="","", INDEX(CS!$B$1:$B$15026,MATCH($A428,CS!$B:$B,0)+COLUMN(F$1),1))</f>
        <v/>
      </c>
      <c r="BM428" s="37" t="str">
        <f t="array" ref="BM428">IF($A428="","", INDEX(CS!$B$1:$B$15026,MATCH($A428,CS!$B:$B,0)+COLUMN(I$1),1))</f>
        <v/>
      </c>
      <c r="BN428" s="37" t="str">
        <f t="array" ref="BN428">IF($A428="","", INDEX(CS!$B$1:$B$15026,MATCH($A428,CS!$B:$B,0)+COLUMN(J$1),1))</f>
        <v/>
      </c>
      <c r="BO428" s="37" t="str">
        <f t="array" ref="BO428">IF($A428="","", INDEX(CS!$B$1:$B$15026,MATCH($A428,CS!$B:$B,0)+COLUMN(K$1),1))</f>
        <v/>
      </c>
      <c r="BP428" s="37" t="str">
        <f t="array" ref="BP428">IF($A428="","", INDEX(CS!$B$1:$B$15026,MATCH($A428,CS!$B:$B,0)+COLUMN(L$1),1))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INDEX(CS!$B$1:$B$15026,MATCH($A429,CS!$B:$B,0)+COLUMN(A$1),1))</f>
        <v/>
      </c>
      <c r="BH429" s="37" t="str">
        <f t="array" ref="BH429">IF($A429="","", INDEX(CS!$B$1:$B$15026,MATCH($A429,CS!$B:$B,0)+COLUMN(B$1),1))</f>
        <v/>
      </c>
      <c r="BI429" s="37" t="str">
        <f t="array" ref="BI429">IF($A429="","", INDEX(CS!$B$1:$B$15026,MATCH($A429,CS!$B:$B,0)+COLUMN(C$1),1))</f>
        <v/>
      </c>
      <c r="BJ429" s="37" t="str">
        <f t="array" ref="BJ429">IF($A429="","", INDEX(CS!$B$1:$B$15026,MATCH($A429,CS!$B:$B,0)+COLUMN(D$1),1))</f>
        <v/>
      </c>
      <c r="BK429" s="37" t="str">
        <f t="array" ref="BK429">IF($A429="","", INDEX(CS!$B$1:$B$15026,MATCH($A429,CS!$B:$B,0)+COLUMN(E$1),1))</f>
        <v/>
      </c>
      <c r="BL429" s="37" t="str">
        <f t="array" ref="BL429">IF($A429="","", INDEX(CS!$B$1:$B$15026,MATCH($A429,CS!$B:$B,0)+COLUMN(F$1),1))</f>
        <v/>
      </c>
      <c r="BM429" s="37" t="str">
        <f t="array" ref="BM429">IF($A429="","", INDEX(CS!$B$1:$B$15026,MATCH($A429,CS!$B:$B,0)+COLUMN(I$1),1))</f>
        <v/>
      </c>
      <c r="BN429" s="37" t="str">
        <f t="array" ref="BN429">IF($A429="","", INDEX(CS!$B$1:$B$15026,MATCH($A429,CS!$B:$B,0)+COLUMN(J$1),1))</f>
        <v/>
      </c>
      <c r="BO429" s="37" t="str">
        <f t="array" ref="BO429">IF($A429="","", INDEX(CS!$B$1:$B$15026,MATCH($A429,CS!$B:$B,0)+COLUMN(K$1),1))</f>
        <v/>
      </c>
      <c r="BP429" s="37" t="str">
        <f t="array" ref="BP429">IF($A429="","", INDEX(CS!$B$1:$B$15026,MATCH($A429,CS!$B:$B,0)+COLUMN(L$1),1))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INDEX(CS!$B$1:$B$15026,MATCH($A430,CS!$B:$B,0)+COLUMN(A$1),1))</f>
        <v/>
      </c>
      <c r="BH430" s="37" t="str">
        <f t="array" ref="BH430">IF($A430="","", INDEX(CS!$B$1:$B$15026,MATCH($A430,CS!$B:$B,0)+COLUMN(B$1),1))</f>
        <v/>
      </c>
      <c r="BI430" s="37" t="str">
        <f t="array" ref="BI430">IF($A430="","", INDEX(CS!$B$1:$B$15026,MATCH($A430,CS!$B:$B,0)+COLUMN(C$1),1))</f>
        <v/>
      </c>
      <c r="BJ430" s="37" t="str">
        <f t="array" ref="BJ430">IF($A430="","", INDEX(CS!$B$1:$B$15026,MATCH($A430,CS!$B:$B,0)+COLUMN(D$1),1))</f>
        <v/>
      </c>
      <c r="BK430" s="37" t="str">
        <f t="array" ref="BK430">IF($A430="","", INDEX(CS!$B$1:$B$15026,MATCH($A430,CS!$B:$B,0)+COLUMN(E$1),1))</f>
        <v/>
      </c>
      <c r="BL430" s="37" t="str">
        <f t="array" ref="BL430">IF($A430="","", INDEX(CS!$B$1:$B$15026,MATCH($A430,CS!$B:$B,0)+COLUMN(F$1),1))</f>
        <v/>
      </c>
      <c r="BM430" s="37" t="str">
        <f t="array" ref="BM430">IF($A430="","", INDEX(CS!$B$1:$B$15026,MATCH($A430,CS!$B:$B,0)+COLUMN(I$1),1))</f>
        <v/>
      </c>
      <c r="BN430" s="37" t="str">
        <f t="array" ref="BN430">IF($A430="","", INDEX(CS!$B$1:$B$15026,MATCH($A430,CS!$B:$B,0)+COLUMN(J$1),1))</f>
        <v/>
      </c>
      <c r="BO430" s="37" t="str">
        <f t="array" ref="BO430">IF($A430="","", INDEX(CS!$B$1:$B$15026,MATCH($A430,CS!$B:$B,0)+COLUMN(K$1),1))</f>
        <v/>
      </c>
      <c r="BP430" s="37" t="str">
        <f t="array" ref="BP430">IF($A430="","", INDEX(CS!$B$1:$B$15026,MATCH($A430,CS!$B:$B,0)+COLUMN(L$1),1))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INDEX(CS!$B$1:$B$15026,MATCH($A431,CS!$B:$B,0)+COLUMN(A$1),1))</f>
        <v/>
      </c>
      <c r="BH431" s="37" t="str">
        <f t="array" ref="BH431">IF($A431="","", INDEX(CS!$B$1:$B$15026,MATCH($A431,CS!$B:$B,0)+COLUMN(B$1),1))</f>
        <v/>
      </c>
      <c r="BI431" s="37" t="str">
        <f t="array" ref="BI431">IF($A431="","", INDEX(CS!$B$1:$B$15026,MATCH($A431,CS!$B:$B,0)+COLUMN(C$1),1))</f>
        <v/>
      </c>
      <c r="BJ431" s="37" t="str">
        <f t="array" ref="BJ431">IF($A431="","", INDEX(CS!$B$1:$B$15026,MATCH($A431,CS!$B:$B,0)+COLUMN(D$1),1))</f>
        <v/>
      </c>
      <c r="BK431" s="37" t="str">
        <f t="array" ref="BK431">IF($A431="","", INDEX(CS!$B$1:$B$15026,MATCH($A431,CS!$B:$B,0)+COLUMN(E$1),1))</f>
        <v/>
      </c>
      <c r="BL431" s="37" t="str">
        <f t="array" ref="BL431">IF($A431="","", INDEX(CS!$B$1:$B$15026,MATCH($A431,CS!$B:$B,0)+COLUMN(F$1),1))</f>
        <v/>
      </c>
      <c r="BM431" s="37" t="str">
        <f t="array" ref="BM431">IF($A431="","", INDEX(CS!$B$1:$B$15026,MATCH($A431,CS!$B:$B,0)+COLUMN(I$1),1))</f>
        <v/>
      </c>
      <c r="BN431" s="37" t="str">
        <f t="array" ref="BN431">IF($A431="","", INDEX(CS!$B$1:$B$15026,MATCH($A431,CS!$B:$B,0)+COLUMN(J$1),1))</f>
        <v/>
      </c>
      <c r="BO431" s="37" t="str">
        <f t="array" ref="BO431">IF($A431="","", INDEX(CS!$B$1:$B$15026,MATCH($A431,CS!$B:$B,0)+COLUMN(K$1),1))</f>
        <v/>
      </c>
      <c r="BP431" s="37" t="str">
        <f t="array" ref="BP431">IF($A431="","", INDEX(CS!$B$1:$B$15026,MATCH($A431,CS!$B:$B,0)+COLUMN(L$1),1))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INDEX(CS!$B$1:$B$15026,MATCH($A432,CS!$B:$B,0)+COLUMN(A$1),1))</f>
        <v/>
      </c>
      <c r="BH432" s="37" t="str">
        <f t="array" ref="BH432">IF($A432="","", INDEX(CS!$B$1:$B$15026,MATCH($A432,CS!$B:$B,0)+COLUMN(B$1),1))</f>
        <v/>
      </c>
      <c r="BI432" s="37" t="str">
        <f t="array" ref="BI432">IF($A432="","", INDEX(CS!$B$1:$B$15026,MATCH($A432,CS!$B:$B,0)+COLUMN(C$1),1))</f>
        <v/>
      </c>
      <c r="BJ432" s="37" t="str">
        <f t="array" ref="BJ432">IF($A432="","", INDEX(CS!$B$1:$B$15026,MATCH($A432,CS!$B:$B,0)+COLUMN(D$1),1))</f>
        <v/>
      </c>
      <c r="BK432" s="37" t="str">
        <f t="array" ref="BK432">IF($A432="","", INDEX(CS!$B$1:$B$15026,MATCH($A432,CS!$B:$B,0)+COLUMN(E$1),1))</f>
        <v/>
      </c>
      <c r="BL432" s="37" t="str">
        <f t="array" ref="BL432">IF($A432="","", INDEX(CS!$B$1:$B$15026,MATCH($A432,CS!$B:$B,0)+COLUMN(F$1),1))</f>
        <v/>
      </c>
      <c r="BM432" s="37" t="str">
        <f t="array" ref="BM432">IF($A432="","", INDEX(CS!$B$1:$B$15026,MATCH($A432,CS!$B:$B,0)+COLUMN(I$1),1))</f>
        <v/>
      </c>
      <c r="BN432" s="37" t="str">
        <f t="array" ref="BN432">IF($A432="","", INDEX(CS!$B$1:$B$15026,MATCH($A432,CS!$B:$B,0)+COLUMN(J$1),1))</f>
        <v/>
      </c>
      <c r="BO432" s="37" t="str">
        <f t="array" ref="BO432">IF($A432="","", INDEX(CS!$B$1:$B$15026,MATCH($A432,CS!$B:$B,0)+COLUMN(K$1),1))</f>
        <v/>
      </c>
      <c r="BP432" s="37" t="str">
        <f t="array" ref="BP432">IF($A432="","", INDEX(CS!$B$1:$B$15026,MATCH($A432,CS!$B:$B,0)+COLUMN(L$1),1))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INDEX(CS!$B$1:$B$15026,MATCH($A433,CS!$B:$B,0)+COLUMN(A$1),1))</f>
        <v/>
      </c>
      <c r="BH433" s="37" t="str">
        <f t="array" ref="BH433">IF($A433="","", INDEX(CS!$B$1:$B$15026,MATCH($A433,CS!$B:$B,0)+COLUMN(B$1),1))</f>
        <v/>
      </c>
      <c r="BI433" s="37" t="str">
        <f t="array" ref="BI433">IF($A433="","", INDEX(CS!$B$1:$B$15026,MATCH($A433,CS!$B:$B,0)+COLUMN(C$1),1))</f>
        <v/>
      </c>
      <c r="BJ433" s="37" t="str">
        <f t="array" ref="BJ433">IF($A433="","", INDEX(CS!$B$1:$B$15026,MATCH($A433,CS!$B:$B,0)+COLUMN(D$1),1))</f>
        <v/>
      </c>
      <c r="BK433" s="37" t="str">
        <f t="array" ref="BK433">IF($A433="","", INDEX(CS!$B$1:$B$15026,MATCH($A433,CS!$B:$B,0)+COLUMN(E$1),1))</f>
        <v/>
      </c>
      <c r="BL433" s="37" t="str">
        <f t="array" ref="BL433">IF($A433="","", INDEX(CS!$B$1:$B$15026,MATCH($A433,CS!$B:$B,0)+COLUMN(F$1),1))</f>
        <v/>
      </c>
      <c r="BM433" s="37" t="str">
        <f t="array" ref="BM433">IF($A433="","", INDEX(CS!$B$1:$B$15026,MATCH($A433,CS!$B:$B,0)+COLUMN(I$1),1))</f>
        <v/>
      </c>
      <c r="BN433" s="37" t="str">
        <f t="array" ref="BN433">IF($A433="","", INDEX(CS!$B$1:$B$15026,MATCH($A433,CS!$B:$B,0)+COLUMN(J$1),1))</f>
        <v/>
      </c>
      <c r="BO433" s="37" t="str">
        <f t="array" ref="BO433">IF($A433="","", INDEX(CS!$B$1:$B$15026,MATCH($A433,CS!$B:$B,0)+COLUMN(K$1),1))</f>
        <v/>
      </c>
      <c r="BP433" s="37" t="str">
        <f t="array" ref="BP433">IF($A433="","", INDEX(CS!$B$1:$B$15026,MATCH($A433,CS!$B:$B,0)+COLUMN(L$1),1))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INDEX(CS!$B$1:$B$15026,MATCH($A434,CS!$B:$B,0)+COLUMN(A$1),1))</f>
        <v/>
      </c>
      <c r="BH434" s="37" t="str">
        <f t="array" ref="BH434">IF($A434="","", INDEX(CS!$B$1:$B$15026,MATCH($A434,CS!$B:$B,0)+COLUMN(B$1),1))</f>
        <v/>
      </c>
      <c r="BI434" s="37" t="str">
        <f t="array" ref="BI434">IF($A434="","", INDEX(CS!$B$1:$B$15026,MATCH($A434,CS!$B:$B,0)+COLUMN(C$1),1))</f>
        <v/>
      </c>
      <c r="BJ434" s="37" t="str">
        <f t="array" ref="BJ434">IF($A434="","", INDEX(CS!$B$1:$B$15026,MATCH($A434,CS!$B:$B,0)+COLUMN(D$1),1))</f>
        <v/>
      </c>
      <c r="BK434" s="37" t="str">
        <f t="array" ref="BK434">IF($A434="","", INDEX(CS!$B$1:$B$15026,MATCH($A434,CS!$B:$B,0)+COLUMN(E$1),1))</f>
        <v/>
      </c>
      <c r="BL434" s="37" t="str">
        <f t="array" ref="BL434">IF($A434="","", INDEX(CS!$B$1:$B$15026,MATCH($A434,CS!$B:$B,0)+COLUMN(F$1),1))</f>
        <v/>
      </c>
      <c r="BM434" s="37" t="str">
        <f t="array" ref="BM434">IF($A434="","", INDEX(CS!$B$1:$B$15026,MATCH($A434,CS!$B:$B,0)+COLUMN(I$1),1))</f>
        <v/>
      </c>
      <c r="BN434" s="37" t="str">
        <f t="array" ref="BN434">IF($A434="","", INDEX(CS!$B$1:$B$15026,MATCH($A434,CS!$B:$B,0)+COLUMN(J$1),1))</f>
        <v/>
      </c>
      <c r="BO434" s="37" t="str">
        <f t="array" ref="BO434">IF($A434="","", INDEX(CS!$B$1:$B$15026,MATCH($A434,CS!$B:$B,0)+COLUMN(K$1),1))</f>
        <v/>
      </c>
      <c r="BP434" s="37" t="str">
        <f t="array" ref="BP434">IF($A434="","", INDEX(CS!$B$1:$B$15026,MATCH($A434,CS!$B:$B,0)+COLUMN(L$1),1))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INDEX(CS!$B$1:$B$15026,MATCH($A435,CS!$B:$B,0)+COLUMN(A$1),1))</f>
        <v/>
      </c>
      <c r="BH435" s="37" t="str">
        <f t="array" ref="BH435">IF($A435="","", INDEX(CS!$B$1:$B$15026,MATCH($A435,CS!$B:$B,0)+COLUMN(B$1),1))</f>
        <v/>
      </c>
      <c r="BI435" s="37" t="str">
        <f t="array" ref="BI435">IF($A435="","", INDEX(CS!$B$1:$B$15026,MATCH($A435,CS!$B:$B,0)+COLUMN(C$1),1))</f>
        <v/>
      </c>
      <c r="BJ435" s="37" t="str">
        <f t="array" ref="BJ435">IF($A435="","", INDEX(CS!$B$1:$B$15026,MATCH($A435,CS!$B:$B,0)+COLUMN(D$1),1))</f>
        <v/>
      </c>
      <c r="BK435" s="37" t="str">
        <f t="array" ref="BK435">IF($A435="","", INDEX(CS!$B$1:$B$15026,MATCH($A435,CS!$B:$B,0)+COLUMN(E$1),1))</f>
        <v/>
      </c>
      <c r="BL435" s="37" t="str">
        <f t="array" ref="BL435">IF($A435="","", INDEX(CS!$B$1:$B$15026,MATCH($A435,CS!$B:$B,0)+COLUMN(F$1),1))</f>
        <v/>
      </c>
      <c r="BM435" s="37" t="str">
        <f t="array" ref="BM435">IF($A435="","", INDEX(CS!$B$1:$B$15026,MATCH($A435,CS!$B:$B,0)+COLUMN(I$1),1))</f>
        <v/>
      </c>
      <c r="BN435" s="37" t="str">
        <f t="array" ref="BN435">IF($A435="","", INDEX(CS!$B$1:$B$15026,MATCH($A435,CS!$B:$B,0)+COLUMN(J$1),1))</f>
        <v/>
      </c>
      <c r="BO435" s="37" t="str">
        <f t="array" ref="BO435">IF($A435="","", INDEX(CS!$B$1:$B$15026,MATCH($A435,CS!$B:$B,0)+COLUMN(K$1),1))</f>
        <v/>
      </c>
      <c r="BP435" s="37" t="str">
        <f t="array" ref="BP435">IF($A435="","", INDEX(CS!$B$1:$B$15026,MATCH($A435,CS!$B:$B,0)+COLUMN(L$1),1))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INDEX(CS!$B$1:$B$15026,MATCH($A436,CS!$B:$B,0)+COLUMN(A$1),1))</f>
        <v/>
      </c>
      <c r="BH436" s="37" t="str">
        <f t="array" ref="BH436">IF($A436="","", INDEX(CS!$B$1:$B$15026,MATCH($A436,CS!$B:$B,0)+COLUMN(B$1),1))</f>
        <v/>
      </c>
      <c r="BI436" s="37" t="str">
        <f t="array" ref="BI436">IF($A436="","", INDEX(CS!$B$1:$B$15026,MATCH($A436,CS!$B:$B,0)+COLUMN(C$1),1))</f>
        <v/>
      </c>
      <c r="BJ436" s="37" t="str">
        <f t="array" ref="BJ436">IF($A436="","", INDEX(CS!$B$1:$B$15026,MATCH($A436,CS!$B:$B,0)+COLUMN(D$1),1))</f>
        <v/>
      </c>
      <c r="BK436" s="37" t="str">
        <f t="array" ref="BK436">IF($A436="","", INDEX(CS!$B$1:$B$15026,MATCH($A436,CS!$B:$B,0)+COLUMN(E$1),1))</f>
        <v/>
      </c>
      <c r="BL436" s="37" t="str">
        <f t="array" ref="BL436">IF($A436="","", INDEX(CS!$B$1:$B$15026,MATCH($A436,CS!$B:$B,0)+COLUMN(F$1),1))</f>
        <v/>
      </c>
      <c r="BM436" s="37" t="str">
        <f t="array" ref="BM436">IF($A436="","", INDEX(CS!$B$1:$B$15026,MATCH($A436,CS!$B:$B,0)+COLUMN(I$1),1))</f>
        <v/>
      </c>
      <c r="BN436" s="37" t="str">
        <f t="array" ref="BN436">IF($A436="","", INDEX(CS!$B$1:$B$15026,MATCH($A436,CS!$B:$B,0)+COLUMN(J$1),1))</f>
        <v/>
      </c>
      <c r="BO436" s="37" t="str">
        <f t="array" ref="BO436">IF($A436="","", INDEX(CS!$B$1:$B$15026,MATCH($A436,CS!$B:$B,0)+COLUMN(K$1),1))</f>
        <v/>
      </c>
      <c r="BP436" s="37" t="str">
        <f t="array" ref="BP436">IF($A436="","", INDEX(CS!$B$1:$B$15026,MATCH($A436,CS!$B:$B,0)+COLUMN(L$1),1))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INDEX(CS!$B$1:$B$15026,MATCH($A437,CS!$B:$B,0)+COLUMN(A$1),1))</f>
        <v/>
      </c>
      <c r="BH437" s="37" t="str">
        <f t="array" ref="BH437">IF($A437="","", INDEX(CS!$B$1:$B$15026,MATCH($A437,CS!$B:$B,0)+COLUMN(B$1),1))</f>
        <v/>
      </c>
      <c r="BI437" s="37" t="str">
        <f t="array" ref="BI437">IF($A437="","", INDEX(CS!$B$1:$B$15026,MATCH($A437,CS!$B:$B,0)+COLUMN(C$1),1))</f>
        <v/>
      </c>
      <c r="BJ437" s="37" t="str">
        <f t="array" ref="BJ437">IF($A437="","", INDEX(CS!$B$1:$B$15026,MATCH($A437,CS!$B:$B,0)+COLUMN(D$1),1))</f>
        <v/>
      </c>
      <c r="BK437" s="37" t="str">
        <f t="array" ref="BK437">IF($A437="","", INDEX(CS!$B$1:$B$15026,MATCH($A437,CS!$B:$B,0)+COLUMN(E$1),1))</f>
        <v/>
      </c>
      <c r="BL437" s="37" t="str">
        <f t="array" ref="BL437">IF($A437="","", INDEX(CS!$B$1:$B$15026,MATCH($A437,CS!$B:$B,0)+COLUMN(F$1),1))</f>
        <v/>
      </c>
      <c r="BM437" s="37" t="str">
        <f t="array" ref="BM437">IF($A437="","", INDEX(CS!$B$1:$B$15026,MATCH($A437,CS!$B:$B,0)+COLUMN(I$1),1))</f>
        <v/>
      </c>
      <c r="BN437" s="37" t="str">
        <f t="array" ref="BN437">IF($A437="","", INDEX(CS!$B$1:$B$15026,MATCH($A437,CS!$B:$B,0)+COLUMN(J$1),1))</f>
        <v/>
      </c>
      <c r="BO437" s="37" t="str">
        <f t="array" ref="BO437">IF($A437="","", INDEX(CS!$B$1:$B$15026,MATCH($A437,CS!$B:$B,0)+COLUMN(K$1),1))</f>
        <v/>
      </c>
      <c r="BP437" s="37" t="str">
        <f t="array" ref="BP437">IF($A437="","", INDEX(CS!$B$1:$B$15026,MATCH($A437,CS!$B:$B,0)+COLUMN(L$1),1))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INDEX(CS!$B$1:$B$15026,MATCH($A438,CS!$B:$B,0)+COLUMN(A$1),1))</f>
        <v/>
      </c>
      <c r="BH438" s="37" t="str">
        <f t="array" ref="BH438">IF($A438="","", INDEX(CS!$B$1:$B$15026,MATCH($A438,CS!$B:$B,0)+COLUMN(B$1),1))</f>
        <v/>
      </c>
      <c r="BI438" s="37" t="str">
        <f t="array" ref="BI438">IF($A438="","", INDEX(CS!$B$1:$B$15026,MATCH($A438,CS!$B:$B,0)+COLUMN(C$1),1))</f>
        <v/>
      </c>
      <c r="BJ438" s="37" t="str">
        <f t="array" ref="BJ438">IF($A438="","", INDEX(CS!$B$1:$B$15026,MATCH($A438,CS!$B:$B,0)+COLUMN(D$1),1))</f>
        <v/>
      </c>
      <c r="BK438" s="37" t="str">
        <f t="array" ref="BK438">IF($A438="","", INDEX(CS!$B$1:$B$15026,MATCH($A438,CS!$B:$B,0)+COLUMN(E$1),1))</f>
        <v/>
      </c>
      <c r="BL438" s="37" t="str">
        <f t="array" ref="BL438">IF($A438="","", INDEX(CS!$B$1:$B$15026,MATCH($A438,CS!$B:$B,0)+COLUMN(F$1),1))</f>
        <v/>
      </c>
      <c r="BM438" s="37" t="str">
        <f t="array" ref="BM438">IF($A438="","", INDEX(CS!$B$1:$B$15026,MATCH($A438,CS!$B:$B,0)+COLUMN(I$1),1))</f>
        <v/>
      </c>
      <c r="BN438" s="37" t="str">
        <f t="array" ref="BN438">IF($A438="","", INDEX(CS!$B$1:$B$15026,MATCH($A438,CS!$B:$B,0)+COLUMN(J$1),1))</f>
        <v/>
      </c>
      <c r="BO438" s="37" t="str">
        <f t="array" ref="BO438">IF($A438="","", INDEX(CS!$B$1:$B$15026,MATCH($A438,CS!$B:$B,0)+COLUMN(K$1),1))</f>
        <v/>
      </c>
      <c r="BP438" s="37" t="str">
        <f t="array" ref="BP438">IF($A438="","", INDEX(CS!$B$1:$B$15026,MATCH($A438,CS!$B:$B,0)+COLUMN(L$1),1))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INDEX(CS!$B$1:$B$15026,MATCH($A439,CS!$B:$B,0)+COLUMN(A$1),1))</f>
        <v/>
      </c>
      <c r="BH439" s="37" t="str">
        <f t="array" ref="BH439">IF($A439="","", INDEX(CS!$B$1:$B$15026,MATCH($A439,CS!$B:$B,0)+COLUMN(B$1),1))</f>
        <v/>
      </c>
      <c r="BI439" s="37" t="str">
        <f t="array" ref="BI439">IF($A439="","", INDEX(CS!$B$1:$B$15026,MATCH($A439,CS!$B:$B,0)+COLUMN(C$1),1))</f>
        <v/>
      </c>
      <c r="BJ439" s="37" t="str">
        <f t="array" ref="BJ439">IF($A439="","", INDEX(CS!$B$1:$B$15026,MATCH($A439,CS!$B:$B,0)+COLUMN(D$1),1))</f>
        <v/>
      </c>
      <c r="BK439" s="37" t="str">
        <f t="array" ref="BK439">IF($A439="","", INDEX(CS!$B$1:$B$15026,MATCH($A439,CS!$B:$B,0)+COLUMN(E$1),1))</f>
        <v/>
      </c>
      <c r="BL439" s="37" t="str">
        <f t="array" ref="BL439">IF($A439="","", INDEX(CS!$B$1:$B$15026,MATCH($A439,CS!$B:$B,0)+COLUMN(F$1),1))</f>
        <v/>
      </c>
      <c r="BM439" s="37" t="str">
        <f t="array" ref="BM439">IF($A439="","", INDEX(CS!$B$1:$B$15026,MATCH($A439,CS!$B:$B,0)+COLUMN(I$1),1))</f>
        <v/>
      </c>
      <c r="BN439" s="37" t="str">
        <f t="array" ref="BN439">IF($A439="","", INDEX(CS!$B$1:$B$15026,MATCH($A439,CS!$B:$B,0)+COLUMN(J$1),1))</f>
        <v/>
      </c>
      <c r="BO439" s="37" t="str">
        <f t="array" ref="BO439">IF($A439="","", INDEX(CS!$B$1:$B$15026,MATCH($A439,CS!$B:$B,0)+COLUMN(K$1),1))</f>
        <v/>
      </c>
      <c r="BP439" s="37" t="str">
        <f t="array" ref="BP439">IF($A439="","", INDEX(CS!$B$1:$B$15026,MATCH($A439,CS!$B:$B,0)+COLUMN(L$1),1))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INDEX(CS!$B$1:$B$15026,MATCH($A440,CS!$B:$B,0)+COLUMN(A$1),1))</f>
        <v/>
      </c>
      <c r="BH440" s="37" t="str">
        <f t="array" ref="BH440">IF($A440="","", INDEX(CS!$B$1:$B$15026,MATCH($A440,CS!$B:$B,0)+COLUMN(B$1),1))</f>
        <v/>
      </c>
      <c r="BI440" s="37" t="str">
        <f t="array" ref="BI440">IF($A440="","", INDEX(CS!$B$1:$B$15026,MATCH($A440,CS!$B:$B,0)+COLUMN(C$1),1))</f>
        <v/>
      </c>
      <c r="BJ440" s="37" t="str">
        <f t="array" ref="BJ440">IF($A440="","", INDEX(CS!$B$1:$B$15026,MATCH($A440,CS!$B:$B,0)+COLUMN(D$1),1))</f>
        <v/>
      </c>
      <c r="BK440" s="37" t="str">
        <f t="array" ref="BK440">IF($A440="","", INDEX(CS!$B$1:$B$15026,MATCH($A440,CS!$B:$B,0)+COLUMN(E$1),1))</f>
        <v/>
      </c>
      <c r="BL440" s="37" t="str">
        <f t="array" ref="BL440">IF($A440="","", INDEX(CS!$B$1:$B$15026,MATCH($A440,CS!$B:$B,0)+COLUMN(F$1),1))</f>
        <v/>
      </c>
      <c r="BM440" s="37" t="str">
        <f t="array" ref="BM440">IF($A440="","", INDEX(CS!$B$1:$B$15026,MATCH($A440,CS!$B:$B,0)+COLUMN(I$1),1))</f>
        <v/>
      </c>
      <c r="BN440" s="37" t="str">
        <f t="array" ref="BN440">IF($A440="","", INDEX(CS!$B$1:$B$15026,MATCH($A440,CS!$B:$B,0)+COLUMN(J$1),1))</f>
        <v/>
      </c>
      <c r="BO440" s="37" t="str">
        <f t="array" ref="BO440">IF($A440="","", INDEX(CS!$B$1:$B$15026,MATCH($A440,CS!$B:$B,0)+COLUMN(K$1),1))</f>
        <v/>
      </c>
      <c r="BP440" s="37" t="str">
        <f t="array" ref="BP440">IF($A440="","", INDEX(CS!$B$1:$B$15026,MATCH($A440,CS!$B:$B,0)+COLUMN(L$1),1))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INDEX(CS!$B$1:$B$15026,MATCH($A441,CS!$B:$B,0)+COLUMN(A$1),1))</f>
        <v/>
      </c>
      <c r="BH441" s="37" t="str">
        <f t="array" ref="BH441">IF($A441="","", INDEX(CS!$B$1:$B$15026,MATCH($A441,CS!$B:$B,0)+COLUMN(B$1),1))</f>
        <v/>
      </c>
      <c r="BI441" s="37" t="str">
        <f t="array" ref="BI441">IF($A441="","", INDEX(CS!$B$1:$B$15026,MATCH($A441,CS!$B:$B,0)+COLUMN(C$1),1))</f>
        <v/>
      </c>
      <c r="BJ441" s="37" t="str">
        <f t="array" ref="BJ441">IF($A441="","", INDEX(CS!$B$1:$B$15026,MATCH($A441,CS!$B:$B,0)+COLUMN(D$1),1))</f>
        <v/>
      </c>
      <c r="BK441" s="37" t="str">
        <f t="array" ref="BK441">IF($A441="","", INDEX(CS!$B$1:$B$15026,MATCH($A441,CS!$B:$B,0)+COLUMN(E$1),1))</f>
        <v/>
      </c>
      <c r="BL441" s="37" t="str">
        <f t="array" ref="BL441">IF($A441="","", INDEX(CS!$B$1:$B$15026,MATCH($A441,CS!$B:$B,0)+COLUMN(F$1),1))</f>
        <v/>
      </c>
      <c r="BM441" s="37" t="str">
        <f t="array" ref="BM441">IF($A441="","", INDEX(CS!$B$1:$B$15026,MATCH($A441,CS!$B:$B,0)+COLUMN(I$1),1))</f>
        <v/>
      </c>
      <c r="BN441" s="37" t="str">
        <f t="array" ref="BN441">IF($A441="","", INDEX(CS!$B$1:$B$15026,MATCH($A441,CS!$B:$B,0)+COLUMN(J$1),1))</f>
        <v/>
      </c>
      <c r="BO441" s="37" t="str">
        <f t="array" ref="BO441">IF($A441="","", INDEX(CS!$B$1:$B$15026,MATCH($A441,CS!$B:$B,0)+COLUMN(K$1),1))</f>
        <v/>
      </c>
      <c r="BP441" s="37" t="str">
        <f t="array" ref="BP441">IF($A441="","", INDEX(CS!$B$1:$B$15026,MATCH($A441,CS!$B:$B,0)+COLUMN(L$1),1))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INDEX(CS!$B$1:$B$15026,MATCH($A442,CS!$B:$B,0)+COLUMN(A$1),1))</f>
        <v/>
      </c>
      <c r="BH442" s="37" t="str">
        <f t="array" ref="BH442">IF($A442="","", INDEX(CS!$B$1:$B$15026,MATCH($A442,CS!$B:$B,0)+COLUMN(B$1),1))</f>
        <v/>
      </c>
      <c r="BI442" s="37" t="str">
        <f t="array" ref="BI442">IF($A442="","", INDEX(CS!$B$1:$B$15026,MATCH($A442,CS!$B:$B,0)+COLUMN(C$1),1))</f>
        <v/>
      </c>
      <c r="BJ442" s="37" t="str">
        <f t="array" ref="BJ442">IF($A442="","", INDEX(CS!$B$1:$B$15026,MATCH($A442,CS!$B:$B,0)+COLUMN(D$1),1))</f>
        <v/>
      </c>
      <c r="BK442" s="37" t="str">
        <f t="array" ref="BK442">IF($A442="","", INDEX(CS!$B$1:$B$15026,MATCH($A442,CS!$B:$B,0)+COLUMN(E$1),1))</f>
        <v/>
      </c>
      <c r="BL442" s="37" t="str">
        <f t="array" ref="BL442">IF($A442="","", INDEX(CS!$B$1:$B$15026,MATCH($A442,CS!$B:$B,0)+COLUMN(F$1),1))</f>
        <v/>
      </c>
      <c r="BM442" s="37" t="str">
        <f t="array" ref="BM442">IF($A442="","", INDEX(CS!$B$1:$B$15026,MATCH($A442,CS!$B:$B,0)+COLUMN(I$1),1))</f>
        <v/>
      </c>
      <c r="BN442" s="37" t="str">
        <f t="array" ref="BN442">IF($A442="","", INDEX(CS!$B$1:$B$15026,MATCH($A442,CS!$B:$B,0)+COLUMN(J$1),1))</f>
        <v/>
      </c>
      <c r="BO442" s="37" t="str">
        <f t="array" ref="BO442">IF($A442="","", INDEX(CS!$B$1:$B$15026,MATCH($A442,CS!$B:$B,0)+COLUMN(K$1),1))</f>
        <v/>
      </c>
      <c r="BP442" s="37" t="str">
        <f t="array" ref="BP442">IF($A442="","", INDEX(CS!$B$1:$B$15026,MATCH($A442,CS!$B:$B,0)+COLUMN(L$1),1))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INDEX(CS!$B$1:$B$15026,MATCH($A443,CS!$B:$B,0)+COLUMN(A$1),1))</f>
        <v/>
      </c>
      <c r="BH443" s="37" t="str">
        <f t="array" ref="BH443">IF($A443="","", INDEX(CS!$B$1:$B$15026,MATCH($A443,CS!$B:$B,0)+COLUMN(B$1),1))</f>
        <v/>
      </c>
      <c r="BI443" s="37" t="str">
        <f t="array" ref="BI443">IF($A443="","", INDEX(CS!$B$1:$B$15026,MATCH($A443,CS!$B:$B,0)+COLUMN(C$1),1))</f>
        <v/>
      </c>
      <c r="BJ443" s="37" t="str">
        <f t="array" ref="BJ443">IF($A443="","", INDEX(CS!$B$1:$B$15026,MATCH($A443,CS!$B:$B,0)+COLUMN(D$1),1))</f>
        <v/>
      </c>
      <c r="BK443" s="37" t="str">
        <f t="array" ref="BK443">IF($A443="","", INDEX(CS!$B$1:$B$15026,MATCH($A443,CS!$B:$B,0)+COLUMN(E$1),1))</f>
        <v/>
      </c>
      <c r="BL443" s="37" t="str">
        <f t="array" ref="BL443">IF($A443="","", INDEX(CS!$B$1:$B$15026,MATCH($A443,CS!$B:$B,0)+COLUMN(F$1),1))</f>
        <v/>
      </c>
      <c r="BM443" s="37" t="str">
        <f t="array" ref="BM443">IF($A443="","", INDEX(CS!$B$1:$B$15026,MATCH($A443,CS!$B:$B,0)+COLUMN(I$1),1))</f>
        <v/>
      </c>
      <c r="BN443" s="37" t="str">
        <f t="array" ref="BN443">IF($A443="","", INDEX(CS!$B$1:$B$15026,MATCH($A443,CS!$B:$B,0)+COLUMN(J$1),1))</f>
        <v/>
      </c>
      <c r="BO443" s="37" t="str">
        <f t="array" ref="BO443">IF($A443="","", INDEX(CS!$B$1:$B$15026,MATCH($A443,CS!$B:$B,0)+COLUMN(K$1),1))</f>
        <v/>
      </c>
      <c r="BP443" s="37" t="str">
        <f t="array" ref="BP443">IF($A443="","", INDEX(CS!$B$1:$B$15026,MATCH($A443,CS!$B:$B,0)+COLUMN(L$1),1))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INDEX(CS!$B$1:$B$15026,MATCH($A444,CS!$B:$B,0)+COLUMN(A$1),1))</f>
        <v/>
      </c>
      <c r="BH444" s="37" t="str">
        <f t="array" ref="BH444">IF($A444="","", INDEX(CS!$B$1:$B$15026,MATCH($A444,CS!$B:$B,0)+COLUMN(B$1),1))</f>
        <v/>
      </c>
      <c r="BI444" s="37" t="str">
        <f t="array" ref="BI444">IF($A444="","", INDEX(CS!$B$1:$B$15026,MATCH($A444,CS!$B:$B,0)+COLUMN(C$1),1))</f>
        <v/>
      </c>
      <c r="BJ444" s="37" t="str">
        <f t="array" ref="BJ444">IF($A444="","", INDEX(CS!$B$1:$B$15026,MATCH($A444,CS!$B:$B,0)+COLUMN(D$1),1))</f>
        <v/>
      </c>
      <c r="BK444" s="37" t="str">
        <f t="array" ref="BK444">IF($A444="","", INDEX(CS!$B$1:$B$15026,MATCH($A444,CS!$B:$B,0)+COLUMN(E$1),1))</f>
        <v/>
      </c>
      <c r="BL444" s="37" t="str">
        <f t="array" ref="BL444">IF($A444="","", INDEX(CS!$B$1:$B$15026,MATCH($A444,CS!$B:$B,0)+COLUMN(F$1),1))</f>
        <v/>
      </c>
      <c r="BM444" s="37" t="str">
        <f t="array" ref="BM444">IF($A444="","", INDEX(CS!$B$1:$B$15026,MATCH($A444,CS!$B:$B,0)+COLUMN(I$1),1))</f>
        <v/>
      </c>
      <c r="BN444" s="37" t="str">
        <f t="array" ref="BN444">IF($A444="","", INDEX(CS!$B$1:$B$15026,MATCH($A444,CS!$B:$B,0)+COLUMN(J$1),1))</f>
        <v/>
      </c>
      <c r="BO444" s="37" t="str">
        <f t="array" ref="BO444">IF($A444="","", INDEX(CS!$B$1:$B$15026,MATCH($A444,CS!$B:$B,0)+COLUMN(K$1),1))</f>
        <v/>
      </c>
      <c r="BP444" s="37" t="str">
        <f t="array" ref="BP444">IF($A444="","", INDEX(CS!$B$1:$B$15026,MATCH($A444,CS!$B:$B,0)+COLUMN(L$1),1))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INDEX(CS!$B$1:$B$15026,MATCH($A445,CS!$B:$B,0)+COLUMN(A$1),1))</f>
        <v/>
      </c>
      <c r="BH445" s="37" t="str">
        <f t="array" ref="BH445">IF($A445="","", INDEX(CS!$B$1:$B$15026,MATCH($A445,CS!$B:$B,0)+COLUMN(B$1),1))</f>
        <v/>
      </c>
      <c r="BI445" s="37" t="str">
        <f t="array" ref="BI445">IF($A445="","", INDEX(CS!$B$1:$B$15026,MATCH($A445,CS!$B:$B,0)+COLUMN(C$1),1))</f>
        <v/>
      </c>
      <c r="BJ445" s="37" t="str">
        <f t="array" ref="BJ445">IF($A445="","", INDEX(CS!$B$1:$B$15026,MATCH($A445,CS!$B:$B,0)+COLUMN(D$1),1))</f>
        <v/>
      </c>
      <c r="BK445" s="37" t="str">
        <f t="array" ref="BK445">IF($A445="","", INDEX(CS!$B$1:$B$15026,MATCH($A445,CS!$B:$B,0)+COLUMN(E$1),1))</f>
        <v/>
      </c>
      <c r="BL445" s="37" t="str">
        <f t="array" ref="BL445">IF($A445="","", INDEX(CS!$B$1:$B$15026,MATCH($A445,CS!$B:$B,0)+COLUMN(F$1),1))</f>
        <v/>
      </c>
      <c r="BM445" s="37" t="str">
        <f t="array" ref="BM445">IF($A445="","", INDEX(CS!$B$1:$B$15026,MATCH($A445,CS!$B:$B,0)+COLUMN(I$1),1))</f>
        <v/>
      </c>
      <c r="BN445" s="37" t="str">
        <f t="array" ref="BN445">IF($A445="","", INDEX(CS!$B$1:$B$15026,MATCH($A445,CS!$B:$B,0)+COLUMN(J$1),1))</f>
        <v/>
      </c>
      <c r="BO445" s="37" t="str">
        <f t="array" ref="BO445">IF($A445="","", INDEX(CS!$B$1:$B$15026,MATCH($A445,CS!$B:$B,0)+COLUMN(K$1),1))</f>
        <v/>
      </c>
      <c r="BP445" s="37" t="str">
        <f t="array" ref="BP445">IF($A445="","", INDEX(CS!$B$1:$B$15026,MATCH($A445,CS!$B:$B,0)+COLUMN(L$1),1))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INDEX(CS!$B$1:$B$15026,MATCH($A446,CS!$B:$B,0)+COLUMN(A$1),1))</f>
        <v/>
      </c>
      <c r="BH446" s="37" t="str">
        <f t="array" ref="BH446">IF($A446="","", INDEX(CS!$B$1:$B$15026,MATCH($A446,CS!$B:$B,0)+COLUMN(B$1),1))</f>
        <v/>
      </c>
      <c r="BI446" s="37" t="str">
        <f t="array" ref="BI446">IF($A446="","", INDEX(CS!$B$1:$B$15026,MATCH($A446,CS!$B:$B,0)+COLUMN(C$1),1))</f>
        <v/>
      </c>
      <c r="BJ446" s="37" t="str">
        <f t="array" ref="BJ446">IF($A446="","", INDEX(CS!$B$1:$B$15026,MATCH($A446,CS!$B:$B,0)+COLUMN(D$1),1))</f>
        <v/>
      </c>
      <c r="BK446" s="37" t="str">
        <f t="array" ref="BK446">IF($A446="","", INDEX(CS!$B$1:$B$15026,MATCH($A446,CS!$B:$B,0)+COLUMN(E$1),1))</f>
        <v/>
      </c>
      <c r="BL446" s="37" t="str">
        <f t="array" ref="BL446">IF($A446="","", INDEX(CS!$B$1:$B$15026,MATCH($A446,CS!$B:$B,0)+COLUMN(F$1),1))</f>
        <v/>
      </c>
      <c r="BM446" s="37" t="str">
        <f t="array" ref="BM446">IF($A446="","", INDEX(CS!$B$1:$B$15026,MATCH($A446,CS!$B:$B,0)+COLUMN(I$1),1))</f>
        <v/>
      </c>
      <c r="BN446" s="37" t="str">
        <f t="array" ref="BN446">IF($A446="","", INDEX(CS!$B$1:$B$15026,MATCH($A446,CS!$B:$B,0)+COLUMN(J$1),1))</f>
        <v/>
      </c>
      <c r="BO446" s="37" t="str">
        <f t="array" ref="BO446">IF($A446="","", INDEX(CS!$B$1:$B$15026,MATCH($A446,CS!$B:$B,0)+COLUMN(K$1),1))</f>
        <v/>
      </c>
      <c r="BP446" s="37" t="str">
        <f t="array" ref="BP446">IF($A446="","", INDEX(CS!$B$1:$B$15026,MATCH($A446,CS!$B:$B,0)+COLUMN(L$1),1))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INDEX(CS!$B$1:$B$15026,MATCH($A447,CS!$B:$B,0)+COLUMN(A$1),1))</f>
        <v/>
      </c>
      <c r="BH447" s="37" t="str">
        <f t="array" ref="BH447">IF($A447="","", INDEX(CS!$B$1:$B$15026,MATCH($A447,CS!$B:$B,0)+COLUMN(B$1),1))</f>
        <v/>
      </c>
      <c r="BI447" s="37" t="str">
        <f t="array" ref="BI447">IF($A447="","", INDEX(CS!$B$1:$B$15026,MATCH($A447,CS!$B:$B,0)+COLUMN(C$1),1))</f>
        <v/>
      </c>
      <c r="BJ447" s="37" t="str">
        <f t="array" ref="BJ447">IF($A447="","", INDEX(CS!$B$1:$B$15026,MATCH($A447,CS!$B:$B,0)+COLUMN(D$1),1))</f>
        <v/>
      </c>
      <c r="BK447" s="37" t="str">
        <f t="array" ref="BK447">IF($A447="","", INDEX(CS!$B$1:$B$15026,MATCH($A447,CS!$B:$B,0)+COLUMN(E$1),1))</f>
        <v/>
      </c>
      <c r="BL447" s="37" t="str">
        <f t="array" ref="BL447">IF($A447="","", INDEX(CS!$B$1:$B$15026,MATCH($A447,CS!$B:$B,0)+COLUMN(F$1),1))</f>
        <v/>
      </c>
      <c r="BM447" s="37" t="str">
        <f t="array" ref="BM447">IF($A447="","", INDEX(CS!$B$1:$B$15026,MATCH($A447,CS!$B:$B,0)+COLUMN(I$1),1))</f>
        <v/>
      </c>
      <c r="BN447" s="37" t="str">
        <f t="array" ref="BN447">IF($A447="","", INDEX(CS!$B$1:$B$15026,MATCH($A447,CS!$B:$B,0)+COLUMN(J$1),1))</f>
        <v/>
      </c>
      <c r="BO447" s="37" t="str">
        <f t="array" ref="BO447">IF($A447="","", INDEX(CS!$B$1:$B$15026,MATCH($A447,CS!$B:$B,0)+COLUMN(K$1),1))</f>
        <v/>
      </c>
      <c r="BP447" s="37" t="str">
        <f t="array" ref="BP447">IF($A447="","", INDEX(CS!$B$1:$B$15026,MATCH($A447,CS!$B:$B,0)+COLUMN(L$1),1))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INDEX(CS!$B$1:$B$15026,MATCH($A448,CS!$B:$B,0)+COLUMN(A$1),1))</f>
        <v/>
      </c>
      <c r="BH448" s="37" t="str">
        <f t="array" ref="BH448">IF($A448="","", INDEX(CS!$B$1:$B$15026,MATCH($A448,CS!$B:$B,0)+COLUMN(B$1),1))</f>
        <v/>
      </c>
      <c r="BI448" s="37" t="str">
        <f t="array" ref="BI448">IF($A448="","", INDEX(CS!$B$1:$B$15026,MATCH($A448,CS!$B:$B,0)+COLUMN(C$1),1))</f>
        <v/>
      </c>
      <c r="BJ448" s="37" t="str">
        <f t="array" ref="BJ448">IF($A448="","", INDEX(CS!$B$1:$B$15026,MATCH($A448,CS!$B:$B,0)+COLUMN(D$1),1))</f>
        <v/>
      </c>
      <c r="BK448" s="37" t="str">
        <f t="array" ref="BK448">IF($A448="","", INDEX(CS!$B$1:$B$15026,MATCH($A448,CS!$B:$B,0)+COLUMN(E$1),1))</f>
        <v/>
      </c>
      <c r="BL448" s="37" t="str">
        <f t="array" ref="BL448">IF($A448="","", INDEX(CS!$B$1:$B$15026,MATCH($A448,CS!$B:$B,0)+COLUMN(F$1),1))</f>
        <v/>
      </c>
      <c r="BM448" s="37" t="str">
        <f t="array" ref="BM448">IF($A448="","", INDEX(CS!$B$1:$B$15026,MATCH($A448,CS!$B:$B,0)+COLUMN(I$1),1))</f>
        <v/>
      </c>
      <c r="BN448" s="37" t="str">
        <f t="array" ref="BN448">IF($A448="","", INDEX(CS!$B$1:$B$15026,MATCH($A448,CS!$B:$B,0)+COLUMN(J$1),1))</f>
        <v/>
      </c>
      <c r="BO448" s="37" t="str">
        <f t="array" ref="BO448">IF($A448="","", INDEX(CS!$B$1:$B$15026,MATCH($A448,CS!$B:$B,0)+COLUMN(K$1),1))</f>
        <v/>
      </c>
      <c r="BP448" s="37" t="str">
        <f t="array" ref="BP448">IF($A448="","", INDEX(CS!$B$1:$B$15026,MATCH($A448,CS!$B:$B,0)+COLUMN(L$1),1))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INDEX(CS!$B$1:$B$15026,MATCH($A449,CS!$B:$B,0)+COLUMN(A$1),1))</f>
        <v/>
      </c>
      <c r="BH449" s="37" t="str">
        <f t="array" ref="BH449">IF($A449="","", INDEX(CS!$B$1:$B$15026,MATCH($A449,CS!$B:$B,0)+COLUMN(B$1),1))</f>
        <v/>
      </c>
      <c r="BI449" s="37" t="str">
        <f t="array" ref="BI449">IF($A449="","", INDEX(CS!$B$1:$B$15026,MATCH($A449,CS!$B:$B,0)+COLUMN(C$1),1))</f>
        <v/>
      </c>
      <c r="BJ449" s="37" t="str">
        <f t="array" ref="BJ449">IF($A449="","", INDEX(CS!$B$1:$B$15026,MATCH($A449,CS!$B:$B,0)+COLUMN(D$1),1))</f>
        <v/>
      </c>
      <c r="BK449" s="37" t="str">
        <f t="array" ref="BK449">IF($A449="","", INDEX(CS!$B$1:$B$15026,MATCH($A449,CS!$B:$B,0)+COLUMN(E$1),1))</f>
        <v/>
      </c>
      <c r="BL449" s="37" t="str">
        <f t="array" ref="BL449">IF($A449="","", INDEX(CS!$B$1:$B$15026,MATCH($A449,CS!$B:$B,0)+COLUMN(F$1),1))</f>
        <v/>
      </c>
      <c r="BM449" s="37" t="str">
        <f t="array" ref="BM449">IF($A449="","", INDEX(CS!$B$1:$B$15026,MATCH($A449,CS!$B:$B,0)+COLUMN(I$1),1))</f>
        <v/>
      </c>
      <c r="BN449" s="37" t="str">
        <f t="array" ref="BN449">IF($A449="","", INDEX(CS!$B$1:$B$15026,MATCH($A449,CS!$B:$B,0)+COLUMN(J$1),1))</f>
        <v/>
      </c>
      <c r="BO449" s="37" t="str">
        <f t="array" ref="BO449">IF($A449="","", INDEX(CS!$B$1:$B$15026,MATCH($A449,CS!$B:$B,0)+COLUMN(K$1),1))</f>
        <v/>
      </c>
      <c r="BP449" s="37" t="str">
        <f t="array" ref="BP449">IF($A449="","", INDEX(CS!$B$1:$B$15026,MATCH($A449,CS!$B:$B,0)+COLUMN(L$1),1))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INDEX(CS!$B$1:$B$15026,MATCH($A450,CS!$B:$B,0)+COLUMN(A$1),1))</f>
        <v/>
      </c>
      <c r="BH450" s="37" t="str">
        <f t="array" ref="BH450">IF($A450="","", INDEX(CS!$B$1:$B$15026,MATCH($A450,CS!$B:$B,0)+COLUMN(B$1),1))</f>
        <v/>
      </c>
      <c r="BI450" s="37" t="str">
        <f t="array" ref="BI450">IF($A450="","", INDEX(CS!$B$1:$B$15026,MATCH($A450,CS!$B:$B,0)+COLUMN(C$1),1))</f>
        <v/>
      </c>
      <c r="BJ450" s="37" t="str">
        <f t="array" ref="BJ450">IF($A450="","", INDEX(CS!$B$1:$B$15026,MATCH($A450,CS!$B:$B,0)+COLUMN(D$1),1))</f>
        <v/>
      </c>
      <c r="BK450" s="37" t="str">
        <f t="array" ref="BK450">IF($A450="","", INDEX(CS!$B$1:$B$15026,MATCH($A450,CS!$B:$B,0)+COLUMN(E$1),1))</f>
        <v/>
      </c>
      <c r="BL450" s="37" t="str">
        <f t="array" ref="BL450">IF($A450="","", INDEX(CS!$B$1:$B$15026,MATCH($A450,CS!$B:$B,0)+COLUMN(F$1),1))</f>
        <v/>
      </c>
      <c r="BM450" s="37" t="str">
        <f t="array" ref="BM450">IF($A450="","", INDEX(CS!$B$1:$B$15026,MATCH($A450,CS!$B:$B,0)+COLUMN(I$1),1))</f>
        <v/>
      </c>
      <c r="BN450" s="37" t="str">
        <f t="array" ref="BN450">IF($A450="","", INDEX(CS!$B$1:$B$15026,MATCH($A450,CS!$B:$B,0)+COLUMN(J$1),1))</f>
        <v/>
      </c>
      <c r="BO450" s="37" t="str">
        <f t="array" ref="BO450">IF($A450="","", INDEX(CS!$B$1:$B$15026,MATCH($A450,CS!$B:$B,0)+COLUMN(K$1),1))</f>
        <v/>
      </c>
      <c r="BP450" s="37" t="str">
        <f t="array" ref="BP450">IF($A450="","", INDEX(CS!$B$1:$B$15026,MATCH($A450,CS!$B:$B,0)+COLUMN(L$1),1))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INDEX(CS!$B$1:$B$15026,MATCH($A451,CS!$B:$B,0)+COLUMN(A$1),1))</f>
        <v/>
      </c>
      <c r="BH451" s="37" t="str">
        <f t="array" ref="BH451">IF($A451="","", INDEX(CS!$B$1:$B$15026,MATCH($A451,CS!$B:$B,0)+COLUMN(B$1),1))</f>
        <v/>
      </c>
      <c r="BI451" s="37" t="str">
        <f t="array" ref="BI451">IF($A451="","", INDEX(CS!$B$1:$B$15026,MATCH($A451,CS!$B:$B,0)+COLUMN(C$1),1))</f>
        <v/>
      </c>
      <c r="BJ451" s="37" t="str">
        <f t="array" ref="BJ451">IF($A451="","", INDEX(CS!$B$1:$B$15026,MATCH($A451,CS!$B:$B,0)+COLUMN(D$1),1))</f>
        <v/>
      </c>
      <c r="BK451" s="37" t="str">
        <f t="array" ref="BK451">IF($A451="","", INDEX(CS!$B$1:$B$15026,MATCH($A451,CS!$B:$B,0)+COLUMN(E$1),1))</f>
        <v/>
      </c>
      <c r="BL451" s="37" t="str">
        <f t="array" ref="BL451">IF($A451="","", INDEX(CS!$B$1:$B$15026,MATCH($A451,CS!$B:$B,0)+COLUMN(F$1),1))</f>
        <v/>
      </c>
      <c r="BM451" s="37" t="str">
        <f t="array" ref="BM451">IF($A451="","", INDEX(CS!$B$1:$B$15026,MATCH($A451,CS!$B:$B,0)+COLUMN(I$1),1))</f>
        <v/>
      </c>
      <c r="BN451" s="37" t="str">
        <f t="array" ref="BN451">IF($A451="","", INDEX(CS!$B$1:$B$15026,MATCH($A451,CS!$B:$B,0)+COLUMN(J$1),1))</f>
        <v/>
      </c>
      <c r="BO451" s="37" t="str">
        <f t="array" ref="BO451">IF($A451="","", INDEX(CS!$B$1:$B$15026,MATCH($A451,CS!$B:$B,0)+COLUMN(K$1),1))</f>
        <v/>
      </c>
      <c r="BP451" s="37" t="str">
        <f t="array" ref="BP451">IF($A451="","", INDEX(CS!$B$1:$B$15026,MATCH($A451,CS!$B:$B,0)+COLUMN(L$1),1))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41">
        <v>10.0</v>
      </c>
      <c r="H12" s="41">
        <v>15.0</v>
      </c>
      <c r="I12" s="41">
        <v>20.0</v>
      </c>
      <c r="J12" s="41">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41">
        <v>45.0</v>
      </c>
      <c r="H13" s="41">
        <v>30.0</v>
      </c>
      <c r="I13" s="41">
        <v>20.0</v>
      </c>
      <c r="J13" s="41">
        <v>30.0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15" width="13.88"/>
    <col customWidth="1" min="16"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c r="O1" s="39" t="s">
        <v>4373</v>
      </c>
    </row>
    <row r="2" ht="18.75" customHeight="1">
      <c r="A2" s="37" t="s">
        <v>4374</v>
      </c>
      <c r="C2" s="37" t="s">
        <v>4375</v>
      </c>
      <c r="D2" s="64" t="s">
        <v>4376</v>
      </c>
    </row>
    <row r="3" ht="18.75" customHeight="1">
      <c r="A3" s="37" t="s">
        <v>4377</v>
      </c>
      <c r="C3" s="37" t="s">
        <v>4375</v>
      </c>
      <c r="D3" s="64" t="s">
        <v>4378</v>
      </c>
    </row>
    <row r="4" ht="18.75" customHeight="1">
      <c r="A4" s="37" t="s">
        <v>4379</v>
      </c>
      <c r="C4" s="37" t="s">
        <v>4380</v>
      </c>
      <c r="D4" s="64" t="s">
        <v>4381</v>
      </c>
      <c r="E4" s="37" t="s">
        <v>2596</v>
      </c>
    </row>
    <row r="5" ht="18.75" customHeight="1">
      <c r="A5" s="37" t="s">
        <v>4382</v>
      </c>
      <c r="C5" s="37" t="s">
        <v>4380</v>
      </c>
      <c r="D5" s="64" t="s">
        <v>4383</v>
      </c>
      <c r="E5" s="37" t="s">
        <v>2429</v>
      </c>
    </row>
    <row r="6" ht="18.75" customHeight="1">
      <c r="A6" s="37" t="s">
        <v>4384</v>
      </c>
      <c r="C6" s="37" t="s">
        <v>4380</v>
      </c>
      <c r="D6" s="64" t="s">
        <v>4385</v>
      </c>
      <c r="E6" s="37" t="s">
        <v>1179</v>
      </c>
    </row>
    <row r="7" ht="18.75" customHeight="1">
      <c r="A7" s="37" t="s">
        <v>4386</v>
      </c>
      <c r="C7" s="37" t="s">
        <v>4380</v>
      </c>
      <c r="D7" s="64" t="s">
        <v>4387</v>
      </c>
      <c r="E7" s="37" t="s">
        <v>2593</v>
      </c>
    </row>
    <row r="8" ht="18.75" customHeight="1">
      <c r="A8" s="37" t="s">
        <v>4388</v>
      </c>
      <c r="C8" s="37" t="s">
        <v>4380</v>
      </c>
      <c r="D8" s="64" t="s">
        <v>4389</v>
      </c>
      <c r="E8" s="37" t="s">
        <v>2603</v>
      </c>
    </row>
    <row r="9" ht="18.75" customHeight="1">
      <c r="A9" s="37" t="s">
        <v>4390</v>
      </c>
      <c r="C9" s="37" t="s">
        <v>4390</v>
      </c>
      <c r="D9" s="64" t="s">
        <v>4391</v>
      </c>
    </row>
    <row r="10" ht="18.75" customHeight="1">
      <c r="A10" s="37" t="s">
        <v>3214</v>
      </c>
      <c r="C10" s="37" t="s">
        <v>4390</v>
      </c>
      <c r="D10" s="64" t="s">
        <v>4392</v>
      </c>
    </row>
    <row r="11" ht="18.75" customHeight="1">
      <c r="A11" s="37" t="s">
        <v>4393</v>
      </c>
      <c r="C11" s="37" t="s">
        <v>4390</v>
      </c>
      <c r="D11" s="64" t="s">
        <v>4394</v>
      </c>
    </row>
    <row r="12" ht="18.75" customHeight="1">
      <c r="A12" s="37" t="s">
        <v>4395</v>
      </c>
      <c r="C12" s="37" t="s">
        <v>4396</v>
      </c>
      <c r="D12" s="64" t="s">
        <v>4397</v>
      </c>
    </row>
    <row r="13" ht="18.75" customHeight="1">
      <c r="A13" s="37" t="s">
        <v>4398</v>
      </c>
      <c r="C13" s="37" t="s">
        <v>4399</v>
      </c>
      <c r="D13" s="64" t="s">
        <v>4400</v>
      </c>
    </row>
    <row r="14" ht="18.75" customHeight="1">
      <c r="A14" s="37" t="s">
        <v>2593</v>
      </c>
      <c r="D14" s="64"/>
    </row>
    <row r="15" ht="18.75" customHeight="1">
      <c r="A15" s="37" t="s">
        <v>2929</v>
      </c>
      <c r="C15" s="37" t="s">
        <v>4401</v>
      </c>
      <c r="D15" s="64" t="s">
        <v>4402</v>
      </c>
    </row>
    <row r="16" ht="18.75" customHeight="1">
      <c r="A16" s="37" t="s">
        <v>2930</v>
      </c>
      <c r="C16" s="37" t="s">
        <v>4401</v>
      </c>
      <c r="D16" s="64" t="s">
        <v>4403</v>
      </c>
    </row>
    <row r="17" ht="18.75" customHeight="1">
      <c r="A17" s="37" t="s">
        <v>4404</v>
      </c>
      <c r="C17" s="37" t="s">
        <v>4405</v>
      </c>
      <c r="D17" s="64" t="s">
        <v>4406</v>
      </c>
    </row>
    <row r="18" ht="18.75" customHeight="1">
      <c r="A18" s="37" t="s">
        <v>4407</v>
      </c>
      <c r="C18" s="37" t="s">
        <v>4408</v>
      </c>
      <c r="D18" s="64" t="s">
        <v>4409</v>
      </c>
    </row>
    <row r="19" ht="18.75" customHeight="1">
      <c r="A19" s="37" t="s">
        <v>4410</v>
      </c>
      <c r="C19" s="37" t="s">
        <v>4411</v>
      </c>
      <c r="D19" s="64" t="s">
        <v>4412</v>
      </c>
    </row>
    <row r="20" ht="18.75" customHeight="1">
      <c r="A20" s="37" t="s">
        <v>4413</v>
      </c>
      <c r="C20" s="37" t="s">
        <v>4411</v>
      </c>
      <c r="D20" s="64" t="s">
        <v>4414</v>
      </c>
    </row>
    <row r="21" ht="18.75" customHeight="1">
      <c r="A21" s="37" t="s">
        <v>4415</v>
      </c>
      <c r="C21" s="37" t="s">
        <v>2630</v>
      </c>
      <c r="D21" s="64" t="s">
        <v>4416</v>
      </c>
    </row>
    <row r="22" ht="18.75" customHeight="1">
      <c r="A22" s="37" t="s">
        <v>849</v>
      </c>
      <c r="C22" s="37" t="s">
        <v>4417</v>
      </c>
      <c r="D22" s="64" t="s">
        <v>4418</v>
      </c>
    </row>
    <row r="23" ht="18.75" customHeight="1">
      <c r="A23" s="37" t="s">
        <v>1845</v>
      </c>
      <c r="D23" s="64" t="s">
        <v>4419</v>
      </c>
    </row>
    <row r="24" ht="18.75" customHeight="1">
      <c r="A24" s="37" t="s">
        <v>3215</v>
      </c>
      <c r="D24" s="64" t="s">
        <v>4420</v>
      </c>
    </row>
    <row r="25" ht="18.75" customHeight="1">
      <c r="D25" s="64"/>
    </row>
    <row r="26" ht="18.75" customHeight="1">
      <c r="A26" s="37" t="s">
        <v>4407</v>
      </c>
      <c r="D26" s="64"/>
    </row>
    <row r="27" ht="18.75" customHeight="1">
      <c r="D27" s="64"/>
    </row>
    <row r="28" ht="18.75" customHeight="1">
      <c r="A28" s="37" t="s">
        <v>4421</v>
      </c>
      <c r="D28" s="64"/>
    </row>
    <row r="29" ht="18.75" customHeight="1">
      <c r="A29" s="146" t="s">
        <v>2623</v>
      </c>
      <c r="B29" s="146">
        <v>12.0</v>
      </c>
      <c r="C29" s="37" t="s">
        <v>4422</v>
      </c>
      <c r="D29" s="64" t="s">
        <v>4423</v>
      </c>
      <c r="E29" s="37" t="s">
        <v>2599</v>
      </c>
    </row>
    <row r="30" ht="18.75" customHeight="1">
      <c r="A30" s="146" t="s">
        <v>2624</v>
      </c>
      <c r="B30" s="146">
        <v>13.0</v>
      </c>
      <c r="C30" s="37" t="s">
        <v>4422</v>
      </c>
      <c r="D30" s="64" t="s">
        <v>4424</v>
      </c>
      <c r="E30" s="37" t="s">
        <v>2599</v>
      </c>
    </row>
    <row r="31" ht="18.75" customHeight="1">
      <c r="A31" s="146" t="s">
        <v>2625</v>
      </c>
      <c r="B31" s="146">
        <v>14.0</v>
      </c>
      <c r="C31" s="37" t="s">
        <v>4422</v>
      </c>
      <c r="D31" s="64" t="s">
        <v>4425</v>
      </c>
      <c r="E31" s="37" t="s">
        <v>2599</v>
      </c>
    </row>
    <row r="32" ht="18.75" customHeight="1">
      <c r="A32" s="146" t="s">
        <v>2626</v>
      </c>
      <c r="B32" s="146">
        <v>15.0</v>
      </c>
      <c r="C32" s="37" t="s">
        <v>4422</v>
      </c>
      <c r="D32" s="64" t="s">
        <v>4426</v>
      </c>
      <c r="E32" s="37" t="s">
        <v>2601</v>
      </c>
    </row>
    <row r="33" ht="18.75" customHeight="1">
      <c r="A33" s="147" t="s">
        <v>3201</v>
      </c>
      <c r="B33" s="147">
        <v>10.0</v>
      </c>
      <c r="C33" s="37" t="s">
        <v>3201</v>
      </c>
      <c r="D33" s="64" t="s">
        <v>4427</v>
      </c>
      <c r="E33" s="37" t="s">
        <v>2600</v>
      </c>
    </row>
    <row r="34" ht="18.75" customHeight="1">
      <c r="A34" s="147" t="s">
        <v>3202</v>
      </c>
      <c r="B34" s="147">
        <v>9.0</v>
      </c>
      <c r="C34" s="37" t="s">
        <v>3201</v>
      </c>
      <c r="D34" s="64" t="s">
        <v>4428</v>
      </c>
      <c r="E34" s="37" t="s">
        <v>2600</v>
      </c>
    </row>
    <row r="35" ht="18.75" customHeight="1">
      <c r="A35" s="147" t="s">
        <v>3203</v>
      </c>
      <c r="B35" s="147">
        <v>8.0</v>
      </c>
      <c r="C35" s="37" t="s">
        <v>3201</v>
      </c>
      <c r="D35" s="64" t="s">
        <v>4429</v>
      </c>
      <c r="E35" s="37" t="s">
        <v>2600</v>
      </c>
    </row>
    <row r="36" ht="18.75" customHeight="1">
      <c r="A36" s="148" t="s">
        <v>3204</v>
      </c>
      <c r="B36" s="148">
        <v>11.0</v>
      </c>
      <c r="C36" s="37" t="s">
        <v>3204</v>
      </c>
      <c r="D36" s="64" t="s">
        <v>4430</v>
      </c>
      <c r="E36" s="37" t="s">
        <v>2602</v>
      </c>
    </row>
    <row r="37" ht="18.75" customHeight="1">
      <c r="A37" s="148" t="s">
        <v>3205</v>
      </c>
      <c r="B37" s="148">
        <v>4.0</v>
      </c>
      <c r="C37" s="37" t="s">
        <v>4431</v>
      </c>
      <c r="D37" s="64" t="s">
        <v>4432</v>
      </c>
      <c r="E37" s="37" t="s">
        <v>2602</v>
      </c>
    </row>
    <row r="38" ht="18.75" customHeight="1">
      <c r="A38" s="148" t="s">
        <v>3206</v>
      </c>
      <c r="B38" s="148">
        <v>3.0</v>
      </c>
      <c r="C38" s="37" t="s">
        <v>4431</v>
      </c>
      <c r="D38" s="64" t="s">
        <v>4433</v>
      </c>
      <c r="E38" s="37" t="s">
        <v>2602</v>
      </c>
    </row>
    <row r="39" ht="18.75" customHeight="1">
      <c r="A39" s="148" t="s">
        <v>3207</v>
      </c>
      <c r="B39" s="148">
        <v>2.0</v>
      </c>
      <c r="C39" s="37" t="s">
        <v>4431</v>
      </c>
      <c r="D39" s="64" t="s">
        <v>4434</v>
      </c>
      <c r="E39" s="37" t="s">
        <v>2602</v>
      </c>
    </row>
    <row r="40" ht="18.75" customHeight="1">
      <c r="A40" s="148" t="s">
        <v>3208</v>
      </c>
      <c r="B40" s="148">
        <v>1.0</v>
      </c>
      <c r="C40" s="37" t="s">
        <v>4431</v>
      </c>
      <c r="D40" s="64" t="s">
        <v>4435</v>
      </c>
      <c r="E40" s="37" t="s">
        <v>2602</v>
      </c>
    </row>
    <row r="41" ht="18.75" customHeight="1">
      <c r="A41" s="74" t="s">
        <v>3209</v>
      </c>
      <c r="B41" s="74">
        <v>6.0</v>
      </c>
      <c r="C41" s="37" t="s">
        <v>4436</v>
      </c>
      <c r="D41" s="64" t="s">
        <v>4437</v>
      </c>
      <c r="E41" s="37" t="s">
        <v>2602</v>
      </c>
    </row>
    <row r="42" ht="18.75" customHeight="1">
      <c r="A42" s="74" t="s">
        <v>3210</v>
      </c>
      <c r="B42" s="74">
        <v>7.0</v>
      </c>
      <c r="C42" s="37" t="s">
        <v>4436</v>
      </c>
      <c r="D42" s="64" t="s">
        <v>4438</v>
      </c>
      <c r="E42" s="37" t="s">
        <v>2602</v>
      </c>
    </row>
    <row r="43" ht="18.75" customHeight="1">
      <c r="A43" s="74" t="s">
        <v>3211</v>
      </c>
      <c r="B43" s="74">
        <v>5.0</v>
      </c>
      <c r="C43" s="37" t="s">
        <v>3211</v>
      </c>
      <c r="D43" s="64" t="s">
        <v>4439</v>
      </c>
      <c r="E43" s="37" t="s">
        <v>2602</v>
      </c>
    </row>
    <row r="44" ht="18.75" customHeight="1">
      <c r="A44" s="149" t="s">
        <v>2628</v>
      </c>
      <c r="B44" s="149">
        <v>17.0</v>
      </c>
      <c r="C44" s="37" t="s">
        <v>4440</v>
      </c>
      <c r="D44" s="64" t="s">
        <v>4441</v>
      </c>
    </row>
    <row r="45" ht="18.75" customHeight="1">
      <c r="A45" s="149" t="s">
        <v>2627</v>
      </c>
      <c r="B45" s="149">
        <v>16.0</v>
      </c>
      <c r="C45" s="37" t="s">
        <v>4440</v>
      </c>
      <c r="D45" s="64" t="s">
        <v>4442</v>
      </c>
      <c r="O45" s="39" t="b">
        <v>0</v>
      </c>
    </row>
    <row r="46" ht="18.75" customHeight="1">
      <c r="A46" s="37" t="s">
        <v>4443</v>
      </c>
      <c r="D46" s="64"/>
    </row>
    <row r="47" ht="18.75" customHeight="1">
      <c r="A47" s="74" t="s">
        <v>4444</v>
      </c>
      <c r="B47" s="74"/>
      <c r="D47" s="64"/>
    </row>
    <row r="48" ht="18.75" customHeight="1">
      <c r="A48" s="74" t="s">
        <v>4445</v>
      </c>
      <c r="B48" s="74"/>
      <c r="D48" s="64"/>
    </row>
    <row r="49" ht="18.75" customHeight="1">
      <c r="A49" s="74" t="s">
        <v>4446</v>
      </c>
      <c r="B49" s="74"/>
      <c r="D49" s="64"/>
    </row>
    <row r="50" ht="18.75" customHeight="1">
      <c r="A50" s="37" t="s">
        <v>4447</v>
      </c>
      <c r="C50" s="37" t="s">
        <v>4448</v>
      </c>
      <c r="D50" s="64" t="s">
        <v>4449</v>
      </c>
      <c r="F50" s="37" t="s">
        <v>4450</v>
      </c>
      <c r="G50" s="37" t="s">
        <v>2929</v>
      </c>
      <c r="H50" s="37">
        <v>1.0</v>
      </c>
      <c r="I50" s="37">
        <v>0.0</v>
      </c>
      <c r="J50" s="37">
        <v>1.0</v>
      </c>
      <c r="K50" s="37">
        <v>1.0</v>
      </c>
      <c r="L50" s="37" t="b">
        <v>0</v>
      </c>
      <c r="M50" s="37">
        <v>1.0</v>
      </c>
    </row>
    <row r="51" ht="18.75" customHeight="1">
      <c r="A51" s="37" t="s">
        <v>4451</v>
      </c>
      <c r="C51" s="37" t="s">
        <v>4448</v>
      </c>
      <c r="D51" s="102" t="s">
        <v>4452</v>
      </c>
      <c r="F51" s="37" t="s">
        <v>4453</v>
      </c>
      <c r="G51" s="37" t="s">
        <v>2930</v>
      </c>
      <c r="H51" s="37">
        <v>1.0</v>
      </c>
      <c r="I51" s="39">
        <v>3.0</v>
      </c>
      <c r="J51" s="39">
        <v>2.0</v>
      </c>
      <c r="K51" s="39">
        <v>3.0</v>
      </c>
      <c r="L51" s="37" t="b">
        <v>1</v>
      </c>
      <c r="M51" s="37">
        <v>2.0</v>
      </c>
    </row>
    <row r="52" ht="18.75" customHeight="1">
      <c r="A52" s="37" t="s">
        <v>4454</v>
      </c>
      <c r="C52" s="37" t="s">
        <v>4448</v>
      </c>
      <c r="D52" s="64" t="s">
        <v>4455</v>
      </c>
      <c r="F52" s="37" t="s">
        <v>4456</v>
      </c>
      <c r="G52" s="37" t="s">
        <v>4457</v>
      </c>
      <c r="H52" s="37">
        <v>3.0</v>
      </c>
      <c r="I52" s="37">
        <v>5.0</v>
      </c>
      <c r="J52" s="37">
        <v>3.0</v>
      </c>
      <c r="K52" s="37">
        <v>5.0</v>
      </c>
      <c r="L52" s="37" t="b">
        <v>1</v>
      </c>
      <c r="M52" s="37">
        <v>3.0</v>
      </c>
    </row>
    <row r="53" ht="18.75" customHeight="1">
      <c r="A53" s="37">
        <v>1.0</v>
      </c>
      <c r="C53" s="37" t="s">
        <v>4458</v>
      </c>
      <c r="D53" s="64" t="s">
        <v>4459</v>
      </c>
      <c r="N53" s="37">
        <v>1.0</v>
      </c>
    </row>
    <row r="54" ht="18.75" customHeight="1">
      <c r="A54" s="37">
        <v>2.0</v>
      </c>
      <c r="C54" s="37" t="s">
        <v>4458</v>
      </c>
      <c r="D54" s="64" t="s">
        <v>4460</v>
      </c>
      <c r="N54" s="37">
        <v>1.15</v>
      </c>
    </row>
    <row r="55" ht="18.75" customHeight="1">
      <c r="A55" s="37">
        <v>3.0</v>
      </c>
      <c r="C55" s="37" t="s">
        <v>4458</v>
      </c>
      <c r="D55" s="64" t="s">
        <v>4461</v>
      </c>
      <c r="N55" s="37">
        <v>1.3</v>
      </c>
    </row>
    <row r="56" ht="18.75" customHeight="1">
      <c r="A56" s="37">
        <v>4.0</v>
      </c>
      <c r="C56" s="37" t="s">
        <v>4458</v>
      </c>
      <c r="D56" s="64" t="s">
        <v>4462</v>
      </c>
      <c r="N56" s="37">
        <v>1.5</v>
      </c>
    </row>
    <row r="57" ht="18.75" customHeight="1">
      <c r="A57" s="39" t="s">
        <v>4463</v>
      </c>
      <c r="B57" s="39" t="s">
        <v>29</v>
      </c>
      <c r="C57" s="39" t="s">
        <v>4380</v>
      </c>
      <c r="D57" s="102" t="s">
        <v>4464</v>
      </c>
      <c r="E57" s="39" t="s">
        <v>2596</v>
      </c>
    </row>
    <row r="58" ht="18.75" customHeight="1">
      <c r="A58" s="39" t="s">
        <v>4465</v>
      </c>
      <c r="B58" s="39" t="s">
        <v>29</v>
      </c>
      <c r="C58" s="39" t="s">
        <v>4380</v>
      </c>
      <c r="D58" s="102" t="s">
        <v>4466</v>
      </c>
      <c r="E58" s="39" t="s">
        <v>2596</v>
      </c>
    </row>
    <row r="59" ht="18.75" customHeight="1">
      <c r="A59" s="39" t="s">
        <v>4467</v>
      </c>
      <c r="B59" s="39" t="s">
        <v>29</v>
      </c>
      <c r="C59" s="39" t="s">
        <v>4380</v>
      </c>
      <c r="D59" s="102" t="s">
        <v>4468</v>
      </c>
      <c r="E59" s="39" t="s">
        <v>2596</v>
      </c>
    </row>
    <row r="60" ht="18.75" customHeight="1">
      <c r="A60" s="39" t="s">
        <v>4469</v>
      </c>
      <c r="C60" s="39" t="s">
        <v>4380</v>
      </c>
      <c r="D60" s="102" t="s">
        <v>4470</v>
      </c>
      <c r="E60" s="39" t="s">
        <v>2596</v>
      </c>
    </row>
    <row r="61" ht="18.75" customHeight="1">
      <c r="A61" s="150" t="s">
        <v>4471</v>
      </c>
      <c r="B61" s="150">
        <v>18.0</v>
      </c>
      <c r="C61" s="39" t="s">
        <v>4422</v>
      </c>
      <c r="D61" s="102" t="s">
        <v>4472</v>
      </c>
      <c r="E61" s="39" t="s">
        <v>2599</v>
      </c>
      <c r="O61" s="39" t="b">
        <v>1</v>
      </c>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4473</v>
      </c>
      <c r="B1" s="151" t="s">
        <v>4474</v>
      </c>
      <c r="C1" s="37" t="s">
        <v>4475</v>
      </c>
      <c r="D1" s="37" t="s">
        <v>4476</v>
      </c>
      <c r="E1" s="37" t="s">
        <v>4477</v>
      </c>
      <c r="F1" s="37" t="s">
        <v>3326</v>
      </c>
      <c r="G1" s="152" t="s">
        <v>4478</v>
      </c>
      <c r="H1" s="152" t="s">
        <v>4479</v>
      </c>
      <c r="I1" s="152" t="s">
        <v>4480</v>
      </c>
      <c r="J1" s="153" t="s">
        <v>4413</v>
      </c>
      <c r="K1" s="153" t="s">
        <v>4410</v>
      </c>
      <c r="L1" s="152" t="s">
        <v>4481</v>
      </c>
      <c r="M1" s="152" t="s">
        <v>4482</v>
      </c>
      <c r="N1" s="152" t="s">
        <v>2599</v>
      </c>
      <c r="O1" s="152" t="s">
        <v>2600</v>
      </c>
      <c r="P1" s="152" t="s">
        <v>2601</v>
      </c>
      <c r="Q1" s="152" t="s">
        <v>2602</v>
      </c>
      <c r="R1" s="152" t="s">
        <v>2429</v>
      </c>
      <c r="S1" s="152" t="s">
        <v>1845</v>
      </c>
      <c r="T1" s="152" t="s">
        <v>849</v>
      </c>
      <c r="U1" s="152" t="s">
        <v>4483</v>
      </c>
      <c r="V1" s="152" t="s">
        <v>4484</v>
      </c>
      <c r="W1" s="153" t="s">
        <v>2930</v>
      </c>
      <c r="X1" s="152" t="s">
        <v>4485</v>
      </c>
      <c r="Y1" s="152" t="s">
        <v>2604</v>
      </c>
      <c r="Z1" s="152" t="s">
        <v>4486</v>
      </c>
      <c r="AA1" s="152" t="s">
        <v>2929</v>
      </c>
      <c r="AB1" s="152" t="s">
        <v>4404</v>
      </c>
      <c r="AC1" s="152" t="s">
        <v>4407</v>
      </c>
      <c r="AD1" s="152" t="s">
        <v>4415</v>
      </c>
      <c r="AE1" s="152" t="s">
        <v>3215</v>
      </c>
      <c r="AF1" s="152" t="s">
        <v>4487</v>
      </c>
      <c r="AG1" s="152" t="s">
        <v>4488</v>
      </c>
      <c r="AH1" s="152" t="s">
        <v>4489</v>
      </c>
      <c r="AI1" s="152" t="s">
        <v>4490</v>
      </c>
    </row>
    <row r="2" ht="18.75" customHeight="1">
      <c r="A2" s="37" t="s">
        <v>4491</v>
      </c>
      <c r="B2" s="154" t="s">
        <v>4492</v>
      </c>
      <c r="C2" s="37" t="s">
        <v>4493</v>
      </c>
      <c r="D2" s="39" t="s">
        <v>4494</v>
      </c>
      <c r="E2" s="39" t="s">
        <v>4495</v>
      </c>
      <c r="F2" s="39" t="s">
        <v>4496</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4497</v>
      </c>
      <c r="AG2" s="37" t="s">
        <v>29</v>
      </c>
      <c r="AH2" s="37" t="s">
        <v>29</v>
      </c>
      <c r="AI2" s="37" t="s">
        <v>29</v>
      </c>
    </row>
    <row r="3" ht="18.75" customHeight="1">
      <c r="A3" s="37" t="s">
        <v>4498</v>
      </c>
      <c r="B3" s="154" t="s">
        <v>4492</v>
      </c>
      <c r="C3" s="37" t="s">
        <v>4493</v>
      </c>
      <c r="D3" s="39" t="s">
        <v>4499</v>
      </c>
      <c r="E3" s="39" t="s">
        <v>4500</v>
      </c>
      <c r="F3" s="39" t="s">
        <v>4496</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4497</v>
      </c>
      <c r="AG3" s="37" t="s">
        <v>29</v>
      </c>
      <c r="AH3" s="37" t="s">
        <v>29</v>
      </c>
      <c r="AI3" s="37" t="s">
        <v>29</v>
      </c>
    </row>
    <row r="4" ht="18.75" customHeight="1">
      <c r="A4" s="37" t="s">
        <v>4501</v>
      </c>
      <c r="B4" s="154" t="s">
        <v>4492</v>
      </c>
      <c r="C4" s="37" t="s">
        <v>4493</v>
      </c>
      <c r="D4" s="39" t="s">
        <v>4502</v>
      </c>
      <c r="E4" s="39" t="s">
        <v>4503</v>
      </c>
      <c r="F4" s="39" t="s">
        <v>4496</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4497</v>
      </c>
      <c r="AG4" s="37" t="s">
        <v>29</v>
      </c>
      <c r="AH4" s="37" t="s">
        <v>29</v>
      </c>
      <c r="AI4" s="37" t="s">
        <v>29</v>
      </c>
    </row>
    <row r="5" ht="18.75" customHeight="1">
      <c r="A5" s="37" t="s">
        <v>4504</v>
      </c>
      <c r="B5" s="154" t="s">
        <v>4492</v>
      </c>
      <c r="C5" s="37" t="s">
        <v>4493</v>
      </c>
      <c r="D5" s="39" t="s">
        <v>4505</v>
      </c>
      <c r="E5" s="39" t="s">
        <v>4506</v>
      </c>
      <c r="F5" s="39" t="s">
        <v>4496</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4497</v>
      </c>
      <c r="AG5" s="37" t="s">
        <v>29</v>
      </c>
      <c r="AH5" s="37" t="s">
        <v>29</v>
      </c>
      <c r="AI5" s="37" t="s">
        <v>29</v>
      </c>
    </row>
    <row r="6" ht="18.75" customHeight="1">
      <c r="A6" s="37" t="s">
        <v>4507</v>
      </c>
      <c r="B6" s="154" t="s">
        <v>4492</v>
      </c>
      <c r="C6" s="37" t="s">
        <v>4493</v>
      </c>
      <c r="D6" s="39" t="s">
        <v>4508</v>
      </c>
      <c r="E6" s="39" t="s">
        <v>2602</v>
      </c>
      <c r="F6" s="39" t="s">
        <v>4496</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4497</v>
      </c>
      <c r="AG6" s="37" t="s">
        <v>29</v>
      </c>
      <c r="AH6" s="37" t="s">
        <v>29</v>
      </c>
      <c r="AI6" s="37" t="s">
        <v>29</v>
      </c>
    </row>
    <row r="7" ht="18.75" customHeight="1">
      <c r="A7" s="37" t="s">
        <v>4509</v>
      </c>
      <c r="B7" s="154" t="s">
        <v>4492</v>
      </c>
      <c r="C7" s="37" t="s">
        <v>4493</v>
      </c>
      <c r="D7" s="39" t="s">
        <v>4510</v>
      </c>
      <c r="E7" s="39" t="s">
        <v>2599</v>
      </c>
      <c r="F7" s="39" t="s">
        <v>4496</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4497</v>
      </c>
      <c r="AG7" s="37" t="s">
        <v>29</v>
      </c>
      <c r="AH7" s="37" t="s">
        <v>29</v>
      </c>
      <c r="AI7" s="37" t="s">
        <v>29</v>
      </c>
    </row>
    <row r="8" ht="18.75" customHeight="1">
      <c r="A8" s="37" t="s">
        <v>4511</v>
      </c>
      <c r="B8" s="154" t="s">
        <v>4492</v>
      </c>
      <c r="C8" s="37" t="s">
        <v>4493</v>
      </c>
      <c r="D8" s="39" t="s">
        <v>4512</v>
      </c>
      <c r="E8" s="39" t="s">
        <v>4513</v>
      </c>
      <c r="F8" s="39" t="s">
        <v>4496</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4497</v>
      </c>
      <c r="AG8" s="37" t="s">
        <v>29</v>
      </c>
      <c r="AH8" s="37" t="s">
        <v>29</v>
      </c>
      <c r="AI8" s="37" t="s">
        <v>29</v>
      </c>
    </row>
    <row r="9" ht="18.75" customHeight="1">
      <c r="A9" s="37" t="s">
        <v>4514</v>
      </c>
      <c r="B9" s="154" t="s">
        <v>4492</v>
      </c>
      <c r="C9" s="37" t="s">
        <v>4493</v>
      </c>
      <c r="D9" s="39" t="s">
        <v>4515</v>
      </c>
      <c r="E9" s="39" t="s">
        <v>4516</v>
      </c>
      <c r="F9" s="39" t="s">
        <v>4496</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4497</v>
      </c>
      <c r="AG9" s="37" t="s">
        <v>29</v>
      </c>
      <c r="AH9" s="37" t="s">
        <v>29</v>
      </c>
      <c r="AI9" s="37" t="s">
        <v>29</v>
      </c>
    </row>
    <row r="10" ht="18.75" customHeight="1">
      <c r="A10" s="37" t="s">
        <v>4517</v>
      </c>
      <c r="B10" s="154" t="s">
        <v>4492</v>
      </c>
      <c r="C10" s="37" t="s">
        <v>4493</v>
      </c>
      <c r="D10" s="39" t="s">
        <v>4518</v>
      </c>
      <c r="E10" s="39" t="s">
        <v>2601</v>
      </c>
      <c r="F10" s="39" t="s">
        <v>4496</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4497</v>
      </c>
      <c r="AG10" s="37" t="s">
        <v>29</v>
      </c>
      <c r="AH10" s="37" t="s">
        <v>29</v>
      </c>
      <c r="AI10" s="37" t="s">
        <v>29</v>
      </c>
    </row>
    <row r="11" ht="18.75" customHeight="1">
      <c r="A11" s="37" t="s">
        <v>4519</v>
      </c>
      <c r="B11" s="154" t="s">
        <v>4492</v>
      </c>
      <c r="C11" s="37" t="s">
        <v>4493</v>
      </c>
      <c r="D11" s="39" t="s">
        <v>4520</v>
      </c>
      <c r="E11" s="39" t="s">
        <v>4521</v>
      </c>
      <c r="F11" s="39" t="s">
        <v>4496</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4497</v>
      </c>
      <c r="AG11" s="37" t="s">
        <v>29</v>
      </c>
      <c r="AH11" s="37" t="s">
        <v>29</v>
      </c>
      <c r="AI11" s="37" t="s">
        <v>29</v>
      </c>
    </row>
    <row r="12" ht="18.75" customHeight="1">
      <c r="A12" s="37" t="s">
        <v>4522</v>
      </c>
      <c r="B12" s="154" t="s">
        <v>4492</v>
      </c>
      <c r="C12" s="37" t="s">
        <v>4493</v>
      </c>
      <c r="D12" s="39" t="s">
        <v>4523</v>
      </c>
      <c r="E12" s="39" t="s">
        <v>4524</v>
      </c>
      <c r="F12" s="39" t="s">
        <v>4496</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4497</v>
      </c>
      <c r="AG12" s="37" t="s">
        <v>29</v>
      </c>
      <c r="AH12" s="37" t="s">
        <v>29</v>
      </c>
      <c r="AI12" s="37" t="s">
        <v>29</v>
      </c>
    </row>
    <row r="13" ht="18.75" customHeight="1">
      <c r="A13" s="37" t="s">
        <v>4525</v>
      </c>
      <c r="B13" s="154" t="s">
        <v>4492</v>
      </c>
      <c r="C13" s="37" t="s">
        <v>4493</v>
      </c>
      <c r="D13" s="39" t="s">
        <v>4526</v>
      </c>
      <c r="E13" s="39" t="s">
        <v>4527</v>
      </c>
      <c r="F13" s="39" t="s">
        <v>4496</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4497</v>
      </c>
      <c r="AG13" s="37" t="s">
        <v>29</v>
      </c>
      <c r="AH13" s="37" t="s">
        <v>29</v>
      </c>
      <c r="AI13" s="37" t="s">
        <v>29</v>
      </c>
    </row>
    <row r="14" ht="18.75" customHeight="1">
      <c r="A14" s="37" t="s">
        <v>4528</v>
      </c>
      <c r="B14" s="154" t="s">
        <v>4492</v>
      </c>
      <c r="C14" s="37" t="s">
        <v>4493</v>
      </c>
      <c r="D14" s="39" t="s">
        <v>4529</v>
      </c>
      <c r="E14" s="39" t="s">
        <v>4530</v>
      </c>
      <c r="F14" s="39" t="s">
        <v>4496</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4497</v>
      </c>
      <c r="AG14" s="37" t="s">
        <v>29</v>
      </c>
      <c r="AH14" s="37" t="s">
        <v>29</v>
      </c>
      <c r="AI14" s="37" t="s">
        <v>29</v>
      </c>
    </row>
    <row r="15" ht="18.75" customHeight="1">
      <c r="A15" s="37" t="s">
        <v>4531</v>
      </c>
      <c r="B15" s="154" t="s">
        <v>4492</v>
      </c>
      <c r="C15" s="37" t="s">
        <v>4493</v>
      </c>
      <c r="D15" s="39" t="s">
        <v>4532</v>
      </c>
      <c r="E15" s="39" t="s">
        <v>4533</v>
      </c>
      <c r="F15" s="39" t="s">
        <v>4496</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4497</v>
      </c>
      <c r="AG15" s="37" t="s">
        <v>29</v>
      </c>
      <c r="AH15" s="37" t="s">
        <v>29</v>
      </c>
      <c r="AI15" s="37" t="s">
        <v>29</v>
      </c>
    </row>
    <row r="16" ht="18.75" customHeight="1">
      <c r="A16" s="37" t="s">
        <v>4534</v>
      </c>
      <c r="B16" s="154" t="s">
        <v>4535</v>
      </c>
      <c r="C16" s="37" t="s">
        <v>4536</v>
      </c>
      <c r="D16" s="39" t="s">
        <v>29</v>
      </c>
      <c r="E16" s="39" t="s">
        <v>4537</v>
      </c>
      <c r="F16" s="39" t="s">
        <v>4538</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4497</v>
      </c>
      <c r="AG16" s="37" t="s">
        <v>29</v>
      </c>
      <c r="AH16" s="37" t="s">
        <v>29</v>
      </c>
      <c r="AI16" s="37" t="s">
        <v>29</v>
      </c>
    </row>
    <row r="17" ht="18.75" customHeight="1">
      <c r="A17" s="37" t="s">
        <v>4539</v>
      </c>
      <c r="B17" s="154" t="s">
        <v>4535</v>
      </c>
      <c r="C17" s="37" t="s">
        <v>4536</v>
      </c>
      <c r="D17" s="39" t="s">
        <v>29</v>
      </c>
      <c r="E17" s="39" t="s">
        <v>4537</v>
      </c>
      <c r="F17" s="39" t="s">
        <v>4538</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4497</v>
      </c>
      <c r="AG17" s="37" t="s">
        <v>29</v>
      </c>
      <c r="AH17" s="37" t="s">
        <v>29</v>
      </c>
      <c r="AI17" s="37" t="s">
        <v>29</v>
      </c>
    </row>
    <row r="18" ht="18.75" customHeight="1">
      <c r="A18" s="37" t="s">
        <v>4540</v>
      </c>
      <c r="B18" s="154" t="s">
        <v>4535</v>
      </c>
      <c r="C18" s="37" t="s">
        <v>4536</v>
      </c>
      <c r="D18" s="39" t="s">
        <v>29</v>
      </c>
      <c r="E18" s="39" t="s">
        <v>4537</v>
      </c>
      <c r="F18" s="39" t="s">
        <v>4538</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4497</v>
      </c>
      <c r="AG18" s="37" t="s">
        <v>29</v>
      </c>
      <c r="AH18" s="37" t="s">
        <v>29</v>
      </c>
      <c r="AI18" s="37" t="s">
        <v>29</v>
      </c>
    </row>
    <row r="19" ht="18.75" customHeight="1">
      <c r="A19" s="37" t="s">
        <v>4541</v>
      </c>
      <c r="B19" s="154" t="s">
        <v>4542</v>
      </c>
      <c r="C19" s="37" t="s">
        <v>4543</v>
      </c>
      <c r="D19" s="37" t="s">
        <v>4544</v>
      </c>
      <c r="E19" s="37" t="s">
        <v>4545</v>
      </c>
      <c r="F19" s="37" t="s">
        <v>4546</v>
      </c>
    </row>
    <row r="20" ht="18.75" customHeight="1">
      <c r="A20" s="37" t="s">
        <v>4547</v>
      </c>
      <c r="B20" s="154" t="s">
        <v>4542</v>
      </c>
      <c r="C20" s="37" t="s">
        <v>4543</v>
      </c>
      <c r="D20" s="37" t="s">
        <v>4548</v>
      </c>
      <c r="E20" s="37" t="s">
        <v>4545</v>
      </c>
      <c r="F20" s="37" t="s">
        <v>4546</v>
      </c>
    </row>
    <row r="21" ht="18.75" customHeight="1">
      <c r="A21" s="37" t="s">
        <v>4549</v>
      </c>
      <c r="B21" s="154" t="s">
        <v>4542</v>
      </c>
      <c r="C21" s="37" t="s">
        <v>4543</v>
      </c>
      <c r="D21" s="37" t="s">
        <v>4550</v>
      </c>
      <c r="E21" s="37" t="s">
        <v>4545</v>
      </c>
      <c r="F21" s="37" t="s">
        <v>4546</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4551</v>
      </c>
      <c r="B1" s="64" t="s">
        <v>4552</v>
      </c>
      <c r="C1" s="64" t="s">
        <v>2620</v>
      </c>
      <c r="D1" s="102" t="s">
        <v>4553</v>
      </c>
      <c r="E1" s="64" t="s">
        <v>4554</v>
      </c>
      <c r="F1" s="64" t="s">
        <v>4555</v>
      </c>
      <c r="G1" s="64" t="s">
        <v>4556</v>
      </c>
      <c r="H1" s="155" t="s">
        <v>4379</v>
      </c>
      <c r="I1" s="155" t="s">
        <v>4382</v>
      </c>
      <c r="J1" s="155" t="s">
        <v>4384</v>
      </c>
      <c r="K1" s="155" t="s">
        <v>4386</v>
      </c>
      <c r="L1" s="155" t="s">
        <v>4388</v>
      </c>
      <c r="M1" s="156" t="s">
        <v>3201</v>
      </c>
      <c r="N1" s="156" t="s">
        <v>3202</v>
      </c>
      <c r="O1" s="156" t="s">
        <v>3203</v>
      </c>
      <c r="P1" s="157" t="s">
        <v>3204</v>
      </c>
      <c r="Q1" s="157" t="s">
        <v>3205</v>
      </c>
      <c r="R1" s="157" t="s">
        <v>3206</v>
      </c>
      <c r="S1" s="157" t="s">
        <v>3207</v>
      </c>
      <c r="T1" s="157"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8" t="s">
        <v>2599</v>
      </c>
      <c r="AI1" s="158" t="s">
        <v>2600</v>
      </c>
      <c r="AJ1" s="158" t="s">
        <v>2601</v>
      </c>
      <c r="AK1" s="158" t="s">
        <v>2602</v>
      </c>
      <c r="AL1" s="53" t="s">
        <v>2603</v>
      </c>
      <c r="AM1" s="53" t="s">
        <v>2604</v>
      </c>
      <c r="AN1" s="53" t="s">
        <v>2429</v>
      </c>
      <c r="AO1" s="53" t="s">
        <v>1179</v>
      </c>
      <c r="AP1" s="64" t="s">
        <v>4421</v>
      </c>
      <c r="AQ1" s="64" t="s">
        <v>3214</v>
      </c>
      <c r="AR1" s="64" t="s">
        <v>4407</v>
      </c>
      <c r="AS1" s="64" t="s">
        <v>4410</v>
      </c>
      <c r="AT1" s="64" t="s">
        <v>4413</v>
      </c>
      <c r="AU1" s="64" t="s">
        <v>4415</v>
      </c>
      <c r="AV1" s="64" t="s">
        <v>1845</v>
      </c>
      <c r="AW1" s="64" t="s">
        <v>3215</v>
      </c>
      <c r="AX1" s="64" t="s">
        <v>849</v>
      </c>
      <c r="AY1" s="64" t="s">
        <v>3197</v>
      </c>
      <c r="AZ1" s="64" t="s">
        <v>3659</v>
      </c>
      <c r="BA1" s="64" t="s">
        <v>4557</v>
      </c>
      <c r="BB1" s="64" t="s">
        <v>4558</v>
      </c>
      <c r="BC1" s="64" t="s">
        <v>4559</v>
      </c>
      <c r="BD1" s="64" t="s">
        <v>4560</v>
      </c>
      <c r="BE1" s="64" t="s">
        <v>4561</v>
      </c>
      <c r="BF1" s="64" t="s">
        <v>4562</v>
      </c>
      <c r="BG1" s="64" t="s">
        <v>4563</v>
      </c>
      <c r="BH1" s="64" t="s">
        <v>4564</v>
      </c>
      <c r="BI1" s="102" t="s">
        <v>4565</v>
      </c>
      <c r="BJ1" s="102" t="s">
        <v>4566</v>
      </c>
      <c r="BK1" s="102" t="s">
        <v>4567</v>
      </c>
      <c r="BL1" s="102" t="s">
        <v>4568</v>
      </c>
      <c r="BM1" s="102" t="s">
        <v>4569</v>
      </c>
      <c r="BN1" s="159" t="s">
        <v>4570</v>
      </c>
      <c r="BO1" s="159" t="s">
        <v>4571</v>
      </c>
      <c r="BP1" s="159" t="s">
        <v>4572</v>
      </c>
      <c r="BQ1" s="159" t="s">
        <v>4573</v>
      </c>
      <c r="BR1" s="160" t="s">
        <v>4574</v>
      </c>
      <c r="BS1" s="161" t="s">
        <v>4575</v>
      </c>
      <c r="BT1" s="161" t="s">
        <v>4576</v>
      </c>
      <c r="BU1" s="161" t="s">
        <v>4577</v>
      </c>
      <c r="BV1" s="161" t="s">
        <v>4578</v>
      </c>
      <c r="BW1" s="161" t="s">
        <v>4579</v>
      </c>
      <c r="BX1" s="162" t="s">
        <v>4580</v>
      </c>
      <c r="BY1" s="161" t="s">
        <v>4581</v>
      </c>
      <c r="BZ1" s="161" t="s">
        <v>4582</v>
      </c>
      <c r="CA1" s="161" t="s">
        <v>4583</v>
      </c>
      <c r="CB1" s="161" t="s">
        <v>4584</v>
      </c>
      <c r="CC1" s="161" t="s">
        <v>4585</v>
      </c>
      <c r="CD1" s="162" t="s">
        <v>4586</v>
      </c>
      <c r="CE1" s="162" t="s">
        <v>4587</v>
      </c>
      <c r="CF1" s="162" t="s">
        <v>4588</v>
      </c>
      <c r="CG1" s="162" t="s">
        <v>4589</v>
      </c>
      <c r="CH1" s="162" t="s">
        <v>4590</v>
      </c>
      <c r="CI1" s="162" t="s">
        <v>4591</v>
      </c>
    </row>
    <row r="2" ht="13.5" customHeight="1">
      <c r="A2" s="37" t="s">
        <v>4592</v>
      </c>
      <c r="B2" s="37" t="s">
        <v>4593</v>
      </c>
      <c r="C2" s="64" t="s">
        <v>4594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3"/>
      <c r="AI2" s="163"/>
      <c r="AJ2" s="163"/>
      <c r="AK2" s="163"/>
      <c r="AZ2" s="37" t="s">
        <v>4595</v>
      </c>
      <c r="BA2" s="37" t="s">
        <v>4596</v>
      </c>
      <c r="BB2" s="37">
        <v>1.0</v>
      </c>
      <c r="BC2" s="41">
        <v>0.0</v>
      </c>
      <c r="BD2" s="37">
        <v>2.0</v>
      </c>
      <c r="BE2" s="37" t="s">
        <v>4592</v>
      </c>
      <c r="BF2" s="37">
        <v>60.0</v>
      </c>
      <c r="BG2" s="37">
        <v>20.0</v>
      </c>
      <c r="BH2" s="37">
        <v>1.0</v>
      </c>
      <c r="BI2" s="39" t="s">
        <v>4597</v>
      </c>
      <c r="BJ2" s="39"/>
      <c r="BK2" s="39"/>
      <c r="BL2" s="39"/>
      <c r="BM2" s="39"/>
      <c r="BN2" s="159"/>
      <c r="BO2" s="159"/>
      <c r="BP2" s="159"/>
      <c r="BQ2" s="159"/>
      <c r="BR2" s="159"/>
      <c r="BS2" s="159" t="s">
        <v>4598</v>
      </c>
      <c r="BT2" s="159">
        <v>100.0</v>
      </c>
      <c r="BU2" s="159"/>
      <c r="BV2" s="159"/>
      <c r="BW2" s="159"/>
      <c r="BX2" s="159"/>
      <c r="BY2" s="159"/>
      <c r="BZ2" s="159"/>
      <c r="CA2" s="159"/>
      <c r="CB2" s="159"/>
      <c r="CC2" s="159"/>
      <c r="CD2" s="159"/>
      <c r="CE2" s="159"/>
      <c r="CF2" s="159"/>
      <c r="CG2" s="159"/>
      <c r="CH2" s="159"/>
      <c r="CI2" s="159"/>
    </row>
    <row r="3" ht="13.5" customHeight="1">
      <c r="A3" s="37" t="s">
        <v>4599</v>
      </c>
      <c r="B3" s="37" t="s">
        <v>4600</v>
      </c>
      <c r="C3" s="64" t="s">
        <v>4601</v>
      </c>
      <c r="D3" s="37" t="s">
        <v>4592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3"/>
      <c r="AI3" s="163"/>
      <c r="AJ3" s="163"/>
      <c r="AK3" s="163"/>
      <c r="AZ3" s="37" t="s">
        <v>4595</v>
      </c>
      <c r="BA3" s="37" t="s">
        <v>4602</v>
      </c>
      <c r="BB3" s="37">
        <v>2.0</v>
      </c>
      <c r="BC3" s="37">
        <v>125.0</v>
      </c>
      <c r="BD3" s="37">
        <v>4.0</v>
      </c>
      <c r="BE3" s="37" t="s">
        <v>4599</v>
      </c>
      <c r="BF3" s="37">
        <v>57.0</v>
      </c>
      <c r="BG3" s="37">
        <v>50.0</v>
      </c>
      <c r="BH3" s="37">
        <v>2.0</v>
      </c>
      <c r="BI3" s="39" t="s">
        <v>4597</v>
      </c>
      <c r="BJ3" s="41" t="s">
        <v>4592</v>
      </c>
      <c r="BK3" s="39"/>
      <c r="BL3" s="39"/>
      <c r="BM3" s="64">
        <v>4.0</v>
      </c>
      <c r="BN3" s="159"/>
      <c r="BO3" s="159"/>
      <c r="BP3" s="159"/>
      <c r="BQ3" s="159"/>
      <c r="BR3" s="164" t="s">
        <v>4603</v>
      </c>
      <c r="BS3" s="159" t="s">
        <v>4598</v>
      </c>
      <c r="BT3" s="159">
        <v>50.0</v>
      </c>
      <c r="BU3" s="159"/>
      <c r="BV3" s="159"/>
      <c r="BW3" s="159"/>
      <c r="BX3" s="159"/>
      <c r="BY3" s="159"/>
      <c r="BZ3" s="159"/>
      <c r="CA3" s="159"/>
      <c r="CB3" s="159"/>
      <c r="CC3" s="159"/>
      <c r="CD3" s="159"/>
      <c r="CE3" s="159"/>
      <c r="CF3" s="159"/>
      <c r="CG3" s="159"/>
      <c r="CH3" s="159"/>
      <c r="CI3" s="159"/>
    </row>
    <row r="4" ht="13.5" customHeight="1">
      <c r="A4" s="37" t="s">
        <v>4604</v>
      </c>
      <c r="B4" s="37" t="s">
        <v>4605</v>
      </c>
      <c r="C4" s="64" t="s">
        <v>4606</v>
      </c>
      <c r="D4" s="37" t="s">
        <v>4599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3"/>
      <c r="AI4" s="163"/>
      <c r="AJ4" s="163"/>
      <c r="AK4" s="163"/>
      <c r="AZ4" s="37" t="s">
        <v>4595</v>
      </c>
      <c r="BA4" s="37" t="s">
        <v>4607</v>
      </c>
      <c r="BB4" s="37">
        <v>3.0</v>
      </c>
      <c r="BC4" s="37">
        <v>260.0</v>
      </c>
      <c r="BD4" s="37">
        <v>7.0</v>
      </c>
      <c r="BE4" s="37" t="s">
        <v>4604</v>
      </c>
      <c r="BF4" s="37">
        <v>66.0</v>
      </c>
      <c r="BG4" s="37">
        <v>100.0</v>
      </c>
      <c r="BH4" s="37">
        <v>3.0</v>
      </c>
      <c r="BI4" s="39" t="s">
        <v>4597</v>
      </c>
      <c r="BJ4" s="41" t="s">
        <v>4599</v>
      </c>
      <c r="BK4" s="39"/>
      <c r="BL4" s="39"/>
      <c r="BM4" s="64">
        <v>8.0</v>
      </c>
      <c r="BN4" s="159"/>
      <c r="BO4" s="159"/>
      <c r="BP4" s="159"/>
      <c r="BQ4" s="159"/>
      <c r="BR4" s="164" t="s">
        <v>4608</v>
      </c>
      <c r="BS4" s="159" t="s">
        <v>4598</v>
      </c>
      <c r="BT4" s="159">
        <v>40.0</v>
      </c>
      <c r="BU4" s="159"/>
      <c r="BV4" s="159"/>
      <c r="BW4" s="159"/>
      <c r="BX4" s="159"/>
      <c r="BY4" s="159"/>
      <c r="BZ4" s="159"/>
      <c r="CA4" s="159"/>
      <c r="CB4" s="159"/>
      <c r="CC4" s="159"/>
      <c r="CD4" s="159"/>
      <c r="CE4" s="159"/>
      <c r="CF4" s="159"/>
      <c r="CG4" s="159"/>
      <c r="CH4" s="159"/>
      <c r="CI4" s="159"/>
    </row>
    <row r="5" ht="13.5" customHeight="1">
      <c r="A5" s="37" t="s">
        <v>4609</v>
      </c>
      <c r="B5" s="37" t="s">
        <v>4610</v>
      </c>
      <c r="C5" s="64" t="s">
        <v>4611</v>
      </c>
      <c r="D5" s="37" t="s">
        <v>4604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3"/>
      <c r="AI5" s="163"/>
      <c r="AJ5" s="163"/>
      <c r="AK5" s="163"/>
      <c r="AZ5" s="37" t="s">
        <v>4595</v>
      </c>
      <c r="BA5" s="37" t="s">
        <v>4612</v>
      </c>
      <c r="BB5" s="37">
        <v>4.0</v>
      </c>
      <c r="BC5" s="37">
        <v>420.0</v>
      </c>
      <c r="BD5" s="37">
        <v>10.0</v>
      </c>
      <c r="BE5" s="37" t="s">
        <v>4609</v>
      </c>
      <c r="BF5" s="37">
        <v>78.0</v>
      </c>
      <c r="BG5" s="37">
        <v>150.0</v>
      </c>
      <c r="BH5" s="37">
        <v>7.0</v>
      </c>
      <c r="BI5" s="39" t="s">
        <v>4597</v>
      </c>
      <c r="BJ5" s="41" t="s">
        <v>4604</v>
      </c>
      <c r="BK5" s="39"/>
      <c r="BL5" s="39"/>
      <c r="BM5" s="64">
        <v>16.0</v>
      </c>
      <c r="BN5" s="159"/>
      <c r="BO5" s="159"/>
      <c r="BP5" s="159"/>
      <c r="BQ5" s="159"/>
      <c r="BR5" s="164" t="s">
        <v>4613</v>
      </c>
      <c r="BS5" s="159" t="s">
        <v>4598</v>
      </c>
      <c r="BT5" s="159">
        <v>30.0</v>
      </c>
      <c r="BU5" s="159"/>
      <c r="BV5" s="159"/>
      <c r="BW5" s="159"/>
      <c r="BX5" s="159"/>
      <c r="BY5" s="159"/>
      <c r="BZ5" s="159"/>
      <c r="CA5" s="159"/>
      <c r="CB5" s="159"/>
      <c r="CC5" s="159"/>
      <c r="CD5" s="159"/>
      <c r="CE5" s="159"/>
      <c r="CF5" s="159"/>
      <c r="CG5" s="159"/>
      <c r="CH5" s="159"/>
      <c r="CI5" s="159"/>
    </row>
    <row r="6" ht="18.75" customHeight="1">
      <c r="A6" s="37" t="s">
        <v>4614</v>
      </c>
      <c r="B6" s="37" t="s">
        <v>4593</v>
      </c>
      <c r="C6" s="64" t="s">
        <v>4615</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3"/>
      <c r="AI6" s="163"/>
      <c r="AJ6" s="163"/>
      <c r="AK6" s="163"/>
      <c r="BI6" s="39" t="s">
        <v>4597</v>
      </c>
      <c r="BJ6" s="39"/>
      <c r="BK6" s="39"/>
      <c r="BL6" s="39"/>
      <c r="BM6" s="39"/>
      <c r="BN6" s="159" t="s">
        <v>4616</v>
      </c>
      <c r="BO6" s="159" t="s">
        <v>4617</v>
      </c>
      <c r="BP6" s="159">
        <v>0.0</v>
      </c>
      <c r="BQ6" s="159"/>
      <c r="BR6" s="164" t="s">
        <v>4592</v>
      </c>
      <c r="BS6" s="159" t="s">
        <v>4618</v>
      </c>
      <c r="BT6" s="159">
        <v>85.0</v>
      </c>
      <c r="BU6" s="159"/>
      <c r="BV6" s="159"/>
      <c r="BW6" s="159"/>
      <c r="BX6" s="159"/>
      <c r="BY6" s="159"/>
      <c r="BZ6" s="159"/>
      <c r="CA6" s="159"/>
      <c r="CB6" s="159"/>
      <c r="CC6" s="159"/>
      <c r="CD6" s="159"/>
      <c r="CE6" s="159"/>
      <c r="CF6" s="159"/>
      <c r="CG6" s="159"/>
      <c r="CH6" s="159"/>
      <c r="CI6" s="159"/>
    </row>
    <row r="7" ht="18.75" customHeight="1">
      <c r="A7" s="37" t="s">
        <v>4619</v>
      </c>
      <c r="B7" s="37" t="s">
        <v>4593</v>
      </c>
      <c r="C7" s="64" t="s">
        <v>4620</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3"/>
      <c r="AI7" s="163"/>
      <c r="AJ7" s="163"/>
      <c r="AK7" s="163"/>
      <c r="AU7" s="37">
        <v>25.0</v>
      </c>
      <c r="AY7" s="37">
        <v>35.0</v>
      </c>
      <c r="BI7" s="39" t="s">
        <v>4597</v>
      </c>
      <c r="BJ7" s="39"/>
      <c r="BK7" s="39"/>
      <c r="BL7" s="39"/>
      <c r="BM7" s="39"/>
      <c r="BN7" s="159"/>
      <c r="BO7" s="159"/>
      <c r="BP7" s="159"/>
      <c r="BQ7" s="159"/>
      <c r="BR7" s="164" t="s">
        <v>4621</v>
      </c>
      <c r="BS7" s="159" t="s">
        <v>4622</v>
      </c>
      <c r="BT7" s="159">
        <v>50.0</v>
      </c>
      <c r="BU7" s="159"/>
      <c r="BV7" s="159"/>
      <c r="BW7" s="159"/>
      <c r="BX7" s="159"/>
      <c r="BY7" s="159"/>
      <c r="BZ7" s="159"/>
      <c r="CA7" s="159"/>
      <c r="CB7" s="159"/>
      <c r="CC7" s="159"/>
      <c r="CD7" s="159"/>
      <c r="CE7" s="159"/>
      <c r="CF7" s="159"/>
      <c r="CG7" s="159"/>
      <c r="CH7" s="159"/>
      <c r="CI7" s="159"/>
    </row>
    <row r="8" ht="18.75" customHeight="1">
      <c r="A8" s="37" t="s">
        <v>4623</v>
      </c>
      <c r="B8" s="37" t="s">
        <v>4593</v>
      </c>
      <c r="C8" s="64" t="s">
        <v>4624</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3"/>
      <c r="AI8" s="163"/>
      <c r="AJ8" s="163"/>
      <c r="AK8" s="163"/>
      <c r="BI8" s="39" t="s">
        <v>4597</v>
      </c>
      <c r="BJ8" s="39"/>
      <c r="BK8" s="39"/>
      <c r="BL8" s="39"/>
      <c r="BM8" s="39"/>
      <c r="BN8" s="159"/>
      <c r="BO8" s="159"/>
      <c r="BP8" s="159"/>
      <c r="BQ8" s="159"/>
      <c r="BR8" s="164" t="s">
        <v>4614</v>
      </c>
      <c r="BS8" s="159" t="s">
        <v>4618</v>
      </c>
      <c r="BT8" s="159">
        <v>65.0</v>
      </c>
      <c r="BU8" s="159"/>
      <c r="BV8" s="159"/>
      <c r="BW8" s="159"/>
      <c r="BX8" s="159"/>
      <c r="BY8" s="159"/>
      <c r="BZ8" s="159"/>
      <c r="CA8" s="159"/>
      <c r="CB8" s="159"/>
      <c r="CC8" s="159"/>
      <c r="CD8" s="159"/>
      <c r="CE8" s="159"/>
      <c r="CF8" s="159"/>
      <c r="CG8" s="159"/>
      <c r="CH8" s="159"/>
      <c r="CI8" s="159"/>
    </row>
    <row r="9" ht="18.75" customHeight="1">
      <c r="A9" s="37" t="s">
        <v>4625</v>
      </c>
      <c r="B9" s="37" t="s">
        <v>4593</v>
      </c>
      <c r="C9" s="64" t="s">
        <v>4626</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3"/>
      <c r="AI9" s="163"/>
      <c r="AJ9" s="163"/>
      <c r="AK9" s="163">
        <v>25.0</v>
      </c>
      <c r="AP9" s="37">
        <v>25.0</v>
      </c>
      <c r="BI9" s="39" t="s">
        <v>4597</v>
      </c>
      <c r="BJ9" s="39"/>
      <c r="BK9" s="39"/>
      <c r="BL9" s="39"/>
      <c r="BM9" s="39"/>
      <c r="BN9" s="159"/>
      <c r="BO9" s="159"/>
      <c r="BP9" s="159"/>
      <c r="BQ9" s="159"/>
      <c r="BR9" s="164" t="s">
        <v>4592</v>
      </c>
      <c r="BS9" s="159" t="s">
        <v>4627</v>
      </c>
      <c r="BT9" s="159">
        <v>70.0</v>
      </c>
      <c r="BU9" s="159"/>
      <c r="BV9" s="159"/>
      <c r="BW9" s="159"/>
      <c r="BX9" s="159"/>
      <c r="BY9" s="159"/>
      <c r="BZ9" s="159"/>
      <c r="CA9" s="159"/>
      <c r="CB9" s="159"/>
      <c r="CC9" s="159"/>
      <c r="CD9" s="159"/>
      <c r="CE9" s="159"/>
      <c r="CF9" s="159"/>
      <c r="CG9" s="159"/>
      <c r="CH9" s="159"/>
      <c r="CI9" s="159"/>
    </row>
    <row r="10" ht="18.75" customHeight="1">
      <c r="A10" s="37" t="s">
        <v>4628</v>
      </c>
      <c r="B10" s="37" t="s">
        <v>4593</v>
      </c>
      <c r="C10" s="64" t="s">
        <v>4629</v>
      </c>
      <c r="D10" s="39"/>
      <c r="E10" s="64">
        <v>6.0</v>
      </c>
      <c r="F10" s="64"/>
      <c r="G10" s="64" t="s">
        <v>4630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3"/>
      <c r="AI10" s="163"/>
      <c r="AJ10" s="163"/>
      <c r="AK10" s="163"/>
      <c r="BI10" s="39" t="s">
        <v>4597</v>
      </c>
      <c r="BJ10" s="39"/>
      <c r="BK10" s="39"/>
      <c r="BL10" s="39"/>
      <c r="BM10" s="39"/>
      <c r="BN10" s="159"/>
      <c r="BO10" s="159"/>
      <c r="BP10" s="159"/>
      <c r="BQ10" s="159"/>
      <c r="BR10" s="164" t="s">
        <v>4592</v>
      </c>
      <c r="BS10" s="159" t="s">
        <v>4618</v>
      </c>
      <c r="BT10" s="159">
        <v>75.0</v>
      </c>
      <c r="BU10" s="159"/>
      <c r="BV10" s="159"/>
      <c r="BW10" s="159"/>
      <c r="BX10" s="159"/>
      <c r="BY10" s="159"/>
      <c r="BZ10" s="159"/>
      <c r="CA10" s="159"/>
      <c r="CB10" s="159"/>
      <c r="CC10" s="159"/>
      <c r="CD10" s="159"/>
      <c r="CE10" s="159"/>
      <c r="CF10" s="164">
        <v>25.0</v>
      </c>
      <c r="CG10" s="164">
        <v>1.0</v>
      </c>
      <c r="CH10" s="164">
        <v>10.0</v>
      </c>
      <c r="CI10" s="164"/>
    </row>
    <row r="11" ht="18.75" customHeight="1">
      <c r="A11" s="37" t="s">
        <v>4631</v>
      </c>
      <c r="B11" s="37" t="s">
        <v>4593</v>
      </c>
      <c r="C11" s="64"/>
      <c r="D11" s="39"/>
      <c r="E11" s="64">
        <v>6.0</v>
      </c>
      <c r="F11" s="64"/>
      <c r="G11" s="64" t="s">
        <v>4630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3"/>
      <c r="AI11" s="163"/>
      <c r="AJ11" s="163"/>
      <c r="AK11" s="163"/>
      <c r="BI11" s="39" t="s">
        <v>4597</v>
      </c>
      <c r="BJ11" s="39"/>
      <c r="BK11" s="39"/>
      <c r="BL11" s="39"/>
      <c r="BM11" s="39"/>
      <c r="BN11" s="159"/>
      <c r="BO11" s="159"/>
      <c r="BP11" s="159"/>
      <c r="BQ11" s="159"/>
      <c r="BR11" s="164" t="s">
        <v>4632</v>
      </c>
      <c r="BS11" s="159" t="s">
        <v>4618</v>
      </c>
      <c r="BT11" s="159">
        <v>55.0</v>
      </c>
      <c r="BU11" s="159"/>
      <c r="BV11" s="159"/>
      <c r="BW11" s="159"/>
      <c r="BX11" s="159"/>
      <c r="BY11" s="159"/>
      <c r="BZ11" s="159"/>
      <c r="CA11" s="159"/>
      <c r="CB11" s="159"/>
      <c r="CC11" s="159"/>
      <c r="CD11" s="159"/>
      <c r="CE11" s="159"/>
      <c r="CF11" s="164">
        <v>25.0</v>
      </c>
      <c r="CG11" s="164">
        <v>1.0</v>
      </c>
      <c r="CH11" s="164">
        <v>10.0</v>
      </c>
      <c r="CI11" s="164"/>
    </row>
    <row r="12" ht="18.75" customHeight="1">
      <c r="A12" s="37" t="s">
        <v>4633</v>
      </c>
      <c r="B12" s="37" t="s">
        <v>4593</v>
      </c>
      <c r="C12" s="64" t="s">
        <v>4634</v>
      </c>
      <c r="D12" s="39"/>
      <c r="E12" s="64">
        <v>2.0</v>
      </c>
      <c r="F12" s="64"/>
      <c r="G12" s="64" t="s">
        <v>4630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3"/>
      <c r="AI12" s="163"/>
      <c r="AJ12" s="163"/>
      <c r="AK12" s="163"/>
      <c r="BI12" s="39" t="s">
        <v>4597</v>
      </c>
      <c r="BJ12" s="39"/>
      <c r="BK12" s="39"/>
      <c r="BL12" s="39"/>
      <c r="BM12" s="39"/>
      <c r="BN12" s="159"/>
      <c r="BO12" s="159"/>
      <c r="BP12" s="159"/>
      <c r="BQ12" s="159"/>
      <c r="BR12" s="164" t="s">
        <v>4592</v>
      </c>
      <c r="BS12" s="159" t="s">
        <v>4618</v>
      </c>
      <c r="BT12" s="159">
        <v>80.0</v>
      </c>
      <c r="BU12" s="159"/>
      <c r="BV12" s="159"/>
      <c r="BW12" s="159"/>
      <c r="BX12" s="159"/>
      <c r="BY12" s="159"/>
      <c r="BZ12" s="159"/>
      <c r="CA12" s="159"/>
      <c r="CB12" s="159"/>
      <c r="CC12" s="159"/>
      <c r="CD12" s="159"/>
      <c r="CE12" s="159"/>
      <c r="CF12" s="159"/>
      <c r="CG12" s="159"/>
      <c r="CH12" s="159"/>
      <c r="CI12" s="159"/>
    </row>
    <row r="13" ht="18.75" customHeight="1">
      <c r="A13" s="37" t="s">
        <v>4635</v>
      </c>
      <c r="B13" s="37" t="s">
        <v>4593</v>
      </c>
      <c r="C13" s="64" t="s">
        <v>4636</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3"/>
      <c r="AI13" s="163"/>
      <c r="AJ13" s="163"/>
      <c r="AK13" s="163"/>
      <c r="BI13" s="39" t="s">
        <v>4597</v>
      </c>
      <c r="BJ13" s="39"/>
      <c r="BK13" s="39"/>
      <c r="BL13" s="39"/>
      <c r="BM13" s="39"/>
      <c r="BN13" s="159"/>
      <c r="BO13" s="159"/>
      <c r="BP13" s="159"/>
      <c r="BQ13" s="159"/>
      <c r="BR13" s="164" t="s">
        <v>4637</v>
      </c>
      <c r="BS13" s="159" t="s">
        <v>4618</v>
      </c>
      <c r="BT13" s="159">
        <v>45.0</v>
      </c>
      <c r="BU13" s="159"/>
      <c r="BV13" s="159"/>
      <c r="BW13" s="159"/>
      <c r="BX13" s="159"/>
      <c r="BY13" s="159"/>
      <c r="BZ13" s="159"/>
      <c r="CA13" s="159"/>
      <c r="CB13" s="159"/>
      <c r="CC13" s="159"/>
      <c r="CD13" s="159"/>
      <c r="CE13" s="159"/>
      <c r="CF13" s="159"/>
      <c r="CG13" s="159"/>
      <c r="CH13" s="159"/>
      <c r="CI13" s="159"/>
    </row>
    <row r="14" ht="18.75" customHeight="1">
      <c r="A14" s="37" t="s">
        <v>4638</v>
      </c>
      <c r="B14" s="37" t="s">
        <v>4593</v>
      </c>
      <c r="C14" s="64" t="s">
        <v>4639</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3"/>
      <c r="AI14" s="163"/>
      <c r="AJ14" s="163"/>
      <c r="AK14" s="163"/>
      <c r="AS14" s="37">
        <v>10.0</v>
      </c>
      <c r="AT14" s="37">
        <v>10.0</v>
      </c>
      <c r="BI14" s="39" t="s">
        <v>4597</v>
      </c>
      <c r="BJ14" s="39"/>
      <c r="BK14" s="39"/>
      <c r="BL14" s="39"/>
      <c r="BM14" s="39"/>
      <c r="BN14" s="159"/>
      <c r="BO14" s="159"/>
      <c r="BP14" s="159"/>
      <c r="BQ14" s="159"/>
      <c r="BR14" s="164" t="s">
        <v>4592</v>
      </c>
      <c r="BS14" s="159" t="s">
        <v>4640</v>
      </c>
      <c r="BT14" s="159">
        <v>65.0</v>
      </c>
      <c r="BU14" s="159"/>
      <c r="BV14" s="159"/>
      <c r="BW14" s="159"/>
      <c r="BX14" s="159"/>
      <c r="BY14" s="159"/>
      <c r="BZ14" s="159"/>
      <c r="CA14" s="159"/>
      <c r="CB14" s="159"/>
      <c r="CC14" s="159"/>
      <c r="CD14" s="159"/>
      <c r="CE14" s="159"/>
      <c r="CF14" s="159"/>
      <c r="CG14" s="159"/>
      <c r="CH14" s="159"/>
      <c r="CI14" s="159"/>
    </row>
    <row r="15" ht="18.75" customHeight="1">
      <c r="A15" s="37" t="s">
        <v>4641</v>
      </c>
      <c r="B15" s="37" t="s">
        <v>4593</v>
      </c>
      <c r="C15" s="64" t="s">
        <v>4642</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3"/>
      <c r="AI15" s="163"/>
      <c r="AJ15" s="163"/>
      <c r="AK15" s="163"/>
      <c r="AN15" s="37">
        <v>15.0</v>
      </c>
      <c r="BI15" s="39" t="s">
        <v>4597</v>
      </c>
      <c r="BJ15" s="39"/>
      <c r="BK15" s="39"/>
      <c r="BL15" s="39"/>
      <c r="BM15" s="39"/>
      <c r="BN15" s="159"/>
      <c r="BO15" s="159"/>
      <c r="BP15" s="159"/>
      <c r="BQ15" s="159"/>
      <c r="BR15" s="164" t="s">
        <v>4638</v>
      </c>
      <c r="BS15" s="159" t="s">
        <v>2429</v>
      </c>
      <c r="BT15" s="159">
        <v>50.0</v>
      </c>
      <c r="BU15" s="159"/>
      <c r="BV15" s="159"/>
      <c r="BW15" s="159"/>
      <c r="BX15" s="159"/>
      <c r="BY15" s="159"/>
      <c r="BZ15" s="159"/>
      <c r="CA15" s="159"/>
      <c r="CB15" s="159"/>
      <c r="CC15" s="159"/>
      <c r="CD15" s="159"/>
      <c r="CE15" s="159"/>
      <c r="CF15" s="159"/>
      <c r="CG15" s="159"/>
      <c r="CH15" s="159"/>
      <c r="CI15" s="159"/>
    </row>
    <row r="16" ht="18.75" customHeight="1">
      <c r="A16" s="37" t="s">
        <v>4643</v>
      </c>
      <c r="B16" s="37" t="s">
        <v>4593</v>
      </c>
      <c r="C16" s="64" t="s">
        <v>4644</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3"/>
      <c r="AI16" s="163"/>
      <c r="AJ16" s="163"/>
      <c r="AK16" s="163">
        <v>10.0</v>
      </c>
      <c r="AN16" s="37">
        <v>5.0</v>
      </c>
      <c r="BI16" s="39" t="s">
        <v>4597</v>
      </c>
      <c r="BJ16" s="39"/>
      <c r="BK16" s="39"/>
      <c r="BL16" s="39"/>
      <c r="BM16" s="39"/>
      <c r="BN16" s="159"/>
      <c r="BO16" s="159"/>
      <c r="BP16" s="159"/>
      <c r="BQ16" s="159"/>
      <c r="BR16" s="164" t="s">
        <v>4645</v>
      </c>
      <c r="BS16" s="159" t="s">
        <v>2429</v>
      </c>
      <c r="BT16" s="159">
        <v>45.0</v>
      </c>
      <c r="BU16" s="159"/>
      <c r="BV16" s="159"/>
      <c r="BW16" s="159"/>
      <c r="BX16" s="159"/>
      <c r="BY16" s="159"/>
      <c r="BZ16" s="159"/>
      <c r="CA16" s="159"/>
      <c r="CB16" s="159"/>
      <c r="CC16" s="159"/>
      <c r="CD16" s="159"/>
      <c r="CE16" s="159"/>
      <c r="CF16" s="159"/>
      <c r="CG16" s="159"/>
      <c r="CH16" s="159"/>
      <c r="CI16" s="159"/>
    </row>
    <row r="17" ht="18.75" customHeight="1">
      <c r="A17" s="37" t="s">
        <v>4646</v>
      </c>
      <c r="B17" s="37" t="s">
        <v>4593</v>
      </c>
      <c r="C17" s="64" t="s">
        <v>4647</v>
      </c>
      <c r="D17" s="39"/>
      <c r="E17" s="64">
        <v>8.0</v>
      </c>
      <c r="F17" s="64"/>
      <c r="G17" s="64" t="s">
        <v>4630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3"/>
      <c r="AI17" s="163"/>
      <c r="AJ17" s="163"/>
      <c r="AK17" s="163"/>
      <c r="AS17" s="37">
        <v>15.0</v>
      </c>
      <c r="AU17" s="37">
        <v>30.0</v>
      </c>
      <c r="BI17" s="39" t="s">
        <v>4597</v>
      </c>
      <c r="BJ17" s="41"/>
      <c r="BK17" s="39"/>
      <c r="BL17" s="39"/>
      <c r="BM17" s="39"/>
      <c r="BN17" s="159"/>
      <c r="BO17" s="159"/>
      <c r="BP17" s="159"/>
      <c r="BQ17" s="159"/>
      <c r="BR17" s="164" t="s">
        <v>4648</v>
      </c>
      <c r="BS17" s="159" t="s">
        <v>2429</v>
      </c>
      <c r="BT17" s="159">
        <v>40.0</v>
      </c>
      <c r="BU17" s="159"/>
      <c r="BV17" s="159"/>
      <c r="BW17" s="159"/>
      <c r="BX17" s="159"/>
      <c r="BY17" s="159"/>
      <c r="BZ17" s="159"/>
      <c r="CA17" s="159"/>
      <c r="CB17" s="159"/>
      <c r="CC17" s="159"/>
      <c r="CD17" s="159"/>
      <c r="CE17" s="159"/>
      <c r="CF17" s="159"/>
      <c r="CG17" s="159"/>
      <c r="CH17" s="159"/>
      <c r="CI17" s="159"/>
    </row>
    <row r="18" ht="18.75" customHeight="1">
      <c r="A18" s="37" t="s">
        <v>4649</v>
      </c>
      <c r="B18" s="37" t="s">
        <v>4593</v>
      </c>
      <c r="C18" s="64" t="s">
        <v>4650</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3"/>
      <c r="AI18" s="163"/>
      <c r="AJ18" s="163"/>
      <c r="AK18" s="163"/>
      <c r="AS18" s="37">
        <v>10.0</v>
      </c>
      <c r="AT18" s="37">
        <v>5.0</v>
      </c>
      <c r="AV18" s="37">
        <v>5.0</v>
      </c>
      <c r="AX18" s="37">
        <v>3.0</v>
      </c>
      <c r="BI18" s="39" t="s">
        <v>4597</v>
      </c>
      <c r="BJ18" s="39"/>
      <c r="BK18" s="39"/>
      <c r="BL18" s="39"/>
      <c r="BM18" s="39"/>
      <c r="BN18" s="159"/>
      <c r="BO18" s="159"/>
      <c r="BP18" s="159"/>
      <c r="BQ18" s="159"/>
      <c r="BR18" s="164" t="s">
        <v>4651</v>
      </c>
      <c r="BS18" s="159" t="s">
        <v>1179</v>
      </c>
      <c r="BT18" s="159">
        <v>50.0</v>
      </c>
      <c r="BU18" s="159"/>
      <c r="BV18" s="159"/>
      <c r="BW18" s="159"/>
      <c r="BX18" s="159"/>
      <c r="BY18" s="159"/>
      <c r="BZ18" s="159"/>
      <c r="CA18" s="159"/>
      <c r="CB18" s="159"/>
      <c r="CC18" s="159"/>
      <c r="CD18" s="159"/>
      <c r="CE18" s="159"/>
      <c r="CF18" s="159"/>
      <c r="CG18" s="159"/>
      <c r="CH18" s="159"/>
      <c r="CI18" s="159"/>
    </row>
    <row r="19" ht="17.25" customHeight="1">
      <c r="A19" s="37" t="s">
        <v>4651</v>
      </c>
      <c r="B19" s="37" t="s">
        <v>4593</v>
      </c>
      <c r="C19" s="64" t="s">
        <v>4652</v>
      </c>
      <c r="D19" s="39"/>
      <c r="E19" s="64">
        <v>4.0</v>
      </c>
      <c r="F19" s="64"/>
      <c r="G19" s="64" t="s">
        <v>4630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3"/>
      <c r="AI19" s="163"/>
      <c r="AJ19" s="163"/>
      <c r="AK19" s="163"/>
      <c r="AO19" s="37">
        <v>15.0</v>
      </c>
      <c r="AS19" s="37">
        <v>10.0</v>
      </c>
      <c r="AT19" s="37">
        <v>10.0</v>
      </c>
      <c r="AV19" s="37">
        <v>15.0</v>
      </c>
      <c r="AX19" s="37">
        <v>5.0</v>
      </c>
      <c r="BI19" s="39" t="s">
        <v>4597</v>
      </c>
      <c r="BJ19" s="39"/>
      <c r="BK19" s="39"/>
      <c r="BL19" s="39"/>
      <c r="BM19" s="39"/>
      <c r="BN19" s="159"/>
      <c r="BO19" s="159"/>
      <c r="BP19" s="159"/>
      <c r="BQ19" s="159"/>
      <c r="BR19" s="164" t="s">
        <v>4653</v>
      </c>
      <c r="BS19" s="159" t="s">
        <v>1179</v>
      </c>
      <c r="BT19" s="159">
        <v>65.0</v>
      </c>
      <c r="BU19" s="159"/>
      <c r="BV19" s="159"/>
      <c r="BW19" s="159"/>
      <c r="BX19" s="159"/>
      <c r="BY19" s="159"/>
      <c r="BZ19" s="159"/>
      <c r="CA19" s="159"/>
      <c r="CB19" s="159"/>
      <c r="CC19" s="159"/>
      <c r="CD19" s="159"/>
      <c r="CE19" s="159"/>
      <c r="CF19" s="159"/>
      <c r="CG19" s="159"/>
      <c r="CH19" s="159"/>
      <c r="CI19" s="159"/>
    </row>
    <row r="20" ht="18.75" customHeight="1">
      <c r="A20" s="37" t="s">
        <v>4654</v>
      </c>
      <c r="B20" s="37" t="s">
        <v>4593</v>
      </c>
      <c r="C20" s="64" t="s">
        <v>4655</v>
      </c>
      <c r="D20" s="39"/>
      <c r="E20" s="64">
        <v>8.0</v>
      </c>
      <c r="F20" s="102">
        <v>1.0</v>
      </c>
      <c r="G20" s="64" t="s">
        <v>4630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3"/>
      <c r="AI20" s="163"/>
      <c r="AJ20" s="163"/>
      <c r="AK20" s="163"/>
      <c r="AO20" s="37">
        <v>25.0</v>
      </c>
      <c r="AS20" s="37">
        <v>10.0</v>
      </c>
      <c r="AV20" s="37">
        <v>5.0</v>
      </c>
      <c r="AX20" s="37">
        <v>15.0</v>
      </c>
      <c r="BI20" s="39" t="s">
        <v>4597</v>
      </c>
      <c r="BJ20" s="39"/>
      <c r="BK20" s="39"/>
      <c r="BL20" s="39"/>
      <c r="BM20" s="39"/>
      <c r="BN20" s="159"/>
      <c r="BO20" s="159"/>
      <c r="BP20" s="159"/>
      <c r="BQ20" s="159"/>
      <c r="BR20" s="164" t="s">
        <v>4656</v>
      </c>
      <c r="BS20" s="159" t="s">
        <v>1179</v>
      </c>
      <c r="BT20" s="159">
        <v>45.0</v>
      </c>
      <c r="BU20" s="159"/>
      <c r="BV20" s="159"/>
      <c r="BW20" s="159"/>
      <c r="BX20" s="159"/>
      <c r="BY20" s="159"/>
      <c r="BZ20" s="159"/>
      <c r="CA20" s="159"/>
      <c r="CB20" s="159"/>
      <c r="CC20" s="159"/>
      <c r="CD20" s="159"/>
      <c r="CE20" s="159"/>
      <c r="CF20" s="159"/>
      <c r="CG20" s="159"/>
      <c r="CH20" s="159"/>
      <c r="CI20" s="159"/>
    </row>
    <row r="21" ht="18.75" customHeight="1">
      <c r="A21" s="37" t="s">
        <v>4657</v>
      </c>
      <c r="B21" s="37" t="s">
        <v>4593</v>
      </c>
      <c r="C21" s="64" t="s">
        <v>4658</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3"/>
      <c r="AI21" s="163"/>
      <c r="AJ21" s="163"/>
      <c r="AK21" s="163"/>
      <c r="AO21" s="37">
        <v>50.0</v>
      </c>
      <c r="AS21" s="37">
        <v>10.0</v>
      </c>
      <c r="AT21" s="37">
        <v>10.0</v>
      </c>
      <c r="AU21" s="37">
        <v>20.0</v>
      </c>
      <c r="AV21" s="37">
        <v>10.0</v>
      </c>
      <c r="AX21" s="37">
        <v>10.0</v>
      </c>
      <c r="BI21" s="39" t="s">
        <v>4597</v>
      </c>
      <c r="BJ21" s="39"/>
      <c r="BK21" s="39"/>
      <c r="BL21" s="39"/>
      <c r="BM21" s="39"/>
      <c r="BN21" s="159"/>
      <c r="BO21" s="159"/>
      <c r="BP21" s="159"/>
      <c r="BQ21" s="159"/>
      <c r="BR21" s="164" t="s">
        <v>4659</v>
      </c>
      <c r="BS21" s="159" t="s">
        <v>1179</v>
      </c>
      <c r="BT21" s="159">
        <v>30.0</v>
      </c>
      <c r="BU21" s="159"/>
      <c r="BV21" s="159"/>
      <c r="BW21" s="159"/>
      <c r="BX21" s="159"/>
      <c r="BY21" s="159"/>
      <c r="BZ21" s="159"/>
      <c r="CA21" s="159"/>
      <c r="CB21" s="159"/>
      <c r="CC21" s="159"/>
      <c r="CD21" s="159"/>
      <c r="CE21" s="159"/>
      <c r="CF21" s="159"/>
      <c r="CG21" s="159"/>
      <c r="CH21" s="159"/>
      <c r="CI21" s="159"/>
    </row>
    <row r="22" ht="18.75" customHeight="1">
      <c r="A22" s="37" t="s">
        <v>4660</v>
      </c>
      <c r="B22" s="37" t="s">
        <v>54</v>
      </c>
      <c r="C22" s="64" t="s">
        <v>4661</v>
      </c>
      <c r="D22" s="41"/>
      <c r="E22" s="64">
        <v>2.0</v>
      </c>
      <c r="F22" s="64"/>
      <c r="G22" s="64" t="s">
        <v>4630</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3">
        <v>100.0</v>
      </c>
      <c r="AI22" s="163"/>
      <c r="AJ22" s="163"/>
      <c r="AK22" s="163"/>
      <c r="BI22" s="41" t="s">
        <v>4662</v>
      </c>
      <c r="BJ22" s="41"/>
      <c r="BK22" s="41"/>
      <c r="BL22" s="41"/>
      <c r="BM22" s="41"/>
      <c r="BN22" s="159"/>
      <c r="BO22" s="159"/>
      <c r="BP22" s="159"/>
      <c r="BQ22" s="159"/>
      <c r="BR22" s="86" t="s">
        <v>4592</v>
      </c>
      <c r="BS22" s="159" t="s">
        <v>4422</v>
      </c>
      <c r="BT22" s="159">
        <v>100.0</v>
      </c>
      <c r="BU22" s="159"/>
      <c r="BV22" s="159"/>
      <c r="BW22" s="159"/>
      <c r="BX22" s="159"/>
      <c r="BY22" s="159"/>
      <c r="BZ22" s="159"/>
      <c r="CA22" s="159"/>
      <c r="CB22" s="159"/>
      <c r="CC22" s="159"/>
      <c r="CD22" s="159"/>
      <c r="CE22" s="159"/>
      <c r="CF22" s="159"/>
      <c r="CG22" s="159"/>
      <c r="CH22" s="159"/>
      <c r="CI22" s="164" t="s">
        <v>4663</v>
      </c>
    </row>
    <row r="23" ht="18.75" customHeight="1">
      <c r="A23" s="37" t="s">
        <v>4664</v>
      </c>
      <c r="B23" s="37" t="s">
        <v>56</v>
      </c>
      <c r="C23" s="64" t="s">
        <v>4665</v>
      </c>
      <c r="D23" s="41"/>
      <c r="E23" s="64">
        <v>2.0</v>
      </c>
      <c r="F23" s="64"/>
      <c r="G23" s="64" t="s">
        <v>4630</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3"/>
      <c r="AI23" s="163">
        <v>100.0</v>
      </c>
      <c r="AJ23" s="163"/>
      <c r="AK23" s="163"/>
      <c r="BI23" s="41" t="s">
        <v>4662</v>
      </c>
      <c r="BJ23" s="41"/>
      <c r="BK23" s="41"/>
      <c r="BL23" s="41"/>
      <c r="BM23" s="41"/>
      <c r="BN23" s="159"/>
      <c r="BO23" s="159"/>
      <c r="BP23" s="159"/>
      <c r="BQ23" s="159"/>
      <c r="BR23" s="164"/>
      <c r="BS23" s="159" t="s">
        <v>4627</v>
      </c>
      <c r="BT23" s="159">
        <v>95.0</v>
      </c>
      <c r="BU23" s="159"/>
      <c r="BV23" s="159"/>
      <c r="BW23" s="159"/>
      <c r="BX23" s="159"/>
      <c r="BY23" s="159"/>
      <c r="BZ23" s="159"/>
      <c r="CA23" s="159"/>
      <c r="CB23" s="159"/>
      <c r="CC23" s="159"/>
      <c r="CD23" s="159"/>
      <c r="CE23" s="159"/>
      <c r="CF23" s="159"/>
      <c r="CG23" s="159"/>
      <c r="CH23" s="159"/>
      <c r="CI23" s="164" t="s">
        <v>3201</v>
      </c>
    </row>
    <row r="24" ht="18.75" customHeight="1">
      <c r="A24" s="37" t="s">
        <v>4666</v>
      </c>
      <c r="B24" s="37" t="s">
        <v>3239</v>
      </c>
      <c r="C24" s="64" t="s">
        <v>4667</v>
      </c>
      <c r="D24" s="41"/>
      <c r="E24" s="64">
        <v>2.0</v>
      </c>
      <c r="F24" s="64"/>
      <c r="G24" s="64" t="s">
        <v>4630</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3"/>
      <c r="AI24" s="163"/>
      <c r="AJ24" s="163"/>
      <c r="AK24" s="163">
        <v>100.0</v>
      </c>
      <c r="BI24" s="41" t="s">
        <v>4662</v>
      </c>
      <c r="BJ24" s="41"/>
      <c r="BK24" s="41"/>
      <c r="BL24" s="41"/>
      <c r="BM24" s="41"/>
      <c r="BN24" s="159"/>
      <c r="BO24" s="159"/>
      <c r="BP24" s="159"/>
      <c r="BQ24" s="159"/>
      <c r="BR24" s="164"/>
      <c r="BS24" s="159" t="s">
        <v>4627</v>
      </c>
      <c r="BT24" s="159">
        <v>90.0</v>
      </c>
      <c r="BU24" s="159"/>
      <c r="BV24" s="159"/>
      <c r="BW24" s="159"/>
      <c r="BX24" s="159"/>
      <c r="BY24" s="159"/>
      <c r="BZ24" s="159"/>
      <c r="CA24" s="159"/>
      <c r="CB24" s="159"/>
      <c r="CC24" s="159"/>
      <c r="CD24" s="159"/>
      <c r="CE24" s="159"/>
      <c r="CF24" s="159"/>
      <c r="CG24" s="159"/>
      <c r="CH24" s="159"/>
      <c r="CI24" s="164" t="s">
        <v>3204</v>
      </c>
    </row>
    <row r="25" ht="18.75" customHeight="1">
      <c r="A25" s="37" t="s">
        <v>4668</v>
      </c>
      <c r="B25" s="37" t="s">
        <v>3242</v>
      </c>
      <c r="C25" s="64" t="s">
        <v>4669</v>
      </c>
      <c r="D25" s="41"/>
      <c r="E25" s="64">
        <v>2.0</v>
      </c>
      <c r="F25" s="64"/>
      <c r="G25" s="64" t="s">
        <v>4630</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3"/>
      <c r="AI25" s="163"/>
      <c r="AJ25" s="163"/>
      <c r="AK25" s="163">
        <v>100.0</v>
      </c>
      <c r="BI25" s="41" t="s">
        <v>4662</v>
      </c>
      <c r="BJ25" s="41"/>
      <c r="BK25" s="41"/>
      <c r="BL25" s="41"/>
      <c r="BM25" s="41"/>
      <c r="BN25" s="159"/>
      <c r="BO25" s="159"/>
      <c r="BP25" s="159"/>
      <c r="BQ25" s="159"/>
      <c r="BR25" s="164"/>
      <c r="BS25" s="159" t="s">
        <v>4627</v>
      </c>
      <c r="BT25" s="159">
        <v>75.0</v>
      </c>
      <c r="BU25" s="159"/>
      <c r="BV25" s="159"/>
      <c r="BW25" s="159"/>
      <c r="BX25" s="159"/>
      <c r="BY25" s="159"/>
      <c r="BZ25" s="159"/>
      <c r="CA25" s="159"/>
      <c r="CB25" s="159"/>
      <c r="CC25" s="159"/>
      <c r="CD25" s="159"/>
      <c r="CE25" s="159"/>
      <c r="CF25" s="159"/>
      <c r="CG25" s="159"/>
      <c r="CH25" s="159"/>
      <c r="CI25" s="164" t="s">
        <v>3205</v>
      </c>
    </row>
    <row r="26" ht="18.75" customHeight="1">
      <c r="A26" s="37" t="s">
        <v>4670</v>
      </c>
      <c r="B26" s="37" t="s">
        <v>4671</v>
      </c>
      <c r="C26" s="102" t="s">
        <v>4672</v>
      </c>
      <c r="D26" s="39" t="s">
        <v>4673</v>
      </c>
      <c r="E26" s="64">
        <v>2.0</v>
      </c>
      <c r="F26" s="64"/>
      <c r="G26" s="64" t="s">
        <v>4630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3"/>
      <c r="AI26" s="163"/>
      <c r="AJ26" s="163">
        <v>100.0</v>
      </c>
      <c r="AK26" s="163"/>
      <c r="AR26" s="37">
        <v>10.0</v>
      </c>
      <c r="BI26" s="39" t="s">
        <v>4597</v>
      </c>
      <c r="BJ26" s="39" t="s">
        <v>4599</v>
      </c>
      <c r="BK26" s="39" t="s">
        <v>2626</v>
      </c>
      <c r="BL26" s="39">
        <v>2.0</v>
      </c>
      <c r="BM26" s="39">
        <f>E31</f>
        <v>1</v>
      </c>
      <c r="BN26" s="159"/>
      <c r="BO26" s="159"/>
      <c r="BP26" s="159"/>
      <c r="BQ26" s="159"/>
      <c r="BR26" s="164" t="s">
        <v>4674</v>
      </c>
      <c r="BS26" s="159" t="s">
        <v>4675</v>
      </c>
      <c r="BT26" s="159">
        <v>45.0</v>
      </c>
      <c r="BU26" s="159"/>
      <c r="BV26" s="159"/>
      <c r="BW26" s="159"/>
      <c r="BX26" s="159"/>
      <c r="BY26" s="159"/>
      <c r="BZ26" s="159"/>
      <c r="CA26" s="159"/>
      <c r="CB26" s="159"/>
      <c r="CC26" s="159"/>
      <c r="CD26" s="159"/>
      <c r="CE26" s="159"/>
      <c r="CF26" s="159"/>
      <c r="CG26" s="159"/>
      <c r="CH26" s="159"/>
      <c r="CI26" s="164" t="s">
        <v>2626</v>
      </c>
    </row>
    <row r="27" ht="18.75" customHeight="1">
      <c r="A27" s="37" t="s">
        <v>4621</v>
      </c>
      <c r="B27" s="37" t="s">
        <v>4593</v>
      </c>
      <c r="C27" s="64" t="s">
        <v>4676</v>
      </c>
      <c r="D27" s="39"/>
      <c r="E27" s="64">
        <v>2.0</v>
      </c>
      <c r="F27" s="64"/>
      <c r="G27" s="64" t="s">
        <v>4630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3"/>
      <c r="AI27" s="163"/>
      <c r="AJ27" s="163"/>
      <c r="AK27" s="163"/>
      <c r="AP27" s="37">
        <v>15.0</v>
      </c>
      <c r="AT27" s="37">
        <v>10.0</v>
      </c>
      <c r="BI27" s="39" t="s">
        <v>4597</v>
      </c>
      <c r="BJ27" s="39"/>
      <c r="BK27" s="39"/>
      <c r="BL27" s="39"/>
      <c r="BM27" s="39"/>
      <c r="BN27" s="159"/>
      <c r="BO27" s="159"/>
      <c r="BP27" s="159"/>
      <c r="BQ27" s="159"/>
      <c r="BR27" s="164" t="s">
        <v>4592</v>
      </c>
      <c r="BS27" s="159" t="s">
        <v>4677</v>
      </c>
      <c r="BT27" s="159">
        <v>75.0</v>
      </c>
      <c r="BU27" s="159"/>
      <c r="BV27" s="159"/>
      <c r="BW27" s="159"/>
      <c r="BX27" s="159"/>
      <c r="BY27" s="159"/>
      <c r="BZ27" s="159"/>
      <c r="CA27" s="159"/>
      <c r="CB27" s="159"/>
      <c r="CC27" s="159"/>
      <c r="CD27" s="159"/>
      <c r="CE27" s="159"/>
      <c r="CF27" s="159"/>
      <c r="CG27" s="159"/>
      <c r="CH27" s="159"/>
      <c r="CI27" s="159"/>
    </row>
    <row r="28" ht="18.75" customHeight="1">
      <c r="A28" s="37" t="s">
        <v>4678</v>
      </c>
      <c r="B28" s="37" t="s">
        <v>4593</v>
      </c>
      <c r="C28" s="64" t="s">
        <v>4679</v>
      </c>
      <c r="D28" s="39"/>
      <c r="E28" s="64">
        <v>2.0</v>
      </c>
      <c r="F28" s="64"/>
      <c r="G28" s="64" t="s">
        <v>4630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3"/>
      <c r="AI28" s="163"/>
      <c r="AJ28" s="163"/>
      <c r="AK28" s="163"/>
      <c r="AP28" s="37">
        <v>25.0</v>
      </c>
      <c r="BI28" s="39" t="s">
        <v>4597</v>
      </c>
      <c r="BJ28" s="39"/>
      <c r="BK28" s="39"/>
      <c r="BL28" s="39"/>
      <c r="BM28" s="39"/>
      <c r="BN28" s="159"/>
      <c r="BO28" s="159"/>
      <c r="BP28" s="159"/>
      <c r="BQ28" s="159"/>
      <c r="BR28" s="164" t="s">
        <v>4592</v>
      </c>
      <c r="BS28" s="159" t="s">
        <v>4675</v>
      </c>
      <c r="BT28" s="159">
        <v>80.0</v>
      </c>
      <c r="BU28" s="159"/>
      <c r="BV28" s="159"/>
      <c r="BW28" s="159"/>
      <c r="BX28" s="159"/>
      <c r="BY28" s="159"/>
      <c r="BZ28" s="159"/>
      <c r="CA28" s="159"/>
      <c r="CB28" s="159"/>
      <c r="CC28" s="159"/>
      <c r="CD28" s="159"/>
      <c r="CE28" s="159"/>
      <c r="CF28" s="159"/>
      <c r="CG28" s="159"/>
      <c r="CH28" s="159"/>
      <c r="CI28" s="159"/>
    </row>
    <row r="29" ht="18.75" customHeight="1">
      <c r="A29" s="37" t="s">
        <v>4680</v>
      </c>
      <c r="B29" s="37" t="s">
        <v>4593</v>
      </c>
      <c r="C29" s="64" t="s">
        <v>4681</v>
      </c>
      <c r="D29" s="39"/>
      <c r="E29" s="64">
        <v>2.0</v>
      </c>
      <c r="F29" s="64"/>
      <c r="G29" s="64" t="s">
        <v>4630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3"/>
      <c r="AI29" s="163"/>
      <c r="AJ29" s="163"/>
      <c r="AK29" s="163"/>
      <c r="AR29" s="37">
        <v>3.0</v>
      </c>
      <c r="AS29" s="37">
        <v>10.0</v>
      </c>
      <c r="AT29" s="37">
        <v>10.0</v>
      </c>
      <c r="AX29" s="37">
        <v>3.0</v>
      </c>
      <c r="BI29" s="39" t="s">
        <v>4597</v>
      </c>
      <c r="BJ29" s="39"/>
      <c r="BK29" s="39"/>
      <c r="BL29" s="39"/>
      <c r="BM29" s="39"/>
      <c r="BN29" s="159"/>
      <c r="BO29" s="159"/>
      <c r="BP29" s="159"/>
      <c r="BQ29" s="159"/>
      <c r="BR29" s="164" t="s">
        <v>4599</v>
      </c>
      <c r="BS29" s="159" t="s">
        <v>4682</v>
      </c>
      <c r="BT29" s="159">
        <v>50.0</v>
      </c>
      <c r="BU29" s="159"/>
      <c r="BV29" s="159"/>
      <c r="BW29" s="159"/>
      <c r="BX29" s="159"/>
      <c r="BY29" s="159"/>
      <c r="BZ29" s="159"/>
      <c r="CA29" s="159"/>
      <c r="CB29" s="159"/>
      <c r="CC29" s="159"/>
      <c r="CD29" s="159"/>
      <c r="CE29" s="159"/>
      <c r="CF29" s="159"/>
      <c r="CG29" s="159"/>
      <c r="CH29" s="159"/>
      <c r="CI29" s="159"/>
    </row>
    <row r="30" ht="18.75" customHeight="1">
      <c r="A30" s="37" t="s">
        <v>4683</v>
      </c>
      <c r="B30" s="37" t="s">
        <v>4684</v>
      </c>
      <c r="C30" s="64" t="s">
        <v>4685</v>
      </c>
      <c r="D30" s="39"/>
      <c r="E30" s="64">
        <v>2.0</v>
      </c>
      <c r="F30" s="64"/>
      <c r="G30" s="64" t="s">
        <v>4630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3"/>
      <c r="AI30" s="163"/>
      <c r="AJ30" s="163"/>
      <c r="AK30" s="163"/>
      <c r="AR30" s="37">
        <v>3.0</v>
      </c>
      <c r="AS30" s="37">
        <v>5.0</v>
      </c>
      <c r="AT30" s="37">
        <v>15.0</v>
      </c>
      <c r="AX30" s="37">
        <v>5.0</v>
      </c>
      <c r="BI30" s="39" t="s">
        <v>4597</v>
      </c>
      <c r="BJ30" s="39"/>
      <c r="BK30" s="39"/>
      <c r="BL30" s="39"/>
      <c r="BM30" s="39"/>
      <c r="BN30" s="159"/>
      <c r="BO30" s="159"/>
      <c r="BP30" s="159"/>
      <c r="BQ30" s="159"/>
      <c r="BR30" s="164"/>
      <c r="BS30" s="159" t="s">
        <v>4682</v>
      </c>
      <c r="BT30" s="159">
        <v>45.0</v>
      </c>
      <c r="BU30" s="159"/>
      <c r="BV30" s="159"/>
      <c r="BW30" s="159"/>
      <c r="BX30" s="159"/>
      <c r="BY30" s="159"/>
      <c r="BZ30" s="159"/>
      <c r="CA30" s="159"/>
      <c r="CB30" s="159"/>
      <c r="CC30" s="159"/>
      <c r="CD30" s="159"/>
      <c r="CE30" s="159"/>
      <c r="CF30" s="159"/>
      <c r="CG30" s="159"/>
      <c r="CH30" s="159"/>
      <c r="CI30" s="159"/>
    </row>
    <row r="31" ht="18.75" customHeight="1">
      <c r="A31" s="39" t="s">
        <v>4673</v>
      </c>
      <c r="B31" s="39" t="s">
        <v>4671</v>
      </c>
      <c r="C31" s="102" t="s">
        <v>4686</v>
      </c>
      <c r="E31" s="102">
        <v>1.0</v>
      </c>
      <c r="F31" s="64"/>
      <c r="G31" s="102" t="s">
        <v>4630</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3"/>
      <c r="AI31" s="163"/>
      <c r="AJ31" s="163"/>
      <c r="AK31" s="163"/>
      <c r="BI31" s="39" t="s">
        <v>4597</v>
      </c>
      <c r="BJ31" s="39" t="s">
        <v>4592</v>
      </c>
      <c r="BK31" s="39" t="s">
        <v>2626</v>
      </c>
      <c r="BL31" s="39">
        <v>1.0</v>
      </c>
      <c r="BN31" s="159"/>
      <c r="BO31" s="159"/>
      <c r="BP31" s="159"/>
      <c r="BQ31" s="159"/>
      <c r="BR31" s="164" t="s">
        <v>4687</v>
      </c>
      <c r="BS31" s="159" t="s">
        <v>4675</v>
      </c>
      <c r="BT31" s="159">
        <v>70.0</v>
      </c>
      <c r="BU31" s="159"/>
      <c r="BV31" s="159"/>
      <c r="BW31" s="159"/>
      <c r="BX31" s="159"/>
      <c r="BY31" s="159"/>
      <c r="BZ31" s="159"/>
      <c r="CA31" s="159"/>
      <c r="CB31" s="159"/>
      <c r="CC31" s="159"/>
      <c r="CD31" s="159"/>
      <c r="CE31" s="159"/>
      <c r="CF31" s="159"/>
      <c r="CG31" s="159"/>
      <c r="CH31" s="159"/>
      <c r="CI31" s="159"/>
    </row>
    <row r="32" ht="18.75" customHeight="1">
      <c r="A32" s="39" t="s">
        <v>4688</v>
      </c>
      <c r="B32" s="39" t="s">
        <v>4593</v>
      </c>
      <c r="C32" s="102" t="s">
        <v>4689</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3"/>
      <c r="AI32" s="163"/>
      <c r="AJ32" s="163"/>
      <c r="AK32" s="163"/>
      <c r="BI32" s="39" t="s">
        <v>4597</v>
      </c>
      <c r="BN32" s="159"/>
      <c r="BO32" s="159"/>
      <c r="BP32" s="159"/>
      <c r="BQ32" s="159"/>
      <c r="BR32" s="164" t="s">
        <v>4592</v>
      </c>
      <c r="BS32" s="159" t="s">
        <v>4690</v>
      </c>
      <c r="BT32" s="159">
        <v>70.0</v>
      </c>
      <c r="BU32" s="159"/>
      <c r="BV32" s="159"/>
      <c r="BW32" s="159"/>
      <c r="BX32" s="159"/>
      <c r="BY32" s="159"/>
      <c r="BZ32" s="159"/>
      <c r="CA32" s="159"/>
      <c r="CB32" s="159"/>
      <c r="CC32" s="159"/>
      <c r="CD32" s="159"/>
      <c r="CE32" s="159"/>
      <c r="CF32" s="159"/>
      <c r="CG32" s="159"/>
      <c r="CH32" s="159"/>
      <c r="CI32" s="159"/>
    </row>
    <row r="33" ht="18.75" customHeight="1">
      <c r="A33" s="39" t="s">
        <v>4691</v>
      </c>
      <c r="B33" s="39" t="s">
        <v>4593</v>
      </c>
      <c r="C33" s="102" t="s">
        <v>4692</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3"/>
      <c r="AI33" s="163"/>
      <c r="AJ33" s="163"/>
      <c r="AK33" s="163"/>
      <c r="BI33" s="39" t="s">
        <v>4597</v>
      </c>
      <c r="BN33" s="159"/>
      <c r="BO33" s="159"/>
      <c r="BP33" s="159"/>
      <c r="BQ33" s="159"/>
      <c r="BR33" s="164" t="s">
        <v>4693</v>
      </c>
      <c r="BS33" s="159" t="s">
        <v>4690</v>
      </c>
      <c r="BT33" s="159">
        <v>35.0</v>
      </c>
      <c r="BU33" s="159"/>
      <c r="BV33" s="159"/>
      <c r="BW33" s="159"/>
      <c r="BX33" s="159"/>
      <c r="BY33" s="159"/>
      <c r="BZ33" s="159"/>
      <c r="CA33" s="159"/>
      <c r="CB33" s="159"/>
      <c r="CC33" s="159"/>
      <c r="CD33" s="159"/>
      <c r="CE33" s="159"/>
      <c r="CF33" s="159"/>
      <c r="CG33" s="159"/>
      <c r="CH33" s="159"/>
      <c r="CI33" s="159"/>
    </row>
    <row r="34">
      <c r="A34" s="39" t="s">
        <v>4694</v>
      </c>
      <c r="B34" s="39" t="s">
        <v>4593</v>
      </c>
      <c r="C34" s="102" t="s">
        <v>4695</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3"/>
      <c r="AI34" s="163"/>
      <c r="AJ34" s="163"/>
      <c r="AK34" s="163"/>
      <c r="BI34" s="39" t="s">
        <v>4597</v>
      </c>
      <c r="BN34" s="159" t="s">
        <v>2627</v>
      </c>
      <c r="BO34" s="159" t="s">
        <v>4696</v>
      </c>
      <c r="BP34" s="159">
        <v>0.0</v>
      </c>
      <c r="BQ34" s="159"/>
      <c r="BR34" s="164" t="s">
        <v>4697</v>
      </c>
      <c r="BS34" s="159" t="s">
        <v>2627</v>
      </c>
      <c r="BT34" s="159">
        <v>30.0</v>
      </c>
      <c r="BU34" s="159"/>
      <c r="BV34" s="159"/>
      <c r="BW34" s="159"/>
      <c r="BX34" s="159"/>
      <c r="BY34" s="159"/>
      <c r="BZ34" s="159"/>
      <c r="CA34" s="159"/>
      <c r="CB34" s="159"/>
      <c r="CC34" s="159"/>
      <c r="CD34" s="159"/>
      <c r="CE34" s="159"/>
      <c r="CF34" s="159"/>
      <c r="CG34" s="159"/>
      <c r="CH34" s="159"/>
      <c r="CI34" s="159"/>
    </row>
    <row r="35" ht="54.0" customHeight="1">
      <c r="A35" s="39" t="s">
        <v>4698</v>
      </c>
      <c r="B35" s="39" t="s">
        <v>4593</v>
      </c>
      <c r="C35" s="102" t="s">
        <v>4699</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3"/>
      <c r="AI35" s="163"/>
      <c r="AJ35" s="163"/>
      <c r="AK35" s="163"/>
      <c r="BI35" s="39" t="s">
        <v>4597</v>
      </c>
      <c r="BN35" s="159" t="s">
        <v>4616</v>
      </c>
      <c r="BO35" s="159" t="s">
        <v>4696</v>
      </c>
      <c r="BP35" s="159">
        <v>0.0</v>
      </c>
      <c r="BQ35" s="159"/>
      <c r="BR35" s="164" t="s">
        <v>4700</v>
      </c>
      <c r="BS35" s="159" t="s">
        <v>4701</v>
      </c>
      <c r="BT35" s="159">
        <v>30.0</v>
      </c>
      <c r="BU35" s="159"/>
      <c r="BV35" s="159"/>
      <c r="BW35" s="159"/>
      <c r="BX35" s="159"/>
      <c r="BY35" s="159"/>
      <c r="BZ35" s="159"/>
      <c r="CA35" s="159"/>
      <c r="CB35" s="159"/>
      <c r="CC35" s="159"/>
      <c r="CD35" s="159"/>
      <c r="CE35" s="159"/>
      <c r="CF35" s="159"/>
      <c r="CG35" s="159"/>
      <c r="CH35" s="159"/>
      <c r="CI35" s="159"/>
    </row>
    <row r="36" ht="54.0" customHeight="1">
      <c r="A36" s="39" t="s">
        <v>4653</v>
      </c>
      <c r="B36" s="39" t="s">
        <v>4593</v>
      </c>
      <c r="C36" s="102" t="s">
        <v>4702</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3"/>
      <c r="AI36" s="163"/>
      <c r="AJ36" s="163"/>
      <c r="AK36" s="163"/>
      <c r="BI36" s="39" t="s">
        <v>4597</v>
      </c>
      <c r="BQ36" s="159">
        <v>2.0</v>
      </c>
      <c r="BR36" s="164" t="s">
        <v>4592</v>
      </c>
      <c r="BS36" s="159" t="s">
        <v>1845</v>
      </c>
      <c r="BT36" s="159">
        <v>90.0</v>
      </c>
      <c r="BU36" s="159"/>
      <c r="BV36" s="159"/>
      <c r="BW36" s="159"/>
      <c r="BX36" s="159"/>
      <c r="BY36" s="159"/>
      <c r="BZ36" s="159"/>
      <c r="CA36" s="159"/>
      <c r="CB36" s="159"/>
      <c r="CC36" s="159"/>
      <c r="CD36" s="159"/>
      <c r="CE36" s="159"/>
      <c r="CF36" s="159"/>
      <c r="CG36" s="159"/>
      <c r="CH36" s="159"/>
      <c r="CI36" s="159"/>
    </row>
    <row r="37" ht="54.0" customHeight="1">
      <c r="A37" s="39" t="s">
        <v>4703</v>
      </c>
      <c r="B37" s="39" t="s">
        <v>29</v>
      </c>
      <c r="C37" s="102" t="s">
        <v>4704</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3"/>
      <c r="AI37" s="163"/>
      <c r="AJ37" s="163"/>
      <c r="AK37" s="163"/>
      <c r="BI37" s="39" t="s">
        <v>4597</v>
      </c>
      <c r="BN37" s="39" t="s">
        <v>2628</v>
      </c>
      <c r="BO37" s="39" t="s">
        <v>4696</v>
      </c>
      <c r="BP37" s="39">
        <v>0.0</v>
      </c>
      <c r="BQ37" s="159"/>
      <c r="BR37" s="164" t="s">
        <v>4705</v>
      </c>
      <c r="BS37" s="159" t="s">
        <v>1845</v>
      </c>
      <c r="BT37" s="159">
        <v>40.0</v>
      </c>
      <c r="BU37" s="159"/>
      <c r="BV37" s="159"/>
      <c r="BW37" s="159"/>
      <c r="BX37" s="159"/>
      <c r="BY37" s="159"/>
      <c r="BZ37" s="159"/>
      <c r="CA37" s="159"/>
      <c r="CB37" s="159"/>
      <c r="CC37" s="159"/>
      <c r="CD37" s="159"/>
      <c r="CE37" s="159"/>
      <c r="CF37" s="159"/>
      <c r="CG37" s="159"/>
      <c r="CH37" s="159"/>
      <c r="CI37" s="159"/>
    </row>
    <row r="38" ht="18.75" customHeight="1">
      <c r="A38" s="39" t="s">
        <v>4706</v>
      </c>
      <c r="B38" s="39" t="s">
        <v>4593</v>
      </c>
      <c r="C38" s="102" t="s">
        <v>4707</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3"/>
      <c r="AI38" s="163"/>
      <c r="AJ38" s="163"/>
      <c r="AK38" s="163"/>
      <c r="AZ38" s="39" t="s">
        <v>4708</v>
      </c>
      <c r="BI38" s="39" t="s">
        <v>4597</v>
      </c>
      <c r="BR38" s="39" t="s">
        <v>4641</v>
      </c>
      <c r="BS38" s="126" t="s">
        <v>4709</v>
      </c>
      <c r="BT38" s="126">
        <v>35.0</v>
      </c>
      <c r="BU38" s="126" t="s">
        <v>4710</v>
      </c>
      <c r="BV38" s="126">
        <v>10.0</v>
      </c>
      <c r="BW38" s="126">
        <v>0.0</v>
      </c>
      <c r="BX38" s="126"/>
      <c r="BY38" s="126" t="s">
        <v>29</v>
      </c>
      <c r="BZ38" s="126" t="s">
        <v>29</v>
      </c>
      <c r="CA38" s="126" t="s">
        <v>29</v>
      </c>
      <c r="CB38" s="126" t="s">
        <v>4711</v>
      </c>
      <c r="CC38" s="126">
        <v>25.0</v>
      </c>
      <c r="CD38" s="126">
        <v>0.0</v>
      </c>
      <c r="CE38" s="126"/>
      <c r="CF38" s="126"/>
      <c r="CG38" s="126"/>
      <c r="CH38" s="126"/>
      <c r="CI38" s="126"/>
    </row>
    <row r="39" ht="18.75" customHeight="1">
      <c r="A39" s="39" t="s">
        <v>4712</v>
      </c>
      <c r="B39" s="39" t="s">
        <v>4593</v>
      </c>
      <c r="C39" s="102" t="s">
        <v>4713</v>
      </c>
      <c r="E39" s="102">
        <v>3.0</v>
      </c>
      <c r="F39" s="102">
        <v>1.0</v>
      </c>
      <c r="G39" s="102" t="s">
        <v>3064</v>
      </c>
      <c r="I39" s="39">
        <v>1.0</v>
      </c>
      <c r="J39" s="39" t="s">
        <v>29</v>
      </c>
      <c r="M39" s="39">
        <v>50.0</v>
      </c>
      <c r="P39" s="39">
        <v>50.0</v>
      </c>
      <c r="Q39" s="39">
        <v>25.0</v>
      </c>
      <c r="AH39" s="163"/>
      <c r="AI39" s="163"/>
      <c r="AJ39" s="163"/>
      <c r="AK39" s="163"/>
      <c r="AZ39" s="39" t="s">
        <v>4708</v>
      </c>
      <c r="BI39" s="39" t="s">
        <v>4597</v>
      </c>
      <c r="BR39" s="39" t="s">
        <v>4706</v>
      </c>
      <c r="BS39" s="126" t="s">
        <v>4709</v>
      </c>
      <c r="BT39" s="126">
        <v>28.0</v>
      </c>
      <c r="BU39" s="126" t="s">
        <v>4714</v>
      </c>
      <c r="BV39" s="126">
        <v>10.0</v>
      </c>
      <c r="BW39" s="126">
        <v>1.0</v>
      </c>
      <c r="BX39" s="126" t="s">
        <v>4715</v>
      </c>
      <c r="BY39" s="126" t="s">
        <v>29</v>
      </c>
      <c r="BZ39" s="126" t="s">
        <v>29</v>
      </c>
      <c r="CA39" s="126" t="s">
        <v>29</v>
      </c>
      <c r="CB39" s="126" t="s">
        <v>4716</v>
      </c>
      <c r="CC39" s="126">
        <v>25.0</v>
      </c>
      <c r="CD39" s="126">
        <v>1.0</v>
      </c>
      <c r="CE39" s="126">
        <v>10.0</v>
      </c>
      <c r="CF39" s="126"/>
      <c r="CG39" s="126"/>
      <c r="CH39" s="126"/>
      <c r="CI39" s="126"/>
    </row>
    <row r="40" ht="18.75" customHeight="1">
      <c r="A40" s="39" t="s">
        <v>4717</v>
      </c>
      <c r="B40" s="39" t="s">
        <v>4593</v>
      </c>
      <c r="C40" s="102" t="s">
        <v>4718</v>
      </c>
      <c r="D40" s="39" t="s">
        <v>4712</v>
      </c>
      <c r="E40" s="102">
        <v>5.0</v>
      </c>
      <c r="F40" s="102">
        <v>1.0</v>
      </c>
      <c r="G40" s="102" t="s">
        <v>3064</v>
      </c>
      <c r="I40" s="39">
        <v>2.0</v>
      </c>
      <c r="J40" s="39" t="s">
        <v>29</v>
      </c>
      <c r="M40" s="39">
        <v>100.0</v>
      </c>
      <c r="P40" s="39">
        <v>100.0</v>
      </c>
      <c r="Q40" s="39">
        <v>50.0</v>
      </c>
      <c r="AH40" s="163"/>
      <c r="AI40" s="163"/>
      <c r="AJ40" s="163"/>
      <c r="AK40" s="163"/>
      <c r="AZ40" s="39" t="s">
        <v>4708</v>
      </c>
      <c r="BI40" s="39" t="s">
        <v>4597</v>
      </c>
      <c r="BM40" s="39">
        <v>0.0</v>
      </c>
      <c r="BR40" s="39" t="s">
        <v>4712</v>
      </c>
      <c r="BS40" s="126" t="s">
        <v>4709</v>
      </c>
      <c r="BT40" s="126">
        <v>26.0</v>
      </c>
      <c r="BU40" s="126" t="s">
        <v>4714</v>
      </c>
      <c r="BV40" s="126">
        <v>20.0</v>
      </c>
      <c r="BW40" s="126">
        <v>2.0</v>
      </c>
      <c r="BX40" s="126" t="s">
        <v>4719</v>
      </c>
      <c r="BY40" s="126" t="s">
        <v>29</v>
      </c>
      <c r="BZ40" s="126" t="s">
        <v>29</v>
      </c>
      <c r="CA40" s="126" t="s">
        <v>29</v>
      </c>
      <c r="CB40" s="126" t="s">
        <v>4716</v>
      </c>
      <c r="CC40" s="126">
        <v>25.0</v>
      </c>
      <c r="CD40" s="126">
        <v>3.0</v>
      </c>
      <c r="CE40" s="126">
        <v>20.0</v>
      </c>
      <c r="CF40" s="126"/>
      <c r="CG40" s="126"/>
      <c r="CH40" s="126"/>
      <c r="CI40" s="126"/>
    </row>
    <row r="41" ht="18.75" customHeight="1">
      <c r="A41" s="39" t="s">
        <v>4720</v>
      </c>
      <c r="B41" s="39" t="s">
        <v>4593</v>
      </c>
      <c r="C41" s="102" t="s">
        <v>4721</v>
      </c>
      <c r="D41" s="39" t="s">
        <v>4717</v>
      </c>
      <c r="E41" s="102">
        <v>7.0</v>
      </c>
      <c r="F41" s="102">
        <v>1.0</v>
      </c>
      <c r="G41" s="102" t="s">
        <v>3064</v>
      </c>
      <c r="I41" s="39">
        <v>3.0</v>
      </c>
      <c r="J41" s="39" t="s">
        <v>29</v>
      </c>
      <c r="M41" s="39">
        <v>150.0</v>
      </c>
      <c r="P41" s="39">
        <v>150.0</v>
      </c>
      <c r="Q41" s="39">
        <v>75.0</v>
      </c>
      <c r="AH41" s="163"/>
      <c r="AI41" s="163"/>
      <c r="AJ41" s="163"/>
      <c r="AK41" s="163"/>
      <c r="AZ41" s="39" t="s">
        <v>4708</v>
      </c>
      <c r="BI41" s="39" t="s">
        <v>4597</v>
      </c>
      <c r="BM41" s="39">
        <v>0.0</v>
      </c>
      <c r="BR41" s="39" t="s">
        <v>4717</v>
      </c>
      <c r="BS41" s="126" t="s">
        <v>4709</v>
      </c>
      <c r="BT41" s="126">
        <v>24.0</v>
      </c>
      <c r="BU41" s="126" t="s">
        <v>4714</v>
      </c>
      <c r="BV41" s="126">
        <v>25.0</v>
      </c>
      <c r="BW41" s="126">
        <v>3.0</v>
      </c>
      <c r="BX41" s="126" t="s">
        <v>4722</v>
      </c>
      <c r="BY41" s="126" t="s">
        <v>29</v>
      </c>
      <c r="BZ41" s="126" t="s">
        <v>29</v>
      </c>
      <c r="CA41" s="126" t="s">
        <v>29</v>
      </c>
      <c r="CB41" s="126" t="s">
        <v>4716</v>
      </c>
      <c r="CC41" s="126">
        <v>25.0</v>
      </c>
      <c r="CD41" s="126">
        <v>5.0</v>
      </c>
      <c r="CE41" s="126">
        <v>25.0</v>
      </c>
      <c r="CF41" s="126"/>
      <c r="CG41" s="126"/>
      <c r="CH41" s="126"/>
      <c r="CI41" s="126"/>
    </row>
    <row r="42" ht="18.75" customHeight="1">
      <c r="A42" s="39" t="s">
        <v>4723</v>
      </c>
      <c r="B42" s="39" t="s">
        <v>4593</v>
      </c>
      <c r="C42" s="102" t="s">
        <v>4724</v>
      </c>
      <c r="E42" s="102">
        <v>3.0</v>
      </c>
      <c r="F42" s="102">
        <v>1.0</v>
      </c>
      <c r="G42" s="102" t="s">
        <v>3064</v>
      </c>
      <c r="I42" s="39">
        <v>1.0</v>
      </c>
      <c r="J42" s="39" t="s">
        <v>29</v>
      </c>
      <c r="M42" s="39">
        <v>50.0</v>
      </c>
      <c r="P42" s="39">
        <v>50.0</v>
      </c>
      <c r="Q42" s="39">
        <v>25.0</v>
      </c>
      <c r="AH42" s="163"/>
      <c r="AI42" s="163"/>
      <c r="AJ42" s="163"/>
      <c r="AK42" s="163"/>
      <c r="AZ42" s="39" t="s">
        <v>4708</v>
      </c>
      <c r="BI42" s="39" t="s">
        <v>4597</v>
      </c>
      <c r="BR42" s="39" t="s">
        <v>4706</v>
      </c>
      <c r="BS42" s="126" t="s">
        <v>4709</v>
      </c>
      <c r="BT42" s="126">
        <v>28.0</v>
      </c>
      <c r="BU42" s="126" t="s">
        <v>4725</v>
      </c>
      <c r="BV42" s="126">
        <v>10.0</v>
      </c>
      <c r="BW42" s="126">
        <v>1.0</v>
      </c>
      <c r="BX42" s="126" t="s">
        <v>4715</v>
      </c>
      <c r="BY42" s="126" t="s">
        <v>29</v>
      </c>
      <c r="BZ42" s="126" t="s">
        <v>29</v>
      </c>
      <c r="CA42" s="126" t="s">
        <v>29</v>
      </c>
      <c r="CB42" s="126" t="s">
        <v>4726</v>
      </c>
      <c r="CC42" s="126">
        <v>25.0</v>
      </c>
      <c r="CD42" s="126">
        <v>1.0</v>
      </c>
      <c r="CE42" s="126">
        <v>10.0</v>
      </c>
      <c r="CF42" s="126"/>
      <c r="CG42" s="126"/>
      <c r="CH42" s="126"/>
      <c r="CI42" s="126"/>
    </row>
    <row r="43" ht="18.75" customHeight="1">
      <c r="A43" s="39" t="s">
        <v>4727</v>
      </c>
      <c r="B43" s="39" t="s">
        <v>4593</v>
      </c>
      <c r="C43" s="102" t="s">
        <v>4728</v>
      </c>
      <c r="D43" s="39" t="s">
        <v>4723</v>
      </c>
      <c r="E43" s="102">
        <v>5.0</v>
      </c>
      <c r="F43" s="102">
        <v>1.0</v>
      </c>
      <c r="G43" s="102" t="s">
        <v>3064</v>
      </c>
      <c r="I43" s="39">
        <v>2.0</v>
      </c>
      <c r="J43" s="39" t="s">
        <v>29</v>
      </c>
      <c r="M43" s="39">
        <v>100.0</v>
      </c>
      <c r="P43" s="39">
        <v>100.0</v>
      </c>
      <c r="Q43" s="39">
        <v>50.0</v>
      </c>
      <c r="AH43" s="163"/>
      <c r="AI43" s="163"/>
      <c r="AJ43" s="163"/>
      <c r="AK43" s="163"/>
      <c r="AZ43" s="39" t="s">
        <v>4708</v>
      </c>
      <c r="BI43" s="39" t="s">
        <v>4597</v>
      </c>
      <c r="BM43" s="39">
        <v>0.0</v>
      </c>
      <c r="BR43" s="39" t="s">
        <v>4723</v>
      </c>
      <c r="BS43" s="126" t="s">
        <v>4709</v>
      </c>
      <c r="BT43" s="126">
        <v>26.0</v>
      </c>
      <c r="BU43" s="126" t="s">
        <v>4725</v>
      </c>
      <c r="BV43" s="126">
        <v>20.0</v>
      </c>
      <c r="BW43" s="126">
        <v>2.0</v>
      </c>
      <c r="BX43" s="126" t="s">
        <v>4719</v>
      </c>
      <c r="BY43" s="126" t="s">
        <v>29</v>
      </c>
      <c r="BZ43" s="126" t="s">
        <v>29</v>
      </c>
      <c r="CA43" s="126" t="s">
        <v>29</v>
      </c>
      <c r="CB43" s="126" t="s">
        <v>4726</v>
      </c>
      <c r="CC43" s="126">
        <v>25.0</v>
      </c>
      <c r="CD43" s="126">
        <v>3.0</v>
      </c>
      <c r="CE43" s="126">
        <v>20.0</v>
      </c>
      <c r="CF43" s="126"/>
      <c r="CG43" s="126"/>
      <c r="CH43" s="126"/>
      <c r="CI43" s="126"/>
    </row>
    <row r="44" ht="18.75" customHeight="1">
      <c r="A44" s="39" t="s">
        <v>4729</v>
      </c>
      <c r="B44" s="39" t="s">
        <v>4593</v>
      </c>
      <c r="C44" s="102" t="s">
        <v>4730</v>
      </c>
      <c r="D44" s="39" t="s">
        <v>4727</v>
      </c>
      <c r="E44" s="102">
        <v>7.0</v>
      </c>
      <c r="F44" s="102">
        <v>1.0</v>
      </c>
      <c r="G44" s="102" t="s">
        <v>3064</v>
      </c>
      <c r="I44" s="39">
        <v>3.0</v>
      </c>
      <c r="J44" s="39" t="s">
        <v>29</v>
      </c>
      <c r="M44" s="39">
        <v>150.0</v>
      </c>
      <c r="P44" s="39">
        <v>150.0</v>
      </c>
      <c r="Q44" s="39">
        <v>75.0</v>
      </c>
      <c r="AH44" s="163"/>
      <c r="AI44" s="163"/>
      <c r="AJ44" s="163"/>
      <c r="AK44" s="163"/>
      <c r="AZ44" s="39" t="s">
        <v>4708</v>
      </c>
      <c r="BI44" s="39" t="s">
        <v>4597</v>
      </c>
      <c r="BM44" s="39">
        <v>0.0</v>
      </c>
      <c r="BR44" s="39" t="s">
        <v>4727</v>
      </c>
      <c r="BS44" s="126" t="s">
        <v>4709</v>
      </c>
      <c r="BT44" s="126">
        <v>24.0</v>
      </c>
      <c r="BU44" s="126" t="s">
        <v>4725</v>
      </c>
      <c r="BV44" s="126">
        <v>25.0</v>
      </c>
      <c r="BW44" s="126">
        <v>3.0</v>
      </c>
      <c r="BX44" s="126" t="s">
        <v>4722</v>
      </c>
      <c r="BY44" s="126" t="s">
        <v>29</v>
      </c>
      <c r="BZ44" s="126" t="s">
        <v>29</v>
      </c>
      <c r="CA44" s="126" t="s">
        <v>29</v>
      </c>
      <c r="CB44" s="126" t="s">
        <v>4726</v>
      </c>
      <c r="CC44" s="126">
        <v>25.0</v>
      </c>
      <c r="CD44" s="126">
        <v>5.0</v>
      </c>
      <c r="CE44" s="126">
        <v>25.0</v>
      </c>
      <c r="CF44" s="126"/>
      <c r="CG44" s="126"/>
      <c r="CH44" s="126"/>
      <c r="CI44" s="126"/>
    </row>
    <row r="45" ht="18.75" customHeight="1">
      <c r="A45" s="39" t="s">
        <v>4731</v>
      </c>
      <c r="B45" s="39" t="s">
        <v>4593</v>
      </c>
      <c r="C45" s="102" t="s">
        <v>4732</v>
      </c>
      <c r="E45" s="102">
        <v>3.0</v>
      </c>
      <c r="F45" s="102">
        <v>1.0</v>
      </c>
      <c r="G45" s="102" t="s">
        <v>3064</v>
      </c>
      <c r="I45" s="39">
        <v>1.0</v>
      </c>
      <c r="J45" s="39" t="s">
        <v>29</v>
      </c>
      <c r="M45" s="39">
        <v>50.0</v>
      </c>
      <c r="P45" s="39">
        <v>50.0</v>
      </c>
      <c r="Q45" s="39">
        <v>25.0</v>
      </c>
      <c r="AH45" s="163"/>
      <c r="AI45" s="163"/>
      <c r="AJ45" s="163"/>
      <c r="AK45" s="163"/>
      <c r="AZ45" s="39" t="s">
        <v>4708</v>
      </c>
      <c r="BI45" s="39" t="s">
        <v>4597</v>
      </c>
      <c r="BR45" s="39" t="s">
        <v>4706</v>
      </c>
      <c r="BS45" s="126" t="s">
        <v>4709</v>
      </c>
      <c r="BT45" s="126">
        <v>28.0</v>
      </c>
      <c r="BU45" s="126" t="s">
        <v>4733</v>
      </c>
      <c r="BV45" s="126">
        <v>10.0</v>
      </c>
      <c r="BW45" s="126">
        <v>1.0</v>
      </c>
      <c r="BX45" s="126" t="s">
        <v>4715</v>
      </c>
      <c r="BY45" s="126" t="s">
        <v>29</v>
      </c>
      <c r="BZ45" s="126" t="s">
        <v>29</v>
      </c>
      <c r="CA45" s="126" t="s">
        <v>29</v>
      </c>
      <c r="CB45" s="126" t="s">
        <v>4734</v>
      </c>
      <c r="CC45" s="126">
        <v>25.0</v>
      </c>
      <c r="CD45" s="126">
        <v>1.0</v>
      </c>
      <c r="CE45" s="126">
        <v>10.0</v>
      </c>
      <c r="CF45" s="126"/>
      <c r="CG45" s="126"/>
      <c r="CH45" s="126"/>
      <c r="CI45" s="126"/>
    </row>
    <row r="46" ht="18.75" customHeight="1">
      <c r="A46" s="39" t="s">
        <v>4735</v>
      </c>
      <c r="B46" s="39" t="s">
        <v>4593</v>
      </c>
      <c r="C46" s="102" t="s">
        <v>4736</v>
      </c>
      <c r="D46" s="39" t="s">
        <v>4731</v>
      </c>
      <c r="E46" s="102">
        <v>5.0</v>
      </c>
      <c r="F46" s="102">
        <v>1.0</v>
      </c>
      <c r="G46" s="102" t="s">
        <v>3064</v>
      </c>
      <c r="I46" s="39">
        <v>2.0</v>
      </c>
      <c r="J46" s="39" t="s">
        <v>29</v>
      </c>
      <c r="M46" s="39">
        <v>100.0</v>
      </c>
      <c r="P46" s="39">
        <v>100.0</v>
      </c>
      <c r="Q46" s="39">
        <v>50.0</v>
      </c>
      <c r="AH46" s="163"/>
      <c r="AI46" s="163"/>
      <c r="AJ46" s="163"/>
      <c r="AK46" s="163"/>
      <c r="AZ46" s="39" t="s">
        <v>4708</v>
      </c>
      <c r="BI46" s="39" t="s">
        <v>4597</v>
      </c>
      <c r="BM46" s="39">
        <v>0.0</v>
      </c>
      <c r="BR46" s="39" t="s">
        <v>4731</v>
      </c>
      <c r="BS46" s="126" t="s">
        <v>4709</v>
      </c>
      <c r="BT46" s="126">
        <v>26.0</v>
      </c>
      <c r="BU46" s="126" t="s">
        <v>4733</v>
      </c>
      <c r="BV46" s="126">
        <v>20.0</v>
      </c>
      <c r="BW46" s="126">
        <v>2.0</v>
      </c>
      <c r="BX46" s="126" t="s">
        <v>4719</v>
      </c>
      <c r="BY46" s="126" t="s">
        <v>29</v>
      </c>
      <c r="BZ46" s="126" t="s">
        <v>29</v>
      </c>
      <c r="CA46" s="126" t="s">
        <v>29</v>
      </c>
      <c r="CB46" s="126" t="s">
        <v>4734</v>
      </c>
      <c r="CC46" s="126">
        <v>25.0</v>
      </c>
      <c r="CD46" s="126">
        <v>3.0</v>
      </c>
      <c r="CE46" s="126">
        <v>20.0</v>
      </c>
      <c r="CF46" s="126"/>
      <c r="CG46" s="126"/>
      <c r="CH46" s="126"/>
      <c r="CI46" s="126"/>
    </row>
    <row r="47" ht="18.75" customHeight="1">
      <c r="A47" s="39" t="s">
        <v>4737</v>
      </c>
      <c r="B47" s="39" t="s">
        <v>4593</v>
      </c>
      <c r="C47" s="102" t="s">
        <v>4738</v>
      </c>
      <c r="D47" s="39" t="s">
        <v>4735</v>
      </c>
      <c r="E47" s="102">
        <v>7.0</v>
      </c>
      <c r="F47" s="102">
        <v>1.0</v>
      </c>
      <c r="G47" s="102" t="s">
        <v>3064</v>
      </c>
      <c r="I47" s="39">
        <v>3.0</v>
      </c>
      <c r="J47" s="39" t="s">
        <v>29</v>
      </c>
      <c r="M47" s="39">
        <v>150.0</v>
      </c>
      <c r="P47" s="39">
        <v>150.0</v>
      </c>
      <c r="Q47" s="39">
        <v>75.0</v>
      </c>
      <c r="AH47" s="163"/>
      <c r="AI47" s="163"/>
      <c r="AJ47" s="163"/>
      <c r="AK47" s="163"/>
      <c r="AZ47" s="39" t="s">
        <v>4708</v>
      </c>
      <c r="BI47" s="39" t="s">
        <v>4597</v>
      </c>
      <c r="BM47" s="39">
        <v>0.0</v>
      </c>
      <c r="BR47" s="39" t="s">
        <v>4735</v>
      </c>
      <c r="BS47" s="126" t="s">
        <v>4709</v>
      </c>
      <c r="BT47" s="126">
        <v>24.0</v>
      </c>
      <c r="BU47" s="126" t="s">
        <v>4733</v>
      </c>
      <c r="BV47" s="126">
        <v>25.0</v>
      </c>
      <c r="BW47" s="126">
        <v>3.0</v>
      </c>
      <c r="BX47" s="126" t="s">
        <v>4722</v>
      </c>
      <c r="BY47" s="126" t="s">
        <v>29</v>
      </c>
      <c r="BZ47" s="126" t="s">
        <v>29</v>
      </c>
      <c r="CA47" s="126" t="s">
        <v>29</v>
      </c>
      <c r="CB47" s="126" t="s">
        <v>4734</v>
      </c>
      <c r="CC47" s="126">
        <v>25.0</v>
      </c>
      <c r="CD47" s="126">
        <v>5.0</v>
      </c>
      <c r="CE47" s="126">
        <v>25.0</v>
      </c>
      <c r="CF47" s="126"/>
      <c r="CG47" s="126"/>
      <c r="CH47" s="126"/>
      <c r="CI47" s="126"/>
    </row>
    <row r="48" ht="18.75" customHeight="1">
      <c r="A48" s="39" t="s">
        <v>4739</v>
      </c>
      <c r="B48" s="39" t="s">
        <v>4593</v>
      </c>
      <c r="C48" s="102" t="s">
        <v>4740</v>
      </c>
      <c r="E48" s="102">
        <v>3.0</v>
      </c>
      <c r="F48" s="102">
        <v>1.0</v>
      </c>
      <c r="G48" s="102" t="s">
        <v>3064</v>
      </c>
      <c r="I48" s="39">
        <v>1.0</v>
      </c>
      <c r="J48" s="39" t="s">
        <v>29</v>
      </c>
      <c r="M48" s="39">
        <v>50.0</v>
      </c>
      <c r="P48" s="39">
        <v>50.0</v>
      </c>
      <c r="Q48" s="39">
        <v>25.0</v>
      </c>
      <c r="AH48" s="163"/>
      <c r="AI48" s="163"/>
      <c r="AJ48" s="163"/>
      <c r="AK48" s="163"/>
      <c r="AZ48" s="39" t="s">
        <v>4708</v>
      </c>
      <c r="BI48" s="39" t="s">
        <v>4597</v>
      </c>
      <c r="BR48" s="39" t="s">
        <v>4706</v>
      </c>
      <c r="BS48" s="126" t="s">
        <v>4709</v>
      </c>
      <c r="BT48" s="126">
        <v>28.0</v>
      </c>
      <c r="BU48" s="126" t="s">
        <v>4741</v>
      </c>
      <c r="BV48" s="126">
        <v>10.0</v>
      </c>
      <c r="BW48" s="126">
        <v>1.0</v>
      </c>
      <c r="BX48" s="126" t="s">
        <v>4715</v>
      </c>
      <c r="BY48" s="126" t="s">
        <v>29</v>
      </c>
      <c r="BZ48" s="126" t="s">
        <v>29</v>
      </c>
      <c r="CA48" s="126" t="s">
        <v>29</v>
      </c>
      <c r="CB48" s="126" t="s">
        <v>4742</v>
      </c>
      <c r="CC48" s="126">
        <v>25.0</v>
      </c>
      <c r="CD48" s="126">
        <v>1.0</v>
      </c>
      <c r="CE48" s="126">
        <v>10.0</v>
      </c>
      <c r="CF48" s="126"/>
      <c r="CG48" s="126"/>
      <c r="CH48" s="126"/>
      <c r="CI48" s="126"/>
    </row>
    <row r="49" ht="18.75" customHeight="1">
      <c r="A49" s="39" t="s">
        <v>4743</v>
      </c>
      <c r="B49" s="39" t="s">
        <v>4593</v>
      </c>
      <c r="C49" s="102" t="s">
        <v>4744</v>
      </c>
      <c r="D49" s="39" t="s">
        <v>4739</v>
      </c>
      <c r="E49" s="102">
        <v>5.0</v>
      </c>
      <c r="F49" s="102">
        <v>1.0</v>
      </c>
      <c r="G49" s="102" t="s">
        <v>3064</v>
      </c>
      <c r="I49" s="39">
        <v>2.0</v>
      </c>
      <c r="J49" s="39" t="s">
        <v>29</v>
      </c>
      <c r="M49" s="39">
        <v>100.0</v>
      </c>
      <c r="P49" s="39">
        <v>100.0</v>
      </c>
      <c r="Q49" s="39">
        <v>50.0</v>
      </c>
      <c r="AH49" s="163"/>
      <c r="AI49" s="163"/>
      <c r="AJ49" s="163"/>
      <c r="AK49" s="163"/>
      <c r="AZ49" s="39" t="s">
        <v>4708</v>
      </c>
      <c r="BI49" s="39" t="s">
        <v>4597</v>
      </c>
      <c r="BM49" s="39">
        <v>0.0</v>
      </c>
      <c r="BR49" s="39" t="s">
        <v>4739</v>
      </c>
      <c r="BS49" s="126" t="s">
        <v>4709</v>
      </c>
      <c r="BT49" s="126">
        <v>26.0</v>
      </c>
      <c r="BU49" s="126" t="s">
        <v>4741</v>
      </c>
      <c r="BV49" s="126">
        <v>20.0</v>
      </c>
      <c r="BW49" s="126">
        <v>2.0</v>
      </c>
      <c r="BX49" s="126" t="s">
        <v>4719</v>
      </c>
      <c r="BY49" s="126" t="s">
        <v>29</v>
      </c>
      <c r="BZ49" s="126" t="s">
        <v>29</v>
      </c>
      <c r="CA49" s="126" t="s">
        <v>29</v>
      </c>
      <c r="CB49" s="126" t="s">
        <v>4742</v>
      </c>
      <c r="CC49" s="126">
        <v>25.0</v>
      </c>
      <c r="CD49" s="126">
        <v>3.0</v>
      </c>
      <c r="CE49" s="126">
        <v>20.0</v>
      </c>
      <c r="CF49" s="126"/>
      <c r="CG49" s="126"/>
      <c r="CH49" s="126"/>
      <c r="CI49" s="126"/>
    </row>
    <row r="50" ht="18.75" customHeight="1">
      <c r="A50" s="39" t="s">
        <v>4745</v>
      </c>
      <c r="B50" s="39" t="s">
        <v>4593</v>
      </c>
      <c r="C50" s="102" t="s">
        <v>4746</v>
      </c>
      <c r="D50" s="39" t="s">
        <v>4743</v>
      </c>
      <c r="E50" s="102">
        <v>7.0</v>
      </c>
      <c r="F50" s="102">
        <v>1.0</v>
      </c>
      <c r="G50" s="102" t="s">
        <v>3064</v>
      </c>
      <c r="I50" s="39">
        <v>3.0</v>
      </c>
      <c r="J50" s="39" t="s">
        <v>29</v>
      </c>
      <c r="M50" s="39">
        <v>150.0</v>
      </c>
      <c r="P50" s="39">
        <v>150.0</v>
      </c>
      <c r="Q50" s="39">
        <v>75.0</v>
      </c>
      <c r="AH50" s="163"/>
      <c r="AI50" s="163"/>
      <c r="AJ50" s="163"/>
      <c r="AK50" s="163"/>
      <c r="AZ50" s="39" t="s">
        <v>4708</v>
      </c>
      <c r="BI50" s="39" t="s">
        <v>4597</v>
      </c>
      <c r="BM50" s="39">
        <v>0.0</v>
      </c>
      <c r="BR50" s="39" t="s">
        <v>4743</v>
      </c>
      <c r="BS50" s="126" t="s">
        <v>4709</v>
      </c>
      <c r="BT50" s="126">
        <v>24.0</v>
      </c>
      <c r="BU50" s="126" t="s">
        <v>4741</v>
      </c>
      <c r="BV50" s="126">
        <v>25.0</v>
      </c>
      <c r="BW50" s="126">
        <v>3.0</v>
      </c>
      <c r="BX50" s="126" t="s">
        <v>4722</v>
      </c>
      <c r="BY50" s="126" t="s">
        <v>29</v>
      </c>
      <c r="BZ50" s="126" t="s">
        <v>29</v>
      </c>
      <c r="CA50" s="126" t="s">
        <v>29</v>
      </c>
      <c r="CB50" s="126" t="s">
        <v>4742</v>
      </c>
      <c r="CC50" s="126">
        <v>25.0</v>
      </c>
      <c r="CD50" s="126">
        <v>5.0</v>
      </c>
      <c r="CE50" s="126">
        <v>25.0</v>
      </c>
      <c r="CF50" s="126"/>
      <c r="CG50" s="126"/>
      <c r="CH50" s="126"/>
      <c r="CI50" s="126"/>
    </row>
    <row r="51" ht="18.75" customHeight="1">
      <c r="A51" s="39" t="s">
        <v>4747</v>
      </c>
      <c r="B51" s="39" t="s">
        <v>4593</v>
      </c>
      <c r="C51" s="102" t="s">
        <v>4748</v>
      </c>
      <c r="E51" s="102">
        <v>3.0</v>
      </c>
      <c r="F51" s="102">
        <v>1.0</v>
      </c>
      <c r="G51" s="102" t="s">
        <v>3064</v>
      </c>
      <c r="I51" s="39">
        <v>1.0</v>
      </c>
      <c r="J51" s="39" t="s">
        <v>29</v>
      </c>
      <c r="M51" s="39">
        <v>50.0</v>
      </c>
      <c r="P51" s="39">
        <v>50.0</v>
      </c>
      <c r="Q51" s="39">
        <v>25.0</v>
      </c>
      <c r="AH51" s="163"/>
      <c r="AI51" s="163"/>
      <c r="AJ51" s="163"/>
      <c r="AK51" s="163"/>
      <c r="AZ51" s="39" t="s">
        <v>4708</v>
      </c>
      <c r="BI51" s="39" t="s">
        <v>4597</v>
      </c>
      <c r="BR51" s="39" t="s">
        <v>4749</v>
      </c>
      <c r="BS51" s="126" t="s">
        <v>4709</v>
      </c>
      <c r="BT51" s="126">
        <v>28.0</v>
      </c>
      <c r="BU51" s="126" t="s">
        <v>3664</v>
      </c>
      <c r="BV51" s="126">
        <v>10.0</v>
      </c>
      <c r="BW51" s="126">
        <v>1.0</v>
      </c>
      <c r="BX51" s="126"/>
      <c r="BY51" s="126" t="s">
        <v>29</v>
      </c>
      <c r="BZ51" s="126" t="s">
        <v>29</v>
      </c>
      <c r="CA51" s="126" t="s">
        <v>29</v>
      </c>
      <c r="CB51" s="126" t="s">
        <v>4750</v>
      </c>
      <c r="CC51" s="126">
        <v>25.0</v>
      </c>
      <c r="CD51" s="126">
        <v>0.0</v>
      </c>
      <c r="CE51" s="126"/>
      <c r="CF51" s="126"/>
      <c r="CG51" s="126"/>
      <c r="CH51" s="126"/>
      <c r="CI51" s="126"/>
    </row>
    <row r="52" ht="18.75" customHeight="1">
      <c r="A52" s="39" t="s">
        <v>4751</v>
      </c>
      <c r="B52" s="39" t="s">
        <v>4593</v>
      </c>
      <c r="C52" s="102" t="s">
        <v>4752</v>
      </c>
      <c r="D52" s="39" t="s">
        <v>4747</v>
      </c>
      <c r="E52" s="102">
        <v>5.0</v>
      </c>
      <c r="F52" s="102">
        <v>1.0</v>
      </c>
      <c r="G52" s="102" t="s">
        <v>3064</v>
      </c>
      <c r="I52" s="39">
        <v>2.0</v>
      </c>
      <c r="J52" s="39" t="s">
        <v>29</v>
      </c>
      <c r="M52" s="39">
        <v>100.0</v>
      </c>
      <c r="P52" s="39">
        <v>100.0</v>
      </c>
      <c r="Q52" s="39">
        <v>50.0</v>
      </c>
      <c r="AH52" s="163"/>
      <c r="AI52" s="163"/>
      <c r="AJ52" s="163"/>
      <c r="AK52" s="163"/>
      <c r="AZ52" s="39" t="s">
        <v>4708</v>
      </c>
      <c r="BI52" s="39" t="s">
        <v>4597</v>
      </c>
      <c r="BM52" s="39">
        <v>0.0</v>
      </c>
      <c r="BR52" s="39" t="s">
        <v>4747</v>
      </c>
      <c r="BS52" s="126" t="s">
        <v>4709</v>
      </c>
      <c r="BT52" s="126">
        <v>26.0</v>
      </c>
      <c r="BU52" s="126" t="s">
        <v>3664</v>
      </c>
      <c r="BV52" s="126">
        <v>20.0</v>
      </c>
      <c r="BW52" s="126">
        <v>2.0</v>
      </c>
      <c r="BX52" s="126"/>
      <c r="BY52" s="126" t="s">
        <v>29</v>
      </c>
      <c r="BZ52" s="126" t="s">
        <v>29</v>
      </c>
      <c r="CA52" s="126" t="s">
        <v>29</v>
      </c>
      <c r="CB52" s="126" t="s">
        <v>4750</v>
      </c>
      <c r="CC52" s="126">
        <v>25.0</v>
      </c>
      <c r="CD52" s="126">
        <v>0.0</v>
      </c>
      <c r="CE52" s="126"/>
      <c r="CF52" s="126"/>
      <c r="CG52" s="126"/>
      <c r="CH52" s="126"/>
      <c r="CI52" s="126"/>
    </row>
    <row r="53" ht="18.75" customHeight="1">
      <c r="A53" s="39" t="s">
        <v>4753</v>
      </c>
      <c r="B53" s="39" t="s">
        <v>4593</v>
      </c>
      <c r="C53" s="102" t="s">
        <v>4754</v>
      </c>
      <c r="D53" s="39" t="s">
        <v>4751</v>
      </c>
      <c r="E53" s="102">
        <v>7.0</v>
      </c>
      <c r="F53" s="102">
        <v>1.0</v>
      </c>
      <c r="G53" s="102" t="s">
        <v>3064</v>
      </c>
      <c r="I53" s="39">
        <v>3.0</v>
      </c>
      <c r="J53" s="39" t="s">
        <v>29</v>
      </c>
      <c r="M53" s="39">
        <v>150.0</v>
      </c>
      <c r="P53" s="39">
        <v>150.0</v>
      </c>
      <c r="Q53" s="39">
        <v>75.0</v>
      </c>
      <c r="AH53" s="163"/>
      <c r="AI53" s="163"/>
      <c r="AJ53" s="163"/>
      <c r="AK53" s="163"/>
      <c r="AZ53" s="39" t="s">
        <v>4708</v>
      </c>
      <c r="BI53" s="39" t="s">
        <v>4597</v>
      </c>
      <c r="BM53" s="39">
        <v>0.0</v>
      </c>
      <c r="BR53" s="39" t="s">
        <v>4751</v>
      </c>
      <c r="BS53" s="126" t="s">
        <v>4709</v>
      </c>
      <c r="BT53" s="126">
        <v>24.0</v>
      </c>
      <c r="BU53" s="126" t="s">
        <v>3664</v>
      </c>
      <c r="BV53" s="126">
        <v>25.0</v>
      </c>
      <c r="BW53" s="126">
        <v>3.0</v>
      </c>
      <c r="BX53" s="126"/>
      <c r="BY53" s="126" t="s">
        <v>29</v>
      </c>
      <c r="BZ53" s="126" t="s">
        <v>29</v>
      </c>
      <c r="CA53" s="126" t="s">
        <v>29</v>
      </c>
      <c r="CB53" s="126" t="s">
        <v>4750</v>
      </c>
      <c r="CC53" s="126">
        <v>25.0</v>
      </c>
      <c r="CD53" s="126">
        <v>0.0</v>
      </c>
      <c r="CE53" s="126"/>
      <c r="CF53" s="126"/>
      <c r="CG53" s="126"/>
      <c r="CH53" s="126"/>
      <c r="CI53" s="126"/>
    </row>
    <row r="54" ht="18.75" customHeight="1">
      <c r="A54" s="39" t="s">
        <v>4755</v>
      </c>
      <c r="B54" s="39" t="s">
        <v>4593</v>
      </c>
      <c r="C54" s="102" t="s">
        <v>4756</v>
      </c>
      <c r="E54" s="102">
        <v>3.0</v>
      </c>
      <c r="F54" s="102">
        <v>1.0</v>
      </c>
      <c r="G54" s="102" t="s">
        <v>3064</v>
      </c>
      <c r="I54" s="39" t="s">
        <v>29</v>
      </c>
      <c r="J54" s="39">
        <v>1.0</v>
      </c>
      <c r="M54" s="39">
        <v>50.0</v>
      </c>
      <c r="P54" s="39">
        <v>50.0</v>
      </c>
      <c r="Q54" s="39">
        <v>25.0</v>
      </c>
      <c r="AH54" s="163"/>
      <c r="AI54" s="163"/>
      <c r="AJ54" s="163"/>
      <c r="AK54" s="163"/>
      <c r="AZ54" s="39" t="s">
        <v>4708</v>
      </c>
      <c r="BI54" s="39" t="s">
        <v>4597</v>
      </c>
      <c r="BR54" s="39" t="s">
        <v>4651</v>
      </c>
      <c r="BS54" s="126" t="s">
        <v>4757</v>
      </c>
      <c r="BT54" s="126">
        <v>28.0</v>
      </c>
      <c r="BU54" s="126" t="s">
        <v>1295</v>
      </c>
      <c r="BV54" s="126">
        <v>10.0</v>
      </c>
      <c r="BW54" s="126">
        <v>1.0</v>
      </c>
      <c r="BX54" s="126"/>
      <c r="BY54" s="126" t="s">
        <v>1295</v>
      </c>
      <c r="BZ54" s="126">
        <v>1.1</v>
      </c>
      <c r="CA54" s="126">
        <v>4.0</v>
      </c>
      <c r="CB54" s="126" t="s">
        <v>4758</v>
      </c>
      <c r="CC54" s="126">
        <v>25.0</v>
      </c>
      <c r="CD54" s="126">
        <v>0.0</v>
      </c>
      <c r="CE54" s="126"/>
      <c r="CF54" s="126"/>
      <c r="CG54" s="126"/>
      <c r="CH54" s="126"/>
      <c r="CI54" s="126"/>
    </row>
    <row r="55" ht="18.75" customHeight="1">
      <c r="A55" s="39" t="s">
        <v>4759</v>
      </c>
      <c r="B55" s="39" t="s">
        <v>4593</v>
      </c>
      <c r="C55" s="102" t="s">
        <v>4760</v>
      </c>
      <c r="D55" s="39" t="s">
        <v>4755</v>
      </c>
      <c r="E55" s="102">
        <v>5.0</v>
      </c>
      <c r="F55" s="102">
        <v>1.0</v>
      </c>
      <c r="G55" s="102" t="s">
        <v>3064</v>
      </c>
      <c r="I55" s="39" t="s">
        <v>29</v>
      </c>
      <c r="J55" s="39">
        <v>2.0</v>
      </c>
      <c r="M55" s="39">
        <v>100.0</v>
      </c>
      <c r="P55" s="39">
        <v>100.0</v>
      </c>
      <c r="Q55" s="39">
        <v>50.0</v>
      </c>
      <c r="AH55" s="163"/>
      <c r="AI55" s="163"/>
      <c r="AJ55" s="163"/>
      <c r="AK55" s="163"/>
      <c r="AZ55" s="39" t="s">
        <v>4708</v>
      </c>
      <c r="BI55" s="39" t="s">
        <v>4597</v>
      </c>
      <c r="BM55" s="39">
        <v>0.0</v>
      </c>
      <c r="BR55" s="39" t="s">
        <v>4755</v>
      </c>
      <c r="BS55" s="126" t="s">
        <v>4757</v>
      </c>
      <c r="BT55" s="126">
        <v>26.0</v>
      </c>
      <c r="BU55" s="126" t="s">
        <v>1295</v>
      </c>
      <c r="BV55" s="126">
        <v>20.0</v>
      </c>
      <c r="BW55" s="126">
        <v>2.0</v>
      </c>
      <c r="BX55" s="126"/>
      <c r="BY55" s="126" t="s">
        <v>1295</v>
      </c>
      <c r="BZ55" s="126">
        <v>1.25</v>
      </c>
      <c r="CA55" s="126">
        <v>5.0</v>
      </c>
      <c r="CB55" s="126" t="s">
        <v>4758</v>
      </c>
      <c r="CC55" s="126">
        <v>25.0</v>
      </c>
      <c r="CD55" s="126">
        <v>0.0</v>
      </c>
      <c r="CE55" s="126"/>
      <c r="CF55" s="126"/>
      <c r="CG55" s="126"/>
      <c r="CH55" s="126"/>
      <c r="CI55" s="126"/>
    </row>
    <row r="56" ht="18.75" customHeight="1">
      <c r="A56" s="39" t="s">
        <v>4761</v>
      </c>
      <c r="B56" s="39" t="s">
        <v>4593</v>
      </c>
      <c r="C56" s="102" t="s">
        <v>4762</v>
      </c>
      <c r="D56" s="39" t="s">
        <v>4759</v>
      </c>
      <c r="E56" s="102">
        <v>7.0</v>
      </c>
      <c r="F56" s="102">
        <v>1.0</v>
      </c>
      <c r="G56" s="102" t="s">
        <v>3064</v>
      </c>
      <c r="I56" s="39" t="s">
        <v>29</v>
      </c>
      <c r="J56" s="39">
        <v>3.0</v>
      </c>
      <c r="M56" s="39">
        <v>150.0</v>
      </c>
      <c r="P56" s="39">
        <v>150.0</v>
      </c>
      <c r="Q56" s="39">
        <v>75.0</v>
      </c>
      <c r="AH56" s="163"/>
      <c r="AI56" s="163"/>
      <c r="AJ56" s="163"/>
      <c r="AK56" s="163"/>
      <c r="AZ56" s="39" t="s">
        <v>4708</v>
      </c>
      <c r="BI56" s="39" t="s">
        <v>4597</v>
      </c>
      <c r="BM56" s="39">
        <v>0.0</v>
      </c>
      <c r="BR56" s="39" t="s">
        <v>4759</v>
      </c>
      <c r="BS56" s="126" t="s">
        <v>4757</v>
      </c>
      <c r="BT56" s="126">
        <v>24.0</v>
      </c>
      <c r="BU56" s="126" t="s">
        <v>1295</v>
      </c>
      <c r="BV56" s="126">
        <v>25.0</v>
      </c>
      <c r="BW56" s="126">
        <v>3.0</v>
      </c>
      <c r="BX56" s="126"/>
      <c r="BY56" s="126" t="s">
        <v>1295</v>
      </c>
      <c r="BZ56" s="126">
        <v>1.5</v>
      </c>
      <c r="CA56" s="126">
        <v>6.0</v>
      </c>
      <c r="CB56" s="126" t="s">
        <v>4758</v>
      </c>
      <c r="CC56" s="126">
        <v>25.0</v>
      </c>
      <c r="CD56" s="126">
        <v>0.0</v>
      </c>
      <c r="CE56" s="126"/>
      <c r="CF56" s="126"/>
      <c r="CG56" s="126"/>
      <c r="CH56" s="126"/>
      <c r="CI56" s="126"/>
    </row>
    <row r="57" ht="18.75" customHeight="1">
      <c r="A57" s="39" t="s">
        <v>4763</v>
      </c>
      <c r="B57" s="39" t="s">
        <v>4593</v>
      </c>
      <c r="C57" s="102" t="s">
        <v>4764</v>
      </c>
      <c r="E57" s="102">
        <v>3.0</v>
      </c>
      <c r="F57" s="102">
        <v>1.0</v>
      </c>
      <c r="G57" s="102" t="s">
        <v>3064</v>
      </c>
      <c r="I57" s="39" t="s">
        <v>29</v>
      </c>
      <c r="J57" s="39">
        <v>1.0</v>
      </c>
      <c r="M57" s="39">
        <v>50.0</v>
      </c>
      <c r="P57" s="39">
        <v>50.0</v>
      </c>
      <c r="Q57" s="39">
        <v>25.0</v>
      </c>
      <c r="AH57" s="163"/>
      <c r="AI57" s="163"/>
      <c r="AJ57" s="163"/>
      <c r="AK57" s="163"/>
      <c r="AZ57" s="39" t="s">
        <v>4708</v>
      </c>
      <c r="BI57" s="39" t="s">
        <v>4597</v>
      </c>
      <c r="BR57" s="39" t="s">
        <v>4651</v>
      </c>
      <c r="BS57" s="126" t="s">
        <v>4757</v>
      </c>
      <c r="BT57" s="126">
        <v>28.0</v>
      </c>
      <c r="BU57" s="126" t="s">
        <v>1280</v>
      </c>
      <c r="BV57" s="126">
        <v>10.0</v>
      </c>
      <c r="BW57" s="126">
        <v>1.0</v>
      </c>
      <c r="BX57" s="126"/>
      <c r="BY57" s="126" t="s">
        <v>1280</v>
      </c>
      <c r="BZ57" s="126">
        <v>1.1</v>
      </c>
      <c r="CA57" s="126">
        <v>4.0</v>
      </c>
      <c r="CB57" s="126" t="s">
        <v>4765</v>
      </c>
      <c r="CC57" s="126">
        <v>25.0</v>
      </c>
      <c r="CD57" s="126">
        <v>0.0</v>
      </c>
      <c r="CE57" s="126"/>
      <c r="CF57" s="126"/>
      <c r="CG57" s="126"/>
      <c r="CH57" s="126"/>
      <c r="CI57" s="126"/>
    </row>
    <row r="58" ht="18.75" customHeight="1">
      <c r="A58" s="39" t="s">
        <v>4766</v>
      </c>
      <c r="B58" s="39" t="s">
        <v>4593</v>
      </c>
      <c r="C58" s="102" t="s">
        <v>4767</v>
      </c>
      <c r="D58" s="39" t="s">
        <v>4763</v>
      </c>
      <c r="E58" s="102">
        <v>5.0</v>
      </c>
      <c r="F58" s="102">
        <v>1.0</v>
      </c>
      <c r="G58" s="102" t="s">
        <v>3064</v>
      </c>
      <c r="I58" s="39" t="s">
        <v>29</v>
      </c>
      <c r="J58" s="39">
        <v>2.0</v>
      </c>
      <c r="M58" s="39">
        <v>100.0</v>
      </c>
      <c r="P58" s="39">
        <v>100.0</v>
      </c>
      <c r="Q58" s="39">
        <v>50.0</v>
      </c>
      <c r="AH58" s="163"/>
      <c r="AI58" s="163"/>
      <c r="AJ58" s="163"/>
      <c r="AK58" s="163"/>
      <c r="AZ58" s="39" t="s">
        <v>4708</v>
      </c>
      <c r="BI58" s="39" t="s">
        <v>4597</v>
      </c>
      <c r="BM58" s="39">
        <v>0.0</v>
      </c>
      <c r="BR58" s="39" t="s">
        <v>4763</v>
      </c>
      <c r="BS58" s="126" t="s">
        <v>4757</v>
      </c>
      <c r="BT58" s="126">
        <v>26.0</v>
      </c>
      <c r="BU58" s="126" t="s">
        <v>1280</v>
      </c>
      <c r="BV58" s="126">
        <v>20.0</v>
      </c>
      <c r="BW58" s="126">
        <v>2.0</v>
      </c>
      <c r="BX58" s="126"/>
      <c r="BY58" s="126" t="s">
        <v>1280</v>
      </c>
      <c r="BZ58" s="126">
        <v>1.25</v>
      </c>
      <c r="CA58" s="126">
        <v>5.0</v>
      </c>
      <c r="CB58" s="126" t="s">
        <v>4765</v>
      </c>
      <c r="CC58" s="126">
        <v>25.0</v>
      </c>
      <c r="CD58" s="126">
        <v>0.0</v>
      </c>
      <c r="CE58" s="126"/>
      <c r="CF58" s="126"/>
      <c r="CG58" s="126"/>
      <c r="CH58" s="126"/>
      <c r="CI58" s="126"/>
    </row>
    <row r="59" ht="18.75" customHeight="1">
      <c r="A59" s="39" t="s">
        <v>4768</v>
      </c>
      <c r="B59" s="39" t="s">
        <v>4593</v>
      </c>
      <c r="C59" s="102" t="s">
        <v>4769</v>
      </c>
      <c r="D59" s="39" t="s">
        <v>4766</v>
      </c>
      <c r="E59" s="102">
        <v>7.0</v>
      </c>
      <c r="F59" s="102">
        <v>1.0</v>
      </c>
      <c r="G59" s="102" t="s">
        <v>3064</v>
      </c>
      <c r="I59" s="39" t="s">
        <v>29</v>
      </c>
      <c r="J59" s="39">
        <v>3.0</v>
      </c>
      <c r="M59" s="39">
        <v>150.0</v>
      </c>
      <c r="P59" s="39">
        <v>150.0</v>
      </c>
      <c r="Q59" s="39">
        <v>75.0</v>
      </c>
      <c r="AH59" s="163"/>
      <c r="AI59" s="163"/>
      <c r="AJ59" s="163"/>
      <c r="AK59" s="163"/>
      <c r="AZ59" s="39" t="s">
        <v>4708</v>
      </c>
      <c r="BI59" s="39" t="s">
        <v>4597</v>
      </c>
      <c r="BM59" s="39">
        <v>0.0</v>
      </c>
      <c r="BR59" s="39" t="s">
        <v>4766</v>
      </c>
      <c r="BS59" s="126" t="s">
        <v>4757</v>
      </c>
      <c r="BT59" s="126">
        <v>24.0</v>
      </c>
      <c r="BU59" s="126" t="s">
        <v>1280</v>
      </c>
      <c r="BV59" s="126">
        <v>25.0</v>
      </c>
      <c r="BW59" s="126">
        <v>3.0</v>
      </c>
      <c r="BX59" s="126"/>
      <c r="BY59" s="126" t="s">
        <v>1280</v>
      </c>
      <c r="BZ59" s="126">
        <v>1.5</v>
      </c>
      <c r="CA59" s="126">
        <v>6.0</v>
      </c>
      <c r="CB59" s="126" t="s">
        <v>4765</v>
      </c>
      <c r="CC59" s="126">
        <v>25.0</v>
      </c>
      <c r="CD59" s="126">
        <v>0.0</v>
      </c>
      <c r="CE59" s="126"/>
      <c r="CF59" s="126"/>
      <c r="CG59" s="126"/>
      <c r="CH59" s="126"/>
      <c r="CI59" s="126"/>
    </row>
    <row r="60" ht="18.75" customHeight="1">
      <c r="C60" s="64"/>
      <c r="E60" s="64"/>
      <c r="F60" s="64"/>
      <c r="G60" s="64"/>
      <c r="AH60" s="163"/>
      <c r="AI60" s="163"/>
      <c r="AJ60" s="163"/>
      <c r="AK60" s="163"/>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3"/>
      <c r="AI61" s="163"/>
      <c r="AJ61" s="163"/>
      <c r="AK61" s="163"/>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3"/>
      <c r="AI62" s="163"/>
      <c r="AJ62" s="163"/>
      <c r="AK62" s="163"/>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3"/>
      <c r="AI63" s="163"/>
      <c r="AJ63" s="163"/>
      <c r="AK63" s="163"/>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3"/>
      <c r="AI64" s="163"/>
      <c r="AJ64" s="163"/>
      <c r="AK64" s="163"/>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3"/>
      <c r="AI65" s="163"/>
      <c r="AJ65" s="163"/>
      <c r="AK65" s="163"/>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3"/>
      <c r="AI66" s="163"/>
      <c r="AJ66" s="163"/>
      <c r="AK66" s="163"/>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3"/>
      <c r="AI67" s="163"/>
      <c r="AJ67" s="163"/>
      <c r="AK67" s="163"/>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3"/>
      <c r="AI68" s="163"/>
      <c r="AJ68" s="163"/>
      <c r="AK68" s="163"/>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3"/>
      <c r="AI69" s="163"/>
      <c r="AJ69" s="163"/>
      <c r="AK69" s="163"/>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3"/>
      <c r="AI70" s="163"/>
      <c r="AJ70" s="163"/>
      <c r="AK70" s="163"/>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3"/>
      <c r="AI71" s="163"/>
      <c r="AJ71" s="163"/>
      <c r="AK71" s="163"/>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3"/>
      <c r="AI72" s="163"/>
      <c r="AJ72" s="163"/>
      <c r="AK72" s="163"/>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3"/>
      <c r="AI73" s="163"/>
      <c r="AJ73" s="163"/>
      <c r="AK73" s="163"/>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3"/>
      <c r="AI74" s="163"/>
      <c r="AJ74" s="163"/>
      <c r="AK74" s="163"/>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3"/>
      <c r="AI75" s="163"/>
      <c r="AJ75" s="163"/>
      <c r="AK75" s="163"/>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3"/>
      <c r="AI76" s="163"/>
      <c r="AJ76" s="163"/>
      <c r="AK76" s="163"/>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3"/>
      <c r="AI77" s="163"/>
      <c r="AJ77" s="163"/>
      <c r="AK77" s="163"/>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3"/>
      <c r="AI78" s="163"/>
      <c r="AJ78" s="163"/>
      <c r="AK78" s="163"/>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3"/>
      <c r="AI79" s="163"/>
      <c r="AJ79" s="163"/>
      <c r="AK79" s="163"/>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3"/>
      <c r="AI80" s="163"/>
      <c r="AJ80" s="163"/>
      <c r="AK80" s="163"/>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3"/>
      <c r="AI81" s="163"/>
      <c r="AJ81" s="163"/>
      <c r="AK81" s="163"/>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3"/>
      <c r="AI82" s="163"/>
      <c r="AJ82" s="163"/>
      <c r="AK82" s="163"/>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3"/>
      <c r="AI83" s="163"/>
      <c r="AJ83" s="163"/>
      <c r="AK83" s="163"/>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3"/>
      <c r="AI84" s="163"/>
      <c r="AJ84" s="163"/>
      <c r="AK84" s="163"/>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3"/>
      <c r="AI85" s="163"/>
      <c r="AJ85" s="163"/>
      <c r="AK85" s="163"/>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3"/>
      <c r="AI86" s="163"/>
      <c r="AJ86" s="163"/>
      <c r="AK86" s="163"/>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3"/>
      <c r="AI87" s="163"/>
      <c r="AJ87" s="163"/>
      <c r="AK87" s="163"/>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3"/>
      <c r="AI88" s="163"/>
      <c r="AJ88" s="163"/>
      <c r="AK88" s="163"/>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3"/>
      <c r="AI89" s="163"/>
      <c r="AJ89" s="163"/>
      <c r="AK89" s="163"/>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3"/>
      <c r="AI90" s="163"/>
      <c r="AJ90" s="163"/>
      <c r="AK90" s="163"/>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3"/>
      <c r="AI91" s="163"/>
      <c r="AJ91" s="163"/>
      <c r="AK91" s="163"/>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3"/>
      <c r="AI92" s="163"/>
      <c r="AJ92" s="163"/>
      <c r="AK92" s="163"/>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3"/>
      <c r="AI93" s="163"/>
      <c r="AJ93" s="163"/>
      <c r="AK93" s="163"/>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3"/>
      <c r="AI94" s="163"/>
      <c r="AJ94" s="163"/>
      <c r="AK94" s="163"/>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3"/>
      <c r="AI95" s="163"/>
      <c r="AJ95" s="163"/>
      <c r="AK95" s="163"/>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3"/>
      <c r="AI96" s="163"/>
      <c r="AJ96" s="163"/>
      <c r="AK96" s="163"/>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3"/>
      <c r="AI97" s="163"/>
      <c r="AJ97" s="163"/>
      <c r="AK97" s="163"/>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3"/>
      <c r="AI98" s="163"/>
      <c r="AJ98" s="163"/>
      <c r="AK98" s="163"/>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3"/>
      <c r="AI99" s="163"/>
      <c r="AJ99" s="163"/>
      <c r="AK99" s="163"/>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3"/>
      <c r="AI100" s="163"/>
      <c r="AJ100" s="163"/>
      <c r="AK100" s="163"/>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3"/>
      <c r="AI101" s="163"/>
      <c r="AJ101" s="163"/>
      <c r="AK101" s="163"/>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3"/>
      <c r="AI102" s="163"/>
      <c r="AJ102" s="163"/>
      <c r="AK102" s="163"/>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3"/>
      <c r="AI103" s="163"/>
      <c r="AJ103" s="163"/>
      <c r="AK103" s="163"/>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3"/>
      <c r="AI104" s="163"/>
      <c r="AJ104" s="163"/>
      <c r="AK104" s="163"/>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3"/>
      <c r="AI105" s="163"/>
      <c r="AJ105" s="163"/>
      <c r="AK105" s="163"/>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3"/>
      <c r="AI106" s="163"/>
      <c r="AJ106" s="163"/>
      <c r="AK106" s="163"/>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3"/>
      <c r="AI107" s="163"/>
      <c r="AJ107" s="163"/>
      <c r="AK107" s="163"/>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3"/>
      <c r="AI108" s="163"/>
      <c r="AJ108" s="163"/>
      <c r="AK108" s="163"/>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3"/>
      <c r="AI109" s="163"/>
      <c r="AJ109" s="163"/>
      <c r="AK109" s="163"/>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3"/>
      <c r="AI110" s="163"/>
      <c r="AJ110" s="163"/>
      <c r="AK110" s="163"/>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3"/>
      <c r="AI111" s="163"/>
      <c r="AJ111" s="163"/>
      <c r="AK111" s="163"/>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3"/>
      <c r="AI112" s="163"/>
      <c r="AJ112" s="163"/>
      <c r="AK112" s="163"/>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3"/>
      <c r="AI113" s="163"/>
      <c r="AJ113" s="163"/>
      <c r="AK113" s="163"/>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3"/>
      <c r="AI114" s="163"/>
      <c r="AJ114" s="163"/>
      <c r="AK114" s="163"/>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3"/>
      <c r="AI115" s="163"/>
      <c r="AJ115" s="163"/>
      <c r="AK115" s="163"/>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3"/>
      <c r="AI116" s="163"/>
      <c r="AJ116" s="163"/>
      <c r="AK116" s="163"/>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3"/>
      <c r="AI117" s="163"/>
      <c r="AJ117" s="163"/>
      <c r="AK117" s="163"/>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3"/>
      <c r="AI118" s="163"/>
      <c r="AJ118" s="163"/>
      <c r="AK118" s="163"/>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3"/>
      <c r="AI119" s="163"/>
      <c r="AJ119" s="163"/>
      <c r="AK119" s="163"/>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3"/>
      <c r="AI120" s="163"/>
      <c r="AJ120" s="163"/>
      <c r="AK120" s="163"/>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3"/>
      <c r="AI121" s="163"/>
      <c r="AJ121" s="163"/>
      <c r="AK121" s="163"/>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3"/>
      <c r="AI122" s="163"/>
      <c r="AJ122" s="163"/>
      <c r="AK122" s="163"/>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3"/>
      <c r="AI123" s="163"/>
      <c r="AJ123" s="163"/>
      <c r="AK123" s="163"/>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3"/>
      <c r="AI124" s="163"/>
      <c r="AJ124" s="163"/>
      <c r="AK124" s="163"/>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3"/>
      <c r="AI125" s="163"/>
      <c r="AJ125" s="163"/>
      <c r="AK125" s="163"/>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3"/>
      <c r="AI126" s="163"/>
      <c r="AJ126" s="163"/>
      <c r="AK126" s="163"/>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3"/>
      <c r="AI127" s="163"/>
      <c r="AJ127" s="163"/>
      <c r="AK127" s="163"/>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3"/>
      <c r="AI128" s="163"/>
      <c r="AJ128" s="163"/>
      <c r="AK128" s="163"/>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3"/>
      <c r="AI129" s="163"/>
      <c r="AJ129" s="163"/>
      <c r="AK129" s="163"/>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3"/>
      <c r="AI130" s="163"/>
      <c r="AJ130" s="163"/>
      <c r="AK130" s="163"/>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3"/>
      <c r="AI131" s="163"/>
      <c r="AJ131" s="163"/>
      <c r="AK131" s="163"/>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3"/>
      <c r="AI132" s="163"/>
      <c r="AJ132" s="163"/>
      <c r="AK132" s="163"/>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3"/>
      <c r="AI133" s="163"/>
      <c r="AJ133" s="163"/>
      <c r="AK133" s="163"/>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3"/>
      <c r="AI134" s="163"/>
      <c r="AJ134" s="163"/>
      <c r="AK134" s="163"/>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3"/>
      <c r="AI135" s="163"/>
      <c r="AJ135" s="163"/>
      <c r="AK135" s="163"/>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3"/>
      <c r="AI136" s="163"/>
      <c r="AJ136" s="163"/>
      <c r="AK136" s="163"/>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3"/>
      <c r="AI137" s="163"/>
      <c r="AJ137" s="163"/>
      <c r="AK137" s="163"/>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3"/>
      <c r="AI138" s="163"/>
      <c r="AJ138" s="163"/>
      <c r="AK138" s="163"/>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3"/>
      <c r="AI139" s="163"/>
      <c r="AJ139" s="163"/>
      <c r="AK139" s="163"/>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3"/>
      <c r="AI140" s="163"/>
      <c r="AJ140" s="163"/>
      <c r="AK140" s="163"/>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3"/>
      <c r="AI141" s="163"/>
      <c r="AJ141" s="163"/>
      <c r="AK141" s="163"/>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3"/>
      <c r="AI142" s="163"/>
      <c r="AJ142" s="163"/>
      <c r="AK142" s="163"/>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3"/>
      <c r="AI143" s="163"/>
      <c r="AJ143" s="163"/>
      <c r="AK143" s="163"/>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3"/>
      <c r="AI144" s="163"/>
      <c r="AJ144" s="163"/>
      <c r="AK144" s="163"/>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3"/>
      <c r="AI145" s="163"/>
      <c r="AJ145" s="163"/>
      <c r="AK145" s="163"/>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3"/>
      <c r="AI146" s="163"/>
      <c r="AJ146" s="163"/>
      <c r="AK146" s="163"/>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3"/>
      <c r="AI147" s="163"/>
      <c r="AJ147" s="163"/>
      <c r="AK147" s="163"/>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3"/>
      <c r="AI148" s="163"/>
      <c r="AJ148" s="163"/>
      <c r="AK148" s="163"/>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3"/>
      <c r="AI149" s="163"/>
      <c r="AJ149" s="163"/>
      <c r="AK149" s="163"/>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3"/>
      <c r="AI150" s="163"/>
      <c r="AJ150" s="163"/>
      <c r="AK150" s="163"/>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3"/>
      <c r="AI151" s="163"/>
      <c r="AJ151" s="163"/>
      <c r="AK151" s="163"/>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3"/>
      <c r="AI152" s="163"/>
      <c r="AJ152" s="163"/>
      <c r="AK152" s="163"/>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3"/>
      <c r="AI153" s="163"/>
      <c r="AJ153" s="163"/>
      <c r="AK153" s="163"/>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3"/>
      <c r="AI154" s="163"/>
      <c r="AJ154" s="163"/>
      <c r="AK154" s="163"/>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3"/>
      <c r="AI155" s="163"/>
      <c r="AJ155" s="163"/>
      <c r="AK155" s="163"/>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3"/>
      <c r="AI156" s="163"/>
      <c r="AJ156" s="163"/>
      <c r="AK156" s="163"/>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3"/>
      <c r="AI157" s="163"/>
      <c r="AJ157" s="163"/>
      <c r="AK157" s="163"/>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3"/>
      <c r="AI158" s="163"/>
      <c r="AJ158" s="163"/>
      <c r="AK158" s="163"/>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3"/>
      <c r="AI159" s="163"/>
      <c r="AJ159" s="163"/>
      <c r="AK159" s="163"/>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3"/>
      <c r="AI160" s="163"/>
      <c r="AJ160" s="163"/>
      <c r="AK160" s="163"/>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3"/>
      <c r="AI161" s="163"/>
      <c r="AJ161" s="163"/>
      <c r="AK161" s="163"/>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3"/>
      <c r="AI162" s="163"/>
      <c r="AJ162" s="163"/>
      <c r="AK162" s="163"/>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3"/>
      <c r="AI163" s="163"/>
      <c r="AJ163" s="163"/>
      <c r="AK163" s="163"/>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3"/>
      <c r="AI164" s="163"/>
      <c r="AJ164" s="163"/>
      <c r="AK164" s="163"/>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3"/>
      <c r="AI165" s="163"/>
      <c r="AJ165" s="163"/>
      <c r="AK165" s="163"/>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3"/>
      <c r="AI166" s="163"/>
      <c r="AJ166" s="163"/>
      <c r="AK166" s="163"/>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3"/>
      <c r="AI167" s="163"/>
      <c r="AJ167" s="163"/>
      <c r="AK167" s="163"/>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3"/>
      <c r="AI168" s="163"/>
      <c r="AJ168" s="163"/>
      <c r="AK168" s="163"/>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3"/>
      <c r="AI169" s="163"/>
      <c r="AJ169" s="163"/>
      <c r="AK169" s="163"/>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3"/>
      <c r="AI170" s="163"/>
      <c r="AJ170" s="163"/>
      <c r="AK170" s="163"/>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3"/>
      <c r="AI171" s="163"/>
      <c r="AJ171" s="163"/>
      <c r="AK171" s="163"/>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3"/>
      <c r="AI172" s="163"/>
      <c r="AJ172" s="163"/>
      <c r="AK172" s="163"/>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3"/>
      <c r="AI173" s="163"/>
      <c r="AJ173" s="163"/>
      <c r="AK173" s="163"/>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3"/>
      <c r="AI174" s="163"/>
      <c r="AJ174" s="163"/>
      <c r="AK174" s="163"/>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3"/>
      <c r="AI175" s="163"/>
      <c r="AJ175" s="163"/>
      <c r="AK175" s="163"/>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3"/>
      <c r="AI176" s="163"/>
      <c r="AJ176" s="163"/>
      <c r="AK176" s="163"/>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3"/>
      <c r="AI177" s="163"/>
      <c r="AJ177" s="163"/>
      <c r="AK177" s="163"/>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3"/>
      <c r="AI178" s="163"/>
      <c r="AJ178" s="163"/>
      <c r="AK178" s="163"/>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3"/>
      <c r="AI179" s="163"/>
      <c r="AJ179" s="163"/>
      <c r="AK179" s="163"/>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3"/>
      <c r="AI180" s="163"/>
      <c r="AJ180" s="163"/>
      <c r="AK180" s="163"/>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3"/>
      <c r="AI181" s="163"/>
      <c r="AJ181" s="163"/>
      <c r="AK181" s="163"/>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3"/>
      <c r="AI182" s="163"/>
      <c r="AJ182" s="163"/>
      <c r="AK182" s="163"/>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3"/>
      <c r="AI183" s="163"/>
      <c r="AJ183" s="163"/>
      <c r="AK183" s="163"/>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3"/>
      <c r="AI184" s="163"/>
      <c r="AJ184" s="163"/>
      <c r="AK184" s="163"/>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3"/>
      <c r="AI185" s="163"/>
      <c r="AJ185" s="163"/>
      <c r="AK185" s="163"/>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3"/>
      <c r="AI186" s="163"/>
      <c r="AJ186" s="163"/>
      <c r="AK186" s="163"/>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3"/>
      <c r="AI187" s="163"/>
      <c r="AJ187" s="163"/>
      <c r="AK187" s="163"/>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3"/>
      <c r="AI188" s="163"/>
      <c r="AJ188" s="163"/>
      <c r="AK188" s="163"/>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3"/>
      <c r="AI189" s="163"/>
      <c r="AJ189" s="163"/>
      <c r="AK189" s="163"/>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3"/>
      <c r="AI190" s="163"/>
      <c r="AJ190" s="163"/>
      <c r="AK190" s="163"/>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3"/>
      <c r="AI191" s="163"/>
      <c r="AJ191" s="163"/>
      <c r="AK191" s="163"/>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3"/>
      <c r="AI192" s="163"/>
      <c r="AJ192" s="163"/>
      <c r="AK192" s="163"/>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3"/>
      <c r="AI193" s="163"/>
      <c r="AJ193" s="163"/>
      <c r="AK193" s="163"/>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3"/>
      <c r="AI194" s="163"/>
      <c r="AJ194" s="163"/>
      <c r="AK194" s="163"/>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3"/>
      <c r="AI195" s="163"/>
      <c r="AJ195" s="163"/>
      <c r="AK195" s="163"/>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3"/>
      <c r="AI196" s="163"/>
      <c r="AJ196" s="163"/>
      <c r="AK196" s="163"/>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3"/>
      <c r="AI197" s="163"/>
      <c r="AJ197" s="163"/>
      <c r="AK197" s="163"/>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3"/>
      <c r="AI198" s="163"/>
      <c r="AJ198" s="163"/>
      <c r="AK198" s="163"/>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3"/>
      <c r="AI199" s="163"/>
      <c r="AJ199" s="163"/>
      <c r="AK199" s="163"/>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3"/>
      <c r="AI200" s="163"/>
      <c r="AJ200" s="163"/>
      <c r="AK200" s="163"/>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3"/>
      <c r="AI201" s="163"/>
      <c r="AJ201" s="163"/>
      <c r="AK201" s="163"/>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3"/>
      <c r="AI202" s="163"/>
      <c r="AJ202" s="163"/>
      <c r="AK202" s="163"/>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3"/>
      <c r="AI203" s="163"/>
      <c r="AJ203" s="163"/>
      <c r="AK203" s="163"/>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3"/>
      <c r="AI204" s="163"/>
      <c r="AJ204" s="163"/>
      <c r="AK204" s="163"/>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3"/>
      <c r="AI205" s="163"/>
      <c r="AJ205" s="163"/>
      <c r="AK205" s="163"/>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3"/>
      <c r="AI206" s="163"/>
      <c r="AJ206" s="163"/>
      <c r="AK206" s="163"/>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3"/>
      <c r="AI207" s="163"/>
      <c r="AJ207" s="163"/>
      <c r="AK207" s="163"/>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3"/>
      <c r="AI208" s="163"/>
      <c r="AJ208" s="163"/>
      <c r="AK208" s="163"/>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3"/>
      <c r="AI209" s="163"/>
      <c r="AJ209" s="163"/>
      <c r="AK209" s="163"/>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3"/>
      <c r="AI210" s="163"/>
      <c r="AJ210" s="163"/>
      <c r="AK210" s="163"/>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3"/>
      <c r="AI211" s="163"/>
      <c r="AJ211" s="163"/>
      <c r="AK211" s="163"/>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3"/>
      <c r="AI212" s="163"/>
      <c r="AJ212" s="163"/>
      <c r="AK212" s="163"/>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3"/>
      <c r="AI213" s="163"/>
      <c r="AJ213" s="163"/>
      <c r="AK213" s="163"/>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3"/>
      <c r="AI214" s="163"/>
      <c r="AJ214" s="163"/>
      <c r="AK214" s="163"/>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3"/>
      <c r="AI215" s="163"/>
      <c r="AJ215" s="163"/>
      <c r="AK215" s="163"/>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3"/>
      <c r="AI216" s="163"/>
      <c r="AJ216" s="163"/>
      <c r="AK216" s="163"/>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3"/>
      <c r="AI217" s="163"/>
      <c r="AJ217" s="163"/>
      <c r="AK217" s="163"/>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3"/>
      <c r="AI218" s="163"/>
      <c r="AJ218" s="163"/>
      <c r="AK218" s="163"/>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3"/>
      <c r="AI219" s="163"/>
      <c r="AJ219" s="163"/>
      <c r="AK219" s="163"/>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3"/>
      <c r="AI220" s="163"/>
      <c r="AJ220" s="163"/>
      <c r="AK220" s="163"/>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3"/>
      <c r="AI221" s="163"/>
      <c r="AJ221" s="163"/>
      <c r="AK221" s="163"/>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3"/>
      <c r="AI222" s="163"/>
      <c r="AJ222" s="163"/>
      <c r="AK222" s="163"/>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3"/>
      <c r="AI223" s="163"/>
      <c r="AJ223" s="163"/>
      <c r="AK223" s="163"/>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3"/>
      <c r="AI224" s="163"/>
      <c r="AJ224" s="163"/>
      <c r="AK224" s="163"/>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3"/>
      <c r="AI225" s="163"/>
      <c r="AJ225" s="163"/>
      <c r="AK225" s="163"/>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3"/>
      <c r="AI226" s="163"/>
      <c r="AJ226" s="163"/>
      <c r="AK226" s="163"/>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3"/>
      <c r="AI227" s="163"/>
      <c r="AJ227" s="163"/>
      <c r="AK227" s="163"/>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3"/>
      <c r="AI228" s="163"/>
      <c r="AJ228" s="163"/>
      <c r="AK228" s="163"/>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3"/>
      <c r="AI229" s="163"/>
      <c r="AJ229" s="163"/>
      <c r="AK229" s="163"/>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3"/>
      <c r="AI230" s="163"/>
      <c r="AJ230" s="163"/>
      <c r="AK230" s="163"/>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3"/>
      <c r="AI231" s="163"/>
      <c r="AJ231" s="163"/>
      <c r="AK231" s="163"/>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3"/>
      <c r="AI232" s="163"/>
      <c r="AJ232" s="163"/>
      <c r="AK232" s="163"/>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3"/>
      <c r="AI233" s="163"/>
      <c r="AJ233" s="163"/>
      <c r="AK233" s="163"/>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3"/>
      <c r="AI234" s="163"/>
      <c r="AJ234" s="163"/>
      <c r="AK234" s="163"/>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3"/>
      <c r="AI235" s="163"/>
      <c r="AJ235" s="163"/>
      <c r="AK235" s="163"/>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3"/>
      <c r="AI236" s="163"/>
      <c r="AJ236" s="163"/>
      <c r="AK236" s="163"/>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3"/>
      <c r="AI237" s="163"/>
      <c r="AJ237" s="163"/>
      <c r="AK237" s="163"/>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3"/>
      <c r="AI238" s="163"/>
      <c r="AJ238" s="163"/>
      <c r="AK238" s="163"/>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3"/>
      <c r="AI239" s="163"/>
      <c r="AJ239" s="163"/>
      <c r="AK239" s="163"/>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3"/>
      <c r="AI240" s="163"/>
      <c r="AJ240" s="163"/>
      <c r="AK240" s="163"/>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3"/>
      <c r="AI241" s="163"/>
      <c r="AJ241" s="163"/>
      <c r="AK241" s="163"/>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3"/>
      <c r="AI242" s="163"/>
      <c r="AJ242" s="163"/>
      <c r="AK242" s="163"/>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3"/>
      <c r="AI243" s="163"/>
      <c r="AJ243" s="163"/>
      <c r="AK243" s="163"/>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3"/>
      <c r="AI244" s="163"/>
      <c r="AJ244" s="163"/>
      <c r="AK244" s="163"/>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3"/>
      <c r="AI245" s="163"/>
      <c r="AJ245" s="163"/>
      <c r="AK245" s="163"/>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3"/>
      <c r="AI246" s="163"/>
      <c r="AJ246" s="163"/>
      <c r="AK246" s="163"/>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3"/>
      <c r="AI247" s="163"/>
      <c r="AJ247" s="163"/>
      <c r="AK247" s="163"/>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3"/>
      <c r="AI248" s="163"/>
      <c r="AJ248" s="163"/>
      <c r="AK248" s="163"/>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3"/>
      <c r="AI249" s="163"/>
      <c r="AJ249" s="163"/>
      <c r="AK249" s="163"/>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3"/>
      <c r="AI250" s="163"/>
      <c r="AJ250" s="163"/>
      <c r="AK250" s="163"/>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3"/>
      <c r="AI251" s="163"/>
      <c r="AJ251" s="163"/>
      <c r="AK251" s="163"/>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3"/>
      <c r="AI252" s="163"/>
      <c r="AJ252" s="163"/>
      <c r="AK252" s="163"/>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3"/>
      <c r="AI253" s="163"/>
      <c r="AJ253" s="163"/>
      <c r="AK253" s="163"/>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3"/>
      <c r="AI254" s="163"/>
      <c r="AJ254" s="163"/>
      <c r="AK254" s="163"/>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3"/>
      <c r="AI255" s="163"/>
      <c r="AJ255" s="163"/>
      <c r="AK255" s="163"/>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3"/>
      <c r="AI256" s="163"/>
      <c r="AJ256" s="163"/>
      <c r="AK256" s="163"/>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3"/>
      <c r="AI257" s="163"/>
      <c r="AJ257" s="163"/>
      <c r="AK257" s="163"/>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3"/>
      <c r="AI258" s="163"/>
      <c r="AJ258" s="163"/>
      <c r="AK258" s="163"/>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3"/>
      <c r="AI259" s="163"/>
      <c r="AJ259" s="163"/>
      <c r="AK259" s="163"/>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3"/>
      <c r="AI260" s="163"/>
      <c r="AJ260" s="163"/>
      <c r="AK260" s="163"/>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3"/>
      <c r="AI261" s="163"/>
      <c r="AJ261" s="163"/>
      <c r="AK261" s="163"/>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3"/>
      <c r="AI262" s="163"/>
      <c r="AJ262" s="163"/>
      <c r="AK262" s="163"/>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3"/>
      <c r="AI263" s="163"/>
      <c r="AJ263" s="163"/>
      <c r="AK263" s="163"/>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3"/>
      <c r="AI264" s="163"/>
      <c r="AJ264" s="163"/>
      <c r="AK264" s="163"/>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3"/>
      <c r="AI265" s="163"/>
      <c r="AJ265" s="163"/>
      <c r="AK265" s="163"/>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3"/>
      <c r="AI266" s="163"/>
      <c r="AJ266" s="163"/>
      <c r="AK266" s="163"/>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3"/>
      <c r="AI267" s="163"/>
      <c r="AJ267" s="163"/>
      <c r="AK267" s="163"/>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3"/>
      <c r="AI268" s="163"/>
      <c r="AJ268" s="163"/>
      <c r="AK268" s="163"/>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3"/>
      <c r="AI269" s="163"/>
      <c r="AJ269" s="163"/>
      <c r="AK269" s="163"/>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3"/>
      <c r="AI270" s="163"/>
      <c r="AJ270" s="163"/>
      <c r="AK270" s="163"/>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3"/>
      <c r="AI271" s="163"/>
      <c r="AJ271" s="163"/>
      <c r="AK271" s="163"/>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3"/>
      <c r="AI272" s="163"/>
      <c r="AJ272" s="163"/>
      <c r="AK272" s="163"/>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3"/>
      <c r="AI273" s="163"/>
      <c r="AJ273" s="163"/>
      <c r="AK273" s="163"/>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3"/>
      <c r="AI274" s="163"/>
      <c r="AJ274" s="163"/>
      <c r="AK274" s="163"/>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3"/>
      <c r="AI275" s="163"/>
      <c r="AJ275" s="163"/>
      <c r="AK275" s="163"/>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3"/>
      <c r="AI276" s="163"/>
      <c r="AJ276" s="163"/>
      <c r="AK276" s="163"/>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3"/>
      <c r="AI277" s="163"/>
      <c r="AJ277" s="163"/>
      <c r="AK277" s="163"/>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3"/>
      <c r="AI278" s="163"/>
      <c r="AJ278" s="163"/>
      <c r="AK278" s="163"/>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3"/>
      <c r="AI279" s="163"/>
      <c r="AJ279" s="163"/>
      <c r="AK279" s="163"/>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3"/>
      <c r="AI280" s="163"/>
      <c r="AJ280" s="163"/>
      <c r="AK280" s="163"/>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3"/>
      <c r="AI281" s="163"/>
      <c r="AJ281" s="163"/>
      <c r="AK281" s="163"/>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3"/>
      <c r="AI282" s="163"/>
      <c r="AJ282" s="163"/>
      <c r="AK282" s="163"/>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3"/>
      <c r="AI283" s="163"/>
      <c r="AJ283" s="163"/>
      <c r="AK283" s="163"/>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3"/>
      <c r="AI284" s="163"/>
      <c r="AJ284" s="163"/>
      <c r="AK284" s="163"/>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3"/>
      <c r="AI285" s="163"/>
      <c r="AJ285" s="163"/>
      <c r="AK285" s="163"/>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3"/>
      <c r="AI286" s="163"/>
      <c r="AJ286" s="163"/>
      <c r="AK286" s="163"/>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3"/>
      <c r="AI287" s="163"/>
      <c r="AJ287" s="163"/>
      <c r="AK287" s="163"/>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3"/>
      <c r="AI288" s="163"/>
      <c r="AJ288" s="163"/>
      <c r="AK288" s="163"/>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3"/>
      <c r="AI289" s="163"/>
      <c r="AJ289" s="163"/>
      <c r="AK289" s="163"/>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3"/>
      <c r="AI290" s="163"/>
      <c r="AJ290" s="163"/>
      <c r="AK290" s="163"/>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3"/>
      <c r="AI291" s="163"/>
      <c r="AJ291" s="163"/>
      <c r="AK291" s="163"/>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3"/>
      <c r="AI292" s="163"/>
      <c r="AJ292" s="163"/>
      <c r="AK292" s="163"/>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3"/>
      <c r="AI293" s="163"/>
      <c r="AJ293" s="163"/>
      <c r="AK293" s="163"/>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3"/>
      <c r="AI294" s="163"/>
      <c r="AJ294" s="163"/>
      <c r="AK294" s="163"/>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3"/>
      <c r="AI295" s="163"/>
      <c r="AJ295" s="163"/>
      <c r="AK295" s="163"/>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3"/>
      <c r="AI296" s="163"/>
      <c r="AJ296" s="163"/>
      <c r="AK296" s="163"/>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3"/>
      <c r="AI297" s="163"/>
      <c r="AJ297" s="163"/>
      <c r="AK297" s="163"/>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3"/>
      <c r="AI298" s="163"/>
      <c r="AJ298" s="163"/>
      <c r="AK298" s="163"/>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3"/>
      <c r="AI299" s="163"/>
      <c r="AJ299" s="163"/>
      <c r="AK299" s="163"/>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3"/>
      <c r="AI300" s="163"/>
      <c r="AJ300" s="163"/>
      <c r="AK300" s="163"/>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3"/>
      <c r="AI301" s="163"/>
      <c r="AJ301" s="163"/>
      <c r="AK301" s="163"/>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3"/>
      <c r="AI302" s="163"/>
      <c r="AJ302" s="163"/>
      <c r="AK302" s="163"/>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3"/>
      <c r="AI303" s="163"/>
      <c r="AJ303" s="163"/>
      <c r="AK303" s="163"/>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3"/>
      <c r="AI304" s="163"/>
      <c r="AJ304" s="163"/>
      <c r="AK304" s="163"/>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3"/>
      <c r="AI305" s="163"/>
      <c r="AJ305" s="163"/>
      <c r="AK305" s="163"/>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3"/>
      <c r="AI306" s="163"/>
      <c r="AJ306" s="163"/>
      <c r="AK306" s="163"/>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3"/>
      <c r="AI307" s="163"/>
      <c r="AJ307" s="163"/>
      <c r="AK307" s="163"/>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3"/>
      <c r="AI308" s="163"/>
      <c r="AJ308" s="163"/>
      <c r="AK308" s="163"/>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3"/>
      <c r="AI309" s="163"/>
      <c r="AJ309" s="163"/>
      <c r="AK309" s="163"/>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3"/>
      <c r="AI310" s="163"/>
      <c r="AJ310" s="163"/>
      <c r="AK310" s="163"/>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3"/>
      <c r="AI311" s="163"/>
      <c r="AJ311" s="163"/>
      <c r="AK311" s="163"/>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3"/>
      <c r="AI312" s="163"/>
      <c r="AJ312" s="163"/>
      <c r="AK312" s="163"/>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3"/>
      <c r="AI313" s="163"/>
      <c r="AJ313" s="163"/>
      <c r="AK313" s="163"/>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3"/>
      <c r="AI314" s="163"/>
      <c r="AJ314" s="163"/>
      <c r="AK314" s="163"/>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3"/>
      <c r="AI315" s="163"/>
      <c r="AJ315" s="163"/>
      <c r="AK315" s="163"/>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3"/>
      <c r="AI316" s="163"/>
      <c r="AJ316" s="163"/>
      <c r="AK316" s="163"/>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3"/>
      <c r="AI317" s="163"/>
      <c r="AJ317" s="163"/>
      <c r="AK317" s="163"/>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3"/>
      <c r="AI318" s="163"/>
      <c r="AJ318" s="163"/>
      <c r="AK318" s="163"/>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3"/>
      <c r="AI319" s="163"/>
      <c r="AJ319" s="163"/>
      <c r="AK319" s="163"/>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3"/>
      <c r="AI320" s="163"/>
      <c r="AJ320" s="163"/>
      <c r="AK320" s="163"/>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3"/>
      <c r="AI321" s="163"/>
      <c r="AJ321" s="163"/>
      <c r="AK321" s="163"/>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3"/>
      <c r="AI322" s="163"/>
      <c r="AJ322" s="163"/>
      <c r="AK322" s="163"/>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3"/>
      <c r="AI323" s="163"/>
      <c r="AJ323" s="163"/>
      <c r="AK323" s="163"/>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3"/>
      <c r="AI324" s="163"/>
      <c r="AJ324" s="163"/>
      <c r="AK324" s="163"/>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3"/>
      <c r="AI325" s="163"/>
      <c r="AJ325" s="163"/>
      <c r="AK325" s="163"/>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3"/>
      <c r="AI326" s="163"/>
      <c r="AJ326" s="163"/>
      <c r="AK326" s="163"/>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3"/>
      <c r="AI327" s="163"/>
      <c r="AJ327" s="163"/>
      <c r="AK327" s="163"/>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3"/>
      <c r="AI328" s="163"/>
      <c r="AJ328" s="163"/>
      <c r="AK328" s="163"/>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3"/>
      <c r="AI329" s="163"/>
      <c r="AJ329" s="163"/>
      <c r="AK329" s="163"/>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3"/>
      <c r="AI330" s="163"/>
      <c r="AJ330" s="163"/>
      <c r="AK330" s="163"/>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3"/>
      <c r="AI331" s="163"/>
      <c r="AJ331" s="163"/>
      <c r="AK331" s="163"/>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3"/>
      <c r="AI332" s="163"/>
      <c r="AJ332" s="163"/>
      <c r="AK332" s="163"/>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3"/>
      <c r="AI333" s="163"/>
      <c r="AJ333" s="163"/>
      <c r="AK333" s="163"/>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3"/>
      <c r="AI334" s="163"/>
      <c r="AJ334" s="163"/>
      <c r="AK334" s="163"/>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3"/>
      <c r="AI335" s="163"/>
      <c r="AJ335" s="163"/>
      <c r="AK335" s="163"/>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3"/>
      <c r="AI336" s="163"/>
      <c r="AJ336" s="163"/>
      <c r="AK336" s="163"/>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3"/>
      <c r="AI337" s="163"/>
      <c r="AJ337" s="163"/>
      <c r="AK337" s="163"/>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3"/>
      <c r="AI338" s="163"/>
      <c r="AJ338" s="163"/>
      <c r="AK338" s="163"/>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3"/>
      <c r="AI339" s="163"/>
      <c r="AJ339" s="163"/>
      <c r="AK339" s="163"/>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3"/>
      <c r="AI340" s="163"/>
      <c r="AJ340" s="163"/>
      <c r="AK340" s="163"/>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3"/>
      <c r="AI341" s="163"/>
      <c r="AJ341" s="163"/>
      <c r="AK341" s="163"/>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3"/>
      <c r="AI342" s="163"/>
      <c r="AJ342" s="163"/>
      <c r="AK342" s="163"/>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3"/>
      <c r="AI343" s="163"/>
      <c r="AJ343" s="163"/>
      <c r="AK343" s="163"/>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3"/>
      <c r="AI344" s="163"/>
      <c r="AJ344" s="163"/>
      <c r="AK344" s="163"/>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3"/>
      <c r="AI345" s="163"/>
      <c r="AJ345" s="163"/>
      <c r="AK345" s="163"/>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3"/>
      <c r="AI346" s="163"/>
      <c r="AJ346" s="163"/>
      <c r="AK346" s="163"/>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3"/>
      <c r="AI347" s="163"/>
      <c r="AJ347" s="163"/>
      <c r="AK347" s="163"/>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3"/>
      <c r="AI348" s="163"/>
      <c r="AJ348" s="163"/>
      <c r="AK348" s="163"/>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3"/>
      <c r="AI349" s="163"/>
      <c r="AJ349" s="163"/>
      <c r="AK349" s="163"/>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3"/>
      <c r="AI350" s="163"/>
      <c r="AJ350" s="163"/>
      <c r="AK350" s="163"/>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3"/>
      <c r="AI351" s="163"/>
      <c r="AJ351" s="163"/>
      <c r="AK351" s="163"/>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3"/>
      <c r="AI352" s="163"/>
      <c r="AJ352" s="163"/>
      <c r="AK352" s="163"/>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3"/>
      <c r="AI353" s="163"/>
      <c r="AJ353" s="163"/>
      <c r="AK353" s="163"/>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3"/>
      <c r="AI354" s="163"/>
      <c r="AJ354" s="163"/>
      <c r="AK354" s="163"/>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3"/>
      <c r="AI355" s="163"/>
      <c r="AJ355" s="163"/>
      <c r="AK355" s="163"/>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3"/>
      <c r="AI356" s="163"/>
      <c r="AJ356" s="163"/>
      <c r="AK356" s="163"/>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3"/>
      <c r="AI357" s="163"/>
      <c r="AJ357" s="163"/>
      <c r="AK357" s="163"/>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3"/>
      <c r="AI358" s="163"/>
      <c r="AJ358" s="163"/>
      <c r="AK358" s="163"/>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3"/>
      <c r="AI359" s="163"/>
      <c r="AJ359" s="163"/>
      <c r="AK359" s="163"/>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3"/>
      <c r="AI360" s="163"/>
      <c r="AJ360" s="163"/>
      <c r="AK360" s="163"/>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3"/>
      <c r="AI361" s="163"/>
      <c r="AJ361" s="163"/>
      <c r="AK361" s="163"/>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3"/>
      <c r="AI362" s="163"/>
      <c r="AJ362" s="163"/>
      <c r="AK362" s="163"/>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3"/>
      <c r="AI363" s="163"/>
      <c r="AJ363" s="163"/>
      <c r="AK363" s="163"/>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3"/>
      <c r="AI364" s="163"/>
      <c r="AJ364" s="163"/>
      <c r="AK364" s="163"/>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3"/>
      <c r="AI365" s="163"/>
      <c r="AJ365" s="163"/>
      <c r="AK365" s="163"/>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3"/>
      <c r="AI366" s="163"/>
      <c r="AJ366" s="163"/>
      <c r="AK366" s="163"/>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3"/>
      <c r="AI367" s="163"/>
      <c r="AJ367" s="163"/>
      <c r="AK367" s="163"/>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3"/>
      <c r="AI368" s="163"/>
      <c r="AJ368" s="163"/>
      <c r="AK368" s="163"/>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3"/>
      <c r="AI369" s="163"/>
      <c r="AJ369" s="163"/>
      <c r="AK369" s="163"/>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3"/>
      <c r="AI370" s="163"/>
      <c r="AJ370" s="163"/>
      <c r="AK370" s="163"/>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3"/>
      <c r="AI371" s="163"/>
      <c r="AJ371" s="163"/>
      <c r="AK371" s="163"/>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3"/>
      <c r="AI372" s="163"/>
      <c r="AJ372" s="163"/>
      <c r="AK372" s="163"/>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3"/>
      <c r="AI373" s="163"/>
      <c r="AJ373" s="163"/>
      <c r="AK373" s="163"/>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3"/>
      <c r="AI374" s="163"/>
      <c r="AJ374" s="163"/>
      <c r="AK374" s="163"/>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3"/>
      <c r="AI375" s="163"/>
      <c r="AJ375" s="163"/>
      <c r="AK375" s="163"/>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3"/>
      <c r="AI376" s="163"/>
      <c r="AJ376" s="163"/>
      <c r="AK376" s="163"/>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3"/>
      <c r="AI377" s="163"/>
      <c r="AJ377" s="163"/>
      <c r="AK377" s="163"/>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3"/>
      <c r="AI378" s="163"/>
      <c r="AJ378" s="163"/>
      <c r="AK378" s="163"/>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3"/>
      <c r="AI379" s="163"/>
      <c r="AJ379" s="163"/>
      <c r="AK379" s="163"/>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3"/>
      <c r="AI380" s="163"/>
      <c r="AJ380" s="163"/>
      <c r="AK380" s="163"/>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3"/>
      <c r="AI381" s="163"/>
      <c r="AJ381" s="163"/>
      <c r="AK381" s="163"/>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3"/>
      <c r="AI382" s="163"/>
      <c r="AJ382" s="163"/>
      <c r="AK382" s="163"/>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3"/>
      <c r="AI383" s="163"/>
      <c r="AJ383" s="163"/>
      <c r="AK383" s="163"/>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3"/>
      <c r="AI384" s="163"/>
      <c r="AJ384" s="163"/>
      <c r="AK384" s="163"/>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3"/>
      <c r="AI385" s="163"/>
      <c r="AJ385" s="163"/>
      <c r="AK385" s="163"/>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3"/>
      <c r="AI386" s="163"/>
      <c r="AJ386" s="163"/>
      <c r="AK386" s="163"/>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3"/>
      <c r="AI387" s="163"/>
      <c r="AJ387" s="163"/>
      <c r="AK387" s="163"/>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3"/>
      <c r="AI388" s="163"/>
      <c r="AJ388" s="163"/>
      <c r="AK388" s="163"/>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3"/>
      <c r="AI389" s="163"/>
      <c r="AJ389" s="163"/>
      <c r="AK389" s="163"/>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3"/>
      <c r="AI390" s="163"/>
      <c r="AJ390" s="163"/>
      <c r="AK390" s="163"/>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3"/>
      <c r="AI391" s="163"/>
      <c r="AJ391" s="163"/>
      <c r="AK391" s="163"/>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3"/>
      <c r="AI392" s="163"/>
      <c r="AJ392" s="163"/>
      <c r="AK392" s="163"/>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3"/>
      <c r="AI393" s="163"/>
      <c r="AJ393" s="163"/>
      <c r="AK393" s="163"/>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3"/>
      <c r="AI394" s="163"/>
      <c r="AJ394" s="163"/>
      <c r="AK394" s="163"/>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3"/>
      <c r="AI395" s="163"/>
      <c r="AJ395" s="163"/>
      <c r="AK395" s="163"/>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3"/>
      <c r="AI396" s="163"/>
      <c r="AJ396" s="163"/>
      <c r="AK396" s="163"/>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3"/>
      <c r="AI397" s="163"/>
      <c r="AJ397" s="163"/>
      <c r="AK397" s="163"/>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3"/>
      <c r="AI398" s="163"/>
      <c r="AJ398" s="163"/>
      <c r="AK398" s="163"/>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3"/>
      <c r="AI399" s="163"/>
      <c r="AJ399" s="163"/>
      <c r="AK399" s="163"/>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3"/>
      <c r="AI400" s="163"/>
      <c r="AJ400" s="163"/>
      <c r="AK400" s="163"/>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3"/>
      <c r="AI401" s="163"/>
      <c r="AJ401" s="163"/>
      <c r="AK401" s="163"/>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3"/>
      <c r="AI402" s="163"/>
      <c r="AJ402" s="163"/>
      <c r="AK402" s="163"/>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3"/>
      <c r="AI403" s="163"/>
      <c r="AJ403" s="163"/>
      <c r="AK403" s="163"/>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3"/>
      <c r="AI404" s="163"/>
      <c r="AJ404" s="163"/>
      <c r="AK404" s="163"/>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3"/>
      <c r="AI405" s="163"/>
      <c r="AJ405" s="163"/>
      <c r="AK405" s="163"/>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3"/>
      <c r="AI406" s="163"/>
      <c r="AJ406" s="163"/>
      <c r="AK406" s="163"/>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3"/>
      <c r="AI407" s="163"/>
      <c r="AJ407" s="163"/>
      <c r="AK407" s="163"/>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3"/>
      <c r="AI408" s="163"/>
      <c r="AJ408" s="163"/>
      <c r="AK408" s="163"/>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3"/>
      <c r="AI409" s="163"/>
      <c r="AJ409" s="163"/>
      <c r="AK409" s="163"/>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3"/>
      <c r="AI410" s="163"/>
      <c r="AJ410" s="163"/>
      <c r="AK410" s="163"/>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3"/>
      <c r="AI411" s="163"/>
      <c r="AJ411" s="163"/>
      <c r="AK411" s="163"/>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3"/>
      <c r="AI412" s="163"/>
      <c r="AJ412" s="163"/>
      <c r="AK412" s="163"/>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3"/>
      <c r="AI413" s="163"/>
      <c r="AJ413" s="163"/>
      <c r="AK413" s="163"/>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3"/>
      <c r="AI414" s="163"/>
      <c r="AJ414" s="163"/>
      <c r="AK414" s="163"/>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3"/>
      <c r="AI415" s="163"/>
      <c r="AJ415" s="163"/>
      <c r="AK415" s="163"/>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3"/>
      <c r="AI416" s="163"/>
      <c r="AJ416" s="163"/>
      <c r="AK416" s="163"/>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3"/>
      <c r="AI417" s="163"/>
      <c r="AJ417" s="163"/>
      <c r="AK417" s="163"/>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3"/>
      <c r="AI418" s="163"/>
      <c r="AJ418" s="163"/>
      <c r="AK418" s="163"/>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3"/>
      <c r="AI419" s="163"/>
      <c r="AJ419" s="163"/>
      <c r="AK419" s="163"/>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3"/>
      <c r="AI420" s="163"/>
      <c r="AJ420" s="163"/>
      <c r="AK420" s="163"/>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3"/>
      <c r="AI421" s="163"/>
      <c r="AJ421" s="163"/>
      <c r="AK421" s="163"/>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3"/>
      <c r="AI422" s="163"/>
      <c r="AJ422" s="163"/>
      <c r="AK422" s="163"/>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3"/>
      <c r="AI423" s="163"/>
      <c r="AJ423" s="163"/>
      <c r="AK423" s="163"/>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3"/>
      <c r="AI424" s="163"/>
      <c r="AJ424" s="163"/>
      <c r="AK424" s="163"/>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3"/>
      <c r="AI425" s="163"/>
      <c r="AJ425" s="163"/>
      <c r="AK425" s="163"/>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3"/>
      <c r="AI426" s="163"/>
      <c r="AJ426" s="163"/>
      <c r="AK426" s="163"/>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3"/>
      <c r="AI427" s="163"/>
      <c r="AJ427" s="163"/>
      <c r="AK427" s="163"/>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3"/>
      <c r="AI428" s="163"/>
      <c r="AJ428" s="163"/>
      <c r="AK428" s="163"/>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3"/>
      <c r="AI429" s="163"/>
      <c r="AJ429" s="163"/>
      <c r="AK429" s="163"/>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3"/>
      <c r="AI430" s="163"/>
      <c r="AJ430" s="163"/>
      <c r="AK430" s="163"/>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3"/>
      <c r="AI431" s="163"/>
      <c r="AJ431" s="163"/>
      <c r="AK431" s="163"/>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3"/>
      <c r="AI432" s="163"/>
      <c r="AJ432" s="163"/>
      <c r="AK432" s="163"/>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3"/>
      <c r="AI433" s="163"/>
      <c r="AJ433" s="163"/>
      <c r="AK433" s="163"/>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3"/>
      <c r="AI434" s="163"/>
      <c r="AJ434" s="163"/>
      <c r="AK434" s="163"/>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3"/>
      <c r="AI435" s="163"/>
      <c r="AJ435" s="163"/>
      <c r="AK435" s="163"/>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3"/>
      <c r="AI436" s="163"/>
      <c r="AJ436" s="163"/>
      <c r="AK436" s="163"/>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3"/>
      <c r="AI437" s="163"/>
      <c r="AJ437" s="163"/>
      <c r="AK437" s="163"/>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3"/>
      <c r="AI438" s="163"/>
      <c r="AJ438" s="163"/>
      <c r="AK438" s="163"/>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3"/>
      <c r="AI439" s="163"/>
      <c r="AJ439" s="163"/>
      <c r="AK439" s="163"/>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3"/>
      <c r="AI440" s="163"/>
      <c r="AJ440" s="163"/>
      <c r="AK440" s="163"/>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3"/>
      <c r="AI441" s="163"/>
      <c r="AJ441" s="163"/>
      <c r="AK441" s="163"/>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3"/>
      <c r="AI442" s="163"/>
      <c r="AJ442" s="163"/>
      <c r="AK442" s="163"/>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3"/>
      <c r="AI443" s="163"/>
      <c r="AJ443" s="163"/>
      <c r="AK443" s="163"/>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3"/>
      <c r="AI444" s="163"/>
      <c r="AJ444" s="163"/>
      <c r="AK444" s="163"/>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3"/>
      <c r="AI445" s="163"/>
      <c r="AJ445" s="163"/>
      <c r="AK445" s="163"/>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3"/>
      <c r="AI446" s="163"/>
      <c r="AJ446" s="163"/>
      <c r="AK446" s="163"/>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3"/>
      <c r="AI447" s="163"/>
      <c r="AJ447" s="163"/>
      <c r="AK447" s="163"/>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3"/>
      <c r="AI448" s="163"/>
      <c r="AJ448" s="163"/>
      <c r="AK448" s="163"/>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3"/>
      <c r="AI449" s="163"/>
      <c r="AJ449" s="163"/>
      <c r="AK449" s="163"/>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3"/>
      <c r="AI450" s="163"/>
      <c r="AJ450" s="163"/>
      <c r="AK450" s="163"/>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3"/>
      <c r="AI451" s="163"/>
      <c r="AJ451" s="163"/>
      <c r="AK451" s="163"/>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3"/>
      <c r="AI452" s="163"/>
      <c r="AJ452" s="163"/>
      <c r="AK452" s="163"/>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3"/>
      <c r="AI453" s="163"/>
      <c r="AJ453" s="163"/>
      <c r="AK453" s="163"/>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3"/>
      <c r="AI454" s="163"/>
      <c r="AJ454" s="163"/>
      <c r="AK454" s="163"/>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3"/>
      <c r="AI455" s="163"/>
      <c r="AJ455" s="163"/>
      <c r="AK455" s="163"/>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3"/>
      <c r="AI456" s="163"/>
      <c r="AJ456" s="163"/>
      <c r="AK456" s="163"/>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3"/>
      <c r="AI457" s="163"/>
      <c r="AJ457" s="163"/>
      <c r="AK457" s="163"/>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3"/>
      <c r="AI458" s="163"/>
      <c r="AJ458" s="163"/>
      <c r="AK458" s="163"/>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3"/>
      <c r="AI459" s="163"/>
      <c r="AJ459" s="163"/>
      <c r="AK459" s="163"/>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3"/>
      <c r="AI460" s="163"/>
      <c r="AJ460" s="163"/>
      <c r="AK460" s="163"/>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3"/>
      <c r="AI461" s="163"/>
      <c r="AJ461" s="163"/>
      <c r="AK461" s="163"/>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3"/>
      <c r="AI462" s="163"/>
      <c r="AJ462" s="163"/>
      <c r="AK462" s="163"/>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3"/>
      <c r="AI463" s="163"/>
      <c r="AJ463" s="163"/>
      <c r="AK463" s="163"/>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3"/>
      <c r="AI464" s="163"/>
      <c r="AJ464" s="163"/>
      <c r="AK464" s="163"/>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3"/>
      <c r="AI465" s="163"/>
      <c r="AJ465" s="163"/>
      <c r="AK465" s="163"/>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3"/>
      <c r="AI466" s="163"/>
      <c r="AJ466" s="163"/>
      <c r="AK466" s="163"/>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3"/>
      <c r="AI467" s="163"/>
      <c r="AJ467" s="163"/>
      <c r="AK467" s="163"/>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3"/>
      <c r="AI468" s="163"/>
      <c r="AJ468" s="163"/>
      <c r="AK468" s="163"/>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3"/>
      <c r="AI469" s="163"/>
      <c r="AJ469" s="163"/>
      <c r="AK469" s="163"/>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3"/>
      <c r="AI470" s="163"/>
      <c r="AJ470" s="163"/>
      <c r="AK470" s="163"/>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3"/>
      <c r="AI471" s="163"/>
      <c r="AJ471" s="163"/>
      <c r="AK471" s="163"/>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3"/>
      <c r="AI472" s="163"/>
      <c r="AJ472" s="163"/>
      <c r="AK472" s="163"/>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3"/>
      <c r="AI473" s="163"/>
      <c r="AJ473" s="163"/>
      <c r="AK473" s="163"/>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3"/>
      <c r="AI474" s="163"/>
      <c r="AJ474" s="163"/>
      <c r="AK474" s="163"/>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3"/>
      <c r="AI475" s="163"/>
      <c r="AJ475" s="163"/>
      <c r="AK475" s="163"/>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3"/>
      <c r="AI476" s="163"/>
      <c r="AJ476" s="163"/>
      <c r="AK476" s="163"/>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3"/>
      <c r="AI477" s="163"/>
      <c r="AJ477" s="163"/>
      <c r="AK477" s="163"/>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3"/>
      <c r="AI478" s="163"/>
      <c r="AJ478" s="163"/>
      <c r="AK478" s="163"/>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3"/>
      <c r="AI479" s="163"/>
      <c r="AJ479" s="163"/>
      <c r="AK479" s="163"/>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3"/>
      <c r="AI480" s="163"/>
      <c r="AJ480" s="163"/>
      <c r="AK480" s="163"/>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3"/>
      <c r="AI481" s="163"/>
      <c r="AJ481" s="163"/>
      <c r="AK481" s="163"/>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3"/>
      <c r="AI482" s="163"/>
      <c r="AJ482" s="163"/>
      <c r="AK482" s="163"/>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3"/>
      <c r="AI483" s="163"/>
      <c r="AJ483" s="163"/>
      <c r="AK483" s="163"/>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3"/>
      <c r="AI484" s="163"/>
      <c r="AJ484" s="163"/>
      <c r="AK484" s="163"/>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3"/>
      <c r="AI485" s="163"/>
      <c r="AJ485" s="163"/>
      <c r="AK485" s="163"/>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3"/>
      <c r="AI486" s="163"/>
      <c r="AJ486" s="163"/>
      <c r="AK486" s="163"/>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3"/>
      <c r="AI487" s="163"/>
      <c r="AJ487" s="163"/>
      <c r="AK487" s="163"/>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3"/>
      <c r="AI488" s="163"/>
      <c r="AJ488" s="163"/>
      <c r="AK488" s="163"/>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3"/>
      <c r="AI489" s="163"/>
      <c r="AJ489" s="163"/>
      <c r="AK489" s="163"/>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3"/>
      <c r="AI490" s="163"/>
      <c r="AJ490" s="163"/>
      <c r="AK490" s="163"/>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3"/>
      <c r="AI491" s="163"/>
      <c r="AJ491" s="163"/>
      <c r="AK491" s="163"/>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3"/>
      <c r="AI492" s="163"/>
      <c r="AJ492" s="163"/>
      <c r="AK492" s="163"/>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3"/>
      <c r="AI493" s="163"/>
      <c r="AJ493" s="163"/>
      <c r="AK493" s="163"/>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3"/>
      <c r="AI494" s="163"/>
      <c r="AJ494" s="163"/>
      <c r="AK494" s="163"/>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3"/>
      <c r="AI495" s="163"/>
      <c r="AJ495" s="163"/>
      <c r="AK495" s="163"/>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3"/>
      <c r="AI496" s="163"/>
      <c r="AJ496" s="163"/>
      <c r="AK496" s="163"/>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3"/>
      <c r="AI497" s="163"/>
      <c r="AJ497" s="163"/>
      <c r="AK497" s="163"/>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3"/>
      <c r="AI498" s="163"/>
      <c r="AJ498" s="163"/>
      <c r="AK498" s="163"/>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3"/>
      <c r="AI499" s="163"/>
      <c r="AJ499" s="163"/>
      <c r="AK499" s="163"/>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3"/>
      <c r="AI500" s="163"/>
      <c r="AJ500" s="163"/>
      <c r="AK500" s="163"/>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3"/>
      <c r="AI501" s="163"/>
      <c r="AJ501" s="163"/>
      <c r="AK501" s="163"/>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3"/>
      <c r="AI502" s="163"/>
      <c r="AJ502" s="163"/>
      <c r="AK502" s="163"/>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3"/>
      <c r="AI503" s="163"/>
      <c r="AJ503" s="163"/>
      <c r="AK503" s="163"/>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3"/>
      <c r="AI504" s="163"/>
      <c r="AJ504" s="163"/>
      <c r="AK504" s="163"/>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3"/>
      <c r="AI505" s="163"/>
      <c r="AJ505" s="163"/>
      <c r="AK505" s="163"/>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3"/>
      <c r="AI506" s="163"/>
      <c r="AJ506" s="163"/>
      <c r="AK506" s="163"/>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3"/>
      <c r="AI507" s="163"/>
      <c r="AJ507" s="163"/>
      <c r="AK507" s="163"/>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3"/>
      <c r="AI508" s="163"/>
      <c r="AJ508" s="163"/>
      <c r="AK508" s="163"/>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3"/>
      <c r="AI509" s="163"/>
      <c r="AJ509" s="163"/>
      <c r="AK509" s="163"/>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3"/>
      <c r="AI510" s="163"/>
      <c r="AJ510" s="163"/>
      <c r="AK510" s="163"/>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3"/>
      <c r="AI511" s="163"/>
      <c r="AJ511" s="163"/>
      <c r="AK511" s="163"/>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3"/>
      <c r="AI512" s="163"/>
      <c r="AJ512" s="163"/>
      <c r="AK512" s="163"/>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3"/>
      <c r="AI513" s="163"/>
      <c r="AJ513" s="163"/>
      <c r="AK513" s="163"/>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3"/>
      <c r="AI514" s="163"/>
      <c r="AJ514" s="163"/>
      <c r="AK514" s="163"/>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3"/>
      <c r="AI515" s="163"/>
      <c r="AJ515" s="163"/>
      <c r="AK515" s="163"/>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3"/>
      <c r="AI516" s="163"/>
      <c r="AJ516" s="163"/>
      <c r="AK516" s="163"/>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3"/>
      <c r="AI517" s="163"/>
      <c r="AJ517" s="163"/>
      <c r="AK517" s="163"/>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3"/>
      <c r="AI518" s="163"/>
      <c r="AJ518" s="163"/>
      <c r="AK518" s="163"/>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3"/>
      <c r="AI519" s="163"/>
      <c r="AJ519" s="163"/>
      <c r="AK519" s="163"/>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3"/>
      <c r="AI520" s="163"/>
      <c r="AJ520" s="163"/>
      <c r="AK520" s="163"/>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3"/>
      <c r="AI521" s="163"/>
      <c r="AJ521" s="163"/>
      <c r="AK521" s="163"/>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3"/>
      <c r="AI522" s="163"/>
      <c r="AJ522" s="163"/>
      <c r="AK522" s="163"/>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3"/>
      <c r="AI523" s="163"/>
      <c r="AJ523" s="163"/>
      <c r="AK523" s="163"/>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3"/>
      <c r="AI524" s="163"/>
      <c r="AJ524" s="163"/>
      <c r="AK524" s="163"/>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3"/>
      <c r="AI525" s="163"/>
      <c r="AJ525" s="163"/>
      <c r="AK525" s="163"/>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3"/>
      <c r="AI526" s="163"/>
      <c r="AJ526" s="163"/>
      <c r="AK526" s="163"/>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3"/>
      <c r="AI527" s="163"/>
      <c r="AJ527" s="163"/>
      <c r="AK527" s="163"/>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3"/>
      <c r="AI528" s="163"/>
      <c r="AJ528" s="163"/>
      <c r="AK528" s="163"/>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3"/>
      <c r="AI529" s="163"/>
      <c r="AJ529" s="163"/>
      <c r="AK529" s="163"/>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3"/>
      <c r="AI530" s="163"/>
      <c r="AJ530" s="163"/>
      <c r="AK530" s="163"/>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3"/>
      <c r="AI531" s="163"/>
      <c r="AJ531" s="163"/>
      <c r="AK531" s="163"/>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3"/>
      <c r="AI532" s="163"/>
      <c r="AJ532" s="163"/>
      <c r="AK532" s="163"/>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3"/>
      <c r="AI533" s="163"/>
      <c r="AJ533" s="163"/>
      <c r="AK533" s="163"/>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3"/>
      <c r="AI534" s="163"/>
      <c r="AJ534" s="163"/>
      <c r="AK534" s="163"/>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3"/>
      <c r="AI535" s="163"/>
      <c r="AJ535" s="163"/>
      <c r="AK535" s="163"/>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3"/>
      <c r="AI536" s="163"/>
      <c r="AJ536" s="163"/>
      <c r="AK536" s="163"/>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3"/>
      <c r="AI537" s="163"/>
      <c r="AJ537" s="163"/>
      <c r="AK537" s="163"/>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3"/>
      <c r="AI538" s="163"/>
      <c r="AJ538" s="163"/>
      <c r="AK538" s="163"/>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3"/>
      <c r="AI539" s="163"/>
      <c r="AJ539" s="163"/>
      <c r="AK539" s="163"/>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3"/>
      <c r="AI540" s="163"/>
      <c r="AJ540" s="163"/>
      <c r="AK540" s="163"/>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3"/>
      <c r="AI541" s="163"/>
      <c r="AJ541" s="163"/>
      <c r="AK541" s="163"/>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3"/>
      <c r="AI542" s="163"/>
      <c r="AJ542" s="163"/>
      <c r="AK542" s="163"/>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3"/>
      <c r="AI543" s="163"/>
      <c r="AJ543" s="163"/>
      <c r="AK543" s="163"/>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3"/>
      <c r="AI544" s="163"/>
      <c r="AJ544" s="163"/>
      <c r="AK544" s="163"/>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3"/>
      <c r="AI545" s="163"/>
      <c r="AJ545" s="163"/>
      <c r="AK545" s="163"/>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3"/>
      <c r="AI546" s="163"/>
      <c r="AJ546" s="163"/>
      <c r="AK546" s="163"/>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3"/>
      <c r="AI547" s="163"/>
      <c r="AJ547" s="163"/>
      <c r="AK547" s="163"/>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3"/>
      <c r="AI548" s="163"/>
      <c r="AJ548" s="163"/>
      <c r="AK548" s="163"/>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3"/>
      <c r="AI549" s="163"/>
      <c r="AJ549" s="163"/>
      <c r="AK549" s="163"/>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3"/>
      <c r="AI550" s="163"/>
      <c r="AJ550" s="163"/>
      <c r="AK550" s="163"/>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3"/>
      <c r="AI551" s="163"/>
      <c r="AJ551" s="163"/>
      <c r="AK551" s="163"/>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3"/>
      <c r="AI552" s="163"/>
      <c r="AJ552" s="163"/>
      <c r="AK552" s="163"/>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3"/>
      <c r="AI553" s="163"/>
      <c r="AJ553" s="163"/>
      <c r="AK553" s="163"/>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3"/>
      <c r="AI554" s="163"/>
      <c r="AJ554" s="163"/>
      <c r="AK554" s="163"/>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3"/>
      <c r="AI555" s="163"/>
      <c r="AJ555" s="163"/>
      <c r="AK555" s="163"/>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3"/>
      <c r="AI556" s="163"/>
      <c r="AJ556" s="163"/>
      <c r="AK556" s="163"/>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3"/>
      <c r="AI557" s="163"/>
      <c r="AJ557" s="163"/>
      <c r="AK557" s="163"/>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3"/>
      <c r="AI558" s="163"/>
      <c r="AJ558" s="163"/>
      <c r="AK558" s="163"/>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3"/>
      <c r="AI559" s="163"/>
      <c r="AJ559" s="163"/>
      <c r="AK559" s="163"/>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3"/>
      <c r="AI560" s="163"/>
      <c r="AJ560" s="163"/>
      <c r="AK560" s="163"/>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3"/>
      <c r="AI561" s="163"/>
      <c r="AJ561" s="163"/>
      <c r="AK561" s="163"/>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3"/>
      <c r="AI562" s="163"/>
      <c r="AJ562" s="163"/>
      <c r="AK562" s="163"/>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3"/>
      <c r="AI563" s="163"/>
      <c r="AJ563" s="163"/>
      <c r="AK563" s="163"/>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3"/>
      <c r="AI564" s="163"/>
      <c r="AJ564" s="163"/>
      <c r="AK564" s="163"/>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3"/>
      <c r="AI565" s="163"/>
      <c r="AJ565" s="163"/>
      <c r="AK565" s="163"/>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3"/>
      <c r="AI566" s="163"/>
      <c r="AJ566" s="163"/>
      <c r="AK566" s="163"/>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3"/>
      <c r="AI567" s="163"/>
      <c r="AJ567" s="163"/>
      <c r="AK567" s="163"/>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3"/>
      <c r="AI568" s="163"/>
      <c r="AJ568" s="163"/>
      <c r="AK568" s="163"/>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3"/>
      <c r="AI569" s="163"/>
      <c r="AJ569" s="163"/>
      <c r="AK569" s="163"/>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3"/>
      <c r="AI570" s="163"/>
      <c r="AJ570" s="163"/>
      <c r="AK570" s="163"/>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3"/>
      <c r="AI571" s="163"/>
      <c r="AJ571" s="163"/>
      <c r="AK571" s="163"/>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3"/>
      <c r="AI572" s="163"/>
      <c r="AJ572" s="163"/>
      <c r="AK572" s="163"/>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3"/>
      <c r="AI573" s="163"/>
      <c r="AJ573" s="163"/>
      <c r="AK573" s="163"/>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3"/>
      <c r="AI574" s="163"/>
      <c r="AJ574" s="163"/>
      <c r="AK574" s="163"/>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3"/>
      <c r="AI575" s="163"/>
      <c r="AJ575" s="163"/>
      <c r="AK575" s="163"/>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3"/>
      <c r="AI576" s="163"/>
      <c r="AJ576" s="163"/>
      <c r="AK576" s="163"/>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3"/>
      <c r="AI577" s="163"/>
      <c r="AJ577" s="163"/>
      <c r="AK577" s="163"/>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3"/>
      <c r="AI578" s="163"/>
      <c r="AJ578" s="163"/>
      <c r="AK578" s="163"/>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3"/>
      <c r="AI579" s="163"/>
      <c r="AJ579" s="163"/>
      <c r="AK579" s="163"/>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3"/>
      <c r="AI580" s="163"/>
      <c r="AJ580" s="163"/>
      <c r="AK580" s="163"/>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3"/>
      <c r="AI581" s="163"/>
      <c r="AJ581" s="163"/>
      <c r="AK581" s="163"/>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3"/>
      <c r="AI582" s="163"/>
      <c r="AJ582" s="163"/>
      <c r="AK582" s="163"/>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3"/>
      <c r="AI583" s="163"/>
      <c r="AJ583" s="163"/>
      <c r="AK583" s="163"/>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3"/>
      <c r="AI584" s="163"/>
      <c r="AJ584" s="163"/>
      <c r="AK584" s="163"/>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3"/>
      <c r="AI585" s="163"/>
      <c r="AJ585" s="163"/>
      <c r="AK585" s="163"/>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3"/>
      <c r="AI586" s="163"/>
      <c r="AJ586" s="163"/>
      <c r="AK586" s="163"/>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3"/>
      <c r="AI587" s="163"/>
      <c r="AJ587" s="163"/>
      <c r="AK587" s="163"/>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3"/>
      <c r="AI588" s="163"/>
      <c r="AJ588" s="163"/>
      <c r="AK588" s="163"/>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3"/>
      <c r="AI589" s="163"/>
      <c r="AJ589" s="163"/>
      <c r="AK589" s="163"/>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3"/>
      <c r="AI590" s="163"/>
      <c r="AJ590" s="163"/>
      <c r="AK590" s="163"/>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3"/>
      <c r="AI591" s="163"/>
      <c r="AJ591" s="163"/>
      <c r="AK591" s="163"/>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3"/>
      <c r="AI592" s="163"/>
      <c r="AJ592" s="163"/>
      <c r="AK592" s="163"/>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3"/>
      <c r="AI593" s="163"/>
      <c r="AJ593" s="163"/>
      <c r="AK593" s="163"/>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3"/>
      <c r="AI594" s="163"/>
      <c r="AJ594" s="163"/>
      <c r="AK594" s="163"/>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3"/>
      <c r="AI595" s="163"/>
      <c r="AJ595" s="163"/>
      <c r="AK595" s="163"/>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3"/>
      <c r="AI596" s="163"/>
      <c r="AJ596" s="163"/>
      <c r="AK596" s="163"/>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3"/>
      <c r="AI597" s="163"/>
      <c r="AJ597" s="163"/>
      <c r="AK597" s="163"/>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3"/>
      <c r="AI598" s="163"/>
      <c r="AJ598" s="163"/>
      <c r="AK598" s="163"/>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3"/>
      <c r="AI599" s="163"/>
      <c r="AJ599" s="163"/>
      <c r="AK599" s="163"/>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3"/>
      <c r="AI600" s="163"/>
      <c r="AJ600" s="163"/>
      <c r="AK600" s="163"/>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3"/>
      <c r="AI601" s="163"/>
      <c r="AJ601" s="163"/>
      <c r="AK601" s="163"/>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3"/>
      <c r="AI602" s="163"/>
      <c r="AJ602" s="163"/>
      <c r="AK602" s="163"/>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3"/>
      <c r="AI603" s="163"/>
      <c r="AJ603" s="163"/>
      <c r="AK603" s="163"/>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3"/>
      <c r="AI604" s="163"/>
      <c r="AJ604" s="163"/>
      <c r="AK604" s="163"/>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3"/>
      <c r="AI605" s="163"/>
      <c r="AJ605" s="163"/>
      <c r="AK605" s="163"/>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3"/>
      <c r="AI606" s="163"/>
      <c r="AJ606" s="163"/>
      <c r="AK606" s="163"/>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3"/>
      <c r="AI607" s="163"/>
      <c r="AJ607" s="163"/>
      <c r="AK607" s="163"/>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3"/>
      <c r="AI608" s="163"/>
      <c r="AJ608" s="163"/>
      <c r="AK608" s="163"/>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3"/>
      <c r="AI609" s="163"/>
      <c r="AJ609" s="163"/>
      <c r="AK609" s="163"/>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3"/>
      <c r="AI610" s="163"/>
      <c r="AJ610" s="163"/>
      <c r="AK610" s="163"/>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3"/>
      <c r="AI611" s="163"/>
      <c r="AJ611" s="163"/>
      <c r="AK611" s="163"/>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3"/>
      <c r="AI612" s="163"/>
      <c r="AJ612" s="163"/>
      <c r="AK612" s="163"/>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3"/>
      <c r="AI613" s="163"/>
      <c r="AJ613" s="163"/>
      <c r="AK613" s="163"/>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3"/>
      <c r="AI614" s="163"/>
      <c r="AJ614" s="163"/>
      <c r="AK614" s="163"/>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3"/>
      <c r="AI615" s="163"/>
      <c r="AJ615" s="163"/>
      <c r="AK615" s="163"/>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3"/>
      <c r="AI616" s="163"/>
      <c r="AJ616" s="163"/>
      <c r="AK616" s="163"/>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3"/>
      <c r="AI617" s="163"/>
      <c r="AJ617" s="163"/>
      <c r="AK617" s="163"/>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3"/>
      <c r="AI618" s="163"/>
      <c r="AJ618" s="163"/>
      <c r="AK618" s="163"/>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3"/>
      <c r="AI619" s="163"/>
      <c r="AJ619" s="163"/>
      <c r="AK619" s="163"/>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3"/>
      <c r="AI620" s="163"/>
      <c r="AJ620" s="163"/>
      <c r="AK620" s="163"/>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3"/>
      <c r="AI621" s="163"/>
      <c r="AJ621" s="163"/>
      <c r="AK621" s="163"/>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3"/>
      <c r="AI622" s="163"/>
      <c r="AJ622" s="163"/>
      <c r="AK622" s="163"/>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3"/>
      <c r="AI623" s="163"/>
      <c r="AJ623" s="163"/>
      <c r="AK623" s="163"/>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3"/>
      <c r="AI624" s="163"/>
      <c r="AJ624" s="163"/>
      <c r="AK624" s="163"/>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3"/>
      <c r="AI625" s="163"/>
      <c r="AJ625" s="163"/>
      <c r="AK625" s="163"/>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3"/>
      <c r="AI626" s="163"/>
      <c r="AJ626" s="163"/>
      <c r="AK626" s="163"/>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3"/>
      <c r="AI627" s="163"/>
      <c r="AJ627" s="163"/>
      <c r="AK627" s="163"/>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3"/>
      <c r="AI628" s="163"/>
      <c r="AJ628" s="163"/>
      <c r="AK628" s="163"/>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3"/>
      <c r="AI629" s="163"/>
      <c r="AJ629" s="163"/>
      <c r="AK629" s="163"/>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3"/>
      <c r="AI630" s="163"/>
      <c r="AJ630" s="163"/>
      <c r="AK630" s="163"/>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3"/>
      <c r="AI631" s="163"/>
      <c r="AJ631" s="163"/>
      <c r="AK631" s="163"/>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3"/>
      <c r="AI632" s="163"/>
      <c r="AJ632" s="163"/>
      <c r="AK632" s="163"/>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3"/>
      <c r="AI633" s="163"/>
      <c r="AJ633" s="163"/>
      <c r="AK633" s="163"/>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3"/>
      <c r="AI634" s="163"/>
      <c r="AJ634" s="163"/>
      <c r="AK634" s="163"/>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3"/>
      <c r="AI635" s="163"/>
      <c r="AJ635" s="163"/>
      <c r="AK635" s="163"/>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3"/>
      <c r="AI636" s="163"/>
      <c r="AJ636" s="163"/>
      <c r="AK636" s="163"/>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3"/>
      <c r="AI637" s="163"/>
      <c r="AJ637" s="163"/>
      <c r="AK637" s="163"/>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3"/>
      <c r="AI638" s="163"/>
      <c r="AJ638" s="163"/>
      <c r="AK638" s="163"/>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3"/>
      <c r="AI639" s="163"/>
      <c r="AJ639" s="163"/>
      <c r="AK639" s="163"/>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3"/>
      <c r="AI640" s="163"/>
      <c r="AJ640" s="163"/>
      <c r="AK640" s="163"/>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3"/>
      <c r="AI641" s="163"/>
      <c r="AJ641" s="163"/>
      <c r="AK641" s="163"/>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3"/>
      <c r="AI642" s="163"/>
      <c r="AJ642" s="163"/>
      <c r="AK642" s="163"/>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3"/>
      <c r="AI643" s="163"/>
      <c r="AJ643" s="163"/>
      <c r="AK643" s="163"/>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3"/>
      <c r="AI644" s="163"/>
      <c r="AJ644" s="163"/>
      <c r="AK644" s="163"/>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3"/>
      <c r="AI645" s="163"/>
      <c r="AJ645" s="163"/>
      <c r="AK645" s="163"/>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3"/>
      <c r="AI646" s="163"/>
      <c r="AJ646" s="163"/>
      <c r="AK646" s="163"/>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3"/>
      <c r="AI647" s="163"/>
      <c r="AJ647" s="163"/>
      <c r="AK647" s="163"/>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3"/>
      <c r="AI648" s="163"/>
      <c r="AJ648" s="163"/>
      <c r="AK648" s="163"/>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3"/>
      <c r="AI649" s="163"/>
      <c r="AJ649" s="163"/>
      <c r="AK649" s="163"/>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3"/>
      <c r="AI650" s="163"/>
      <c r="AJ650" s="163"/>
      <c r="AK650" s="163"/>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3"/>
      <c r="AI651" s="163"/>
      <c r="AJ651" s="163"/>
      <c r="AK651" s="163"/>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3"/>
      <c r="AI652" s="163"/>
      <c r="AJ652" s="163"/>
      <c r="AK652" s="163"/>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3"/>
      <c r="AI653" s="163"/>
      <c r="AJ653" s="163"/>
      <c r="AK653" s="163"/>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3"/>
      <c r="AI654" s="163"/>
      <c r="AJ654" s="163"/>
      <c r="AK654" s="163"/>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3"/>
      <c r="AI655" s="163"/>
      <c r="AJ655" s="163"/>
      <c r="AK655" s="163"/>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3"/>
      <c r="AI656" s="163"/>
      <c r="AJ656" s="163"/>
      <c r="AK656" s="163"/>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3"/>
      <c r="AI657" s="163"/>
      <c r="AJ657" s="163"/>
      <c r="AK657" s="163"/>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3"/>
      <c r="AI658" s="163"/>
      <c r="AJ658" s="163"/>
      <c r="AK658" s="163"/>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3"/>
      <c r="AI659" s="163"/>
      <c r="AJ659" s="163"/>
      <c r="AK659" s="163"/>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3"/>
      <c r="AI660" s="163"/>
      <c r="AJ660" s="163"/>
      <c r="AK660" s="163"/>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3"/>
      <c r="AI661" s="163"/>
      <c r="AJ661" s="163"/>
      <c r="AK661" s="163"/>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3"/>
      <c r="AI662" s="163"/>
      <c r="AJ662" s="163"/>
      <c r="AK662" s="163"/>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3"/>
      <c r="AI663" s="163"/>
      <c r="AJ663" s="163"/>
      <c r="AK663" s="163"/>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3"/>
      <c r="AI664" s="163"/>
      <c r="AJ664" s="163"/>
      <c r="AK664" s="163"/>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3"/>
      <c r="AI665" s="163"/>
      <c r="AJ665" s="163"/>
      <c r="AK665" s="163"/>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3"/>
      <c r="AI666" s="163"/>
      <c r="AJ666" s="163"/>
      <c r="AK666" s="163"/>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3"/>
      <c r="AI667" s="163"/>
      <c r="AJ667" s="163"/>
      <c r="AK667" s="163"/>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3"/>
      <c r="AI668" s="163"/>
      <c r="AJ668" s="163"/>
      <c r="AK668" s="163"/>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3"/>
      <c r="AI669" s="163"/>
      <c r="AJ669" s="163"/>
      <c r="AK669" s="163"/>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3"/>
      <c r="AI670" s="163"/>
      <c r="AJ670" s="163"/>
      <c r="AK670" s="163"/>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3"/>
      <c r="AI671" s="163"/>
      <c r="AJ671" s="163"/>
      <c r="AK671" s="163"/>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3"/>
      <c r="AI672" s="163"/>
      <c r="AJ672" s="163"/>
      <c r="AK672" s="163"/>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3"/>
      <c r="AI673" s="163"/>
      <c r="AJ673" s="163"/>
      <c r="AK673" s="163"/>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3"/>
      <c r="AI674" s="163"/>
      <c r="AJ674" s="163"/>
      <c r="AK674" s="163"/>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3"/>
      <c r="AI675" s="163"/>
      <c r="AJ675" s="163"/>
      <c r="AK675" s="163"/>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3"/>
      <c r="AI676" s="163"/>
      <c r="AJ676" s="163"/>
      <c r="AK676" s="163"/>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3"/>
      <c r="AI677" s="163"/>
      <c r="AJ677" s="163"/>
      <c r="AK677" s="163"/>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3"/>
      <c r="AI678" s="163"/>
      <c r="AJ678" s="163"/>
      <c r="AK678" s="163"/>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3"/>
      <c r="AI679" s="163"/>
      <c r="AJ679" s="163"/>
      <c r="AK679" s="163"/>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3"/>
      <c r="AI680" s="163"/>
      <c r="AJ680" s="163"/>
      <c r="AK680" s="163"/>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3"/>
      <c r="AI681" s="163"/>
      <c r="AJ681" s="163"/>
      <c r="AK681" s="163"/>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3"/>
      <c r="AI682" s="163"/>
      <c r="AJ682" s="163"/>
      <c r="AK682" s="163"/>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3"/>
      <c r="AI683" s="163"/>
      <c r="AJ683" s="163"/>
      <c r="AK683" s="163"/>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3"/>
      <c r="AI684" s="163"/>
      <c r="AJ684" s="163"/>
      <c r="AK684" s="163"/>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3"/>
      <c r="AI685" s="163"/>
      <c r="AJ685" s="163"/>
      <c r="AK685" s="163"/>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3"/>
      <c r="AI686" s="163"/>
      <c r="AJ686" s="163"/>
      <c r="AK686" s="163"/>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3"/>
      <c r="AI687" s="163"/>
      <c r="AJ687" s="163"/>
      <c r="AK687" s="163"/>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3"/>
      <c r="AI688" s="163"/>
      <c r="AJ688" s="163"/>
      <c r="AK688" s="163"/>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3"/>
      <c r="AI689" s="163"/>
      <c r="AJ689" s="163"/>
      <c r="AK689" s="163"/>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3"/>
      <c r="AI690" s="163"/>
      <c r="AJ690" s="163"/>
      <c r="AK690" s="163"/>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3"/>
      <c r="AI691" s="163"/>
      <c r="AJ691" s="163"/>
      <c r="AK691" s="163"/>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3"/>
      <c r="AI692" s="163"/>
      <c r="AJ692" s="163"/>
      <c r="AK692" s="163"/>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3"/>
      <c r="AI693" s="163"/>
      <c r="AJ693" s="163"/>
      <c r="AK693" s="163"/>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3"/>
      <c r="AI694" s="163"/>
      <c r="AJ694" s="163"/>
      <c r="AK694" s="163"/>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3"/>
      <c r="AI695" s="163"/>
      <c r="AJ695" s="163"/>
      <c r="AK695" s="163"/>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3"/>
      <c r="AI696" s="163"/>
      <c r="AJ696" s="163"/>
      <c r="AK696" s="163"/>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3"/>
      <c r="AI697" s="163"/>
      <c r="AJ697" s="163"/>
      <c r="AK697" s="163"/>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3"/>
      <c r="AI698" s="163"/>
      <c r="AJ698" s="163"/>
      <c r="AK698" s="163"/>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3"/>
      <c r="AI699" s="163"/>
      <c r="AJ699" s="163"/>
      <c r="AK699" s="163"/>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3"/>
      <c r="AI700" s="163"/>
      <c r="AJ700" s="163"/>
      <c r="AK700" s="163"/>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3"/>
      <c r="AI701" s="163"/>
      <c r="AJ701" s="163"/>
      <c r="AK701" s="163"/>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3"/>
      <c r="AI702" s="163"/>
      <c r="AJ702" s="163"/>
      <c r="AK702" s="163"/>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3"/>
      <c r="AI703" s="163"/>
      <c r="AJ703" s="163"/>
      <c r="AK703" s="163"/>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3"/>
      <c r="AI704" s="163"/>
      <c r="AJ704" s="163"/>
      <c r="AK704" s="163"/>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3"/>
      <c r="AI705" s="163"/>
      <c r="AJ705" s="163"/>
      <c r="AK705" s="163"/>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3"/>
      <c r="AI706" s="163"/>
      <c r="AJ706" s="163"/>
      <c r="AK706" s="163"/>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3"/>
      <c r="AI707" s="163"/>
      <c r="AJ707" s="163"/>
      <c r="AK707" s="163"/>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3"/>
      <c r="AI708" s="163"/>
      <c r="AJ708" s="163"/>
      <c r="AK708" s="163"/>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3"/>
      <c r="AI709" s="163"/>
      <c r="AJ709" s="163"/>
      <c r="AK709" s="163"/>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3"/>
      <c r="AI710" s="163"/>
      <c r="AJ710" s="163"/>
      <c r="AK710" s="163"/>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3"/>
      <c r="AI711" s="163"/>
      <c r="AJ711" s="163"/>
      <c r="AK711" s="163"/>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3"/>
      <c r="AI712" s="163"/>
      <c r="AJ712" s="163"/>
      <c r="AK712" s="163"/>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3"/>
      <c r="AI713" s="163"/>
      <c r="AJ713" s="163"/>
      <c r="AK713" s="163"/>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3"/>
      <c r="AI714" s="163"/>
      <c r="AJ714" s="163"/>
      <c r="AK714" s="163"/>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3"/>
      <c r="AI715" s="163"/>
      <c r="AJ715" s="163"/>
      <c r="AK715" s="163"/>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3"/>
      <c r="AI716" s="163"/>
      <c r="AJ716" s="163"/>
      <c r="AK716" s="163"/>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3"/>
      <c r="AI717" s="163"/>
      <c r="AJ717" s="163"/>
      <c r="AK717" s="163"/>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3"/>
      <c r="AI718" s="163"/>
      <c r="AJ718" s="163"/>
      <c r="AK718" s="163"/>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3"/>
      <c r="AI719" s="163"/>
      <c r="AJ719" s="163"/>
      <c r="AK719" s="163"/>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3"/>
      <c r="AI720" s="163"/>
      <c r="AJ720" s="163"/>
      <c r="AK720" s="163"/>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3"/>
      <c r="AI721" s="163"/>
      <c r="AJ721" s="163"/>
      <c r="AK721" s="163"/>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3"/>
      <c r="AI722" s="163"/>
      <c r="AJ722" s="163"/>
      <c r="AK722" s="163"/>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3"/>
      <c r="AI723" s="163"/>
      <c r="AJ723" s="163"/>
      <c r="AK723" s="163"/>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3"/>
      <c r="AI724" s="163"/>
      <c r="AJ724" s="163"/>
      <c r="AK724" s="163"/>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3"/>
      <c r="AI725" s="163"/>
      <c r="AJ725" s="163"/>
      <c r="AK725" s="163"/>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3"/>
      <c r="AI726" s="163"/>
      <c r="AJ726" s="163"/>
      <c r="AK726" s="163"/>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3"/>
      <c r="AI727" s="163"/>
      <c r="AJ727" s="163"/>
      <c r="AK727" s="163"/>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3"/>
      <c r="AI728" s="163"/>
      <c r="AJ728" s="163"/>
      <c r="AK728" s="163"/>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3"/>
      <c r="AI729" s="163"/>
      <c r="AJ729" s="163"/>
      <c r="AK729" s="163"/>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3"/>
      <c r="AI730" s="163"/>
      <c r="AJ730" s="163"/>
      <c r="AK730" s="163"/>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3"/>
      <c r="AI731" s="163"/>
      <c r="AJ731" s="163"/>
      <c r="AK731" s="163"/>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3"/>
      <c r="AI732" s="163"/>
      <c r="AJ732" s="163"/>
      <c r="AK732" s="163"/>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3"/>
      <c r="AI733" s="163"/>
      <c r="AJ733" s="163"/>
      <c r="AK733" s="163"/>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3"/>
      <c r="AI734" s="163"/>
      <c r="AJ734" s="163"/>
      <c r="AK734" s="163"/>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3"/>
      <c r="AI735" s="163"/>
      <c r="AJ735" s="163"/>
      <c r="AK735" s="163"/>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3"/>
      <c r="AI736" s="163"/>
      <c r="AJ736" s="163"/>
      <c r="AK736" s="163"/>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3"/>
      <c r="AI737" s="163"/>
      <c r="AJ737" s="163"/>
      <c r="AK737" s="163"/>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3"/>
      <c r="AI738" s="163"/>
      <c r="AJ738" s="163"/>
      <c r="AK738" s="163"/>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3"/>
      <c r="AI739" s="163"/>
      <c r="AJ739" s="163"/>
      <c r="AK739" s="163"/>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3"/>
      <c r="AI740" s="163"/>
      <c r="AJ740" s="163"/>
      <c r="AK740" s="163"/>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3"/>
      <c r="AI741" s="163"/>
      <c r="AJ741" s="163"/>
      <c r="AK741" s="163"/>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3"/>
      <c r="AI742" s="163"/>
      <c r="AJ742" s="163"/>
      <c r="AK742" s="163"/>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3"/>
      <c r="AI743" s="163"/>
      <c r="AJ743" s="163"/>
      <c r="AK743" s="163"/>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3"/>
      <c r="AI744" s="163"/>
      <c r="AJ744" s="163"/>
      <c r="AK744" s="163"/>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3"/>
      <c r="AI745" s="163"/>
      <c r="AJ745" s="163"/>
      <c r="AK745" s="163"/>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3"/>
      <c r="AI746" s="163"/>
      <c r="AJ746" s="163"/>
      <c r="AK746" s="163"/>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3"/>
      <c r="AI747" s="163"/>
      <c r="AJ747" s="163"/>
      <c r="AK747" s="163"/>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3"/>
      <c r="AI748" s="163"/>
      <c r="AJ748" s="163"/>
      <c r="AK748" s="163"/>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3"/>
      <c r="AI749" s="163"/>
      <c r="AJ749" s="163"/>
      <c r="AK749" s="163"/>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3"/>
      <c r="AI750" s="163"/>
      <c r="AJ750" s="163"/>
      <c r="AK750" s="163"/>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3"/>
      <c r="AI751" s="163"/>
      <c r="AJ751" s="163"/>
      <c r="AK751" s="163"/>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3"/>
      <c r="AI752" s="163"/>
      <c r="AJ752" s="163"/>
      <c r="AK752" s="163"/>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3"/>
      <c r="AI753" s="163"/>
      <c r="AJ753" s="163"/>
      <c r="AK753" s="163"/>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3"/>
      <c r="AI754" s="163"/>
      <c r="AJ754" s="163"/>
      <c r="AK754" s="163"/>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3"/>
      <c r="AI755" s="163"/>
      <c r="AJ755" s="163"/>
      <c r="AK755" s="163"/>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3"/>
      <c r="AI756" s="163"/>
      <c r="AJ756" s="163"/>
      <c r="AK756" s="163"/>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3"/>
      <c r="AI757" s="163"/>
      <c r="AJ757" s="163"/>
      <c r="AK757" s="163"/>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3"/>
      <c r="AI758" s="163"/>
      <c r="AJ758" s="163"/>
      <c r="AK758" s="163"/>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3"/>
      <c r="AI759" s="163"/>
      <c r="AJ759" s="163"/>
      <c r="AK759" s="163"/>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3"/>
      <c r="AI760" s="163"/>
      <c r="AJ760" s="163"/>
      <c r="AK760" s="163"/>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3"/>
      <c r="AI761" s="163"/>
      <c r="AJ761" s="163"/>
      <c r="AK761" s="163"/>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3"/>
      <c r="AI762" s="163"/>
      <c r="AJ762" s="163"/>
      <c r="AK762" s="163"/>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3"/>
      <c r="AI763" s="163"/>
      <c r="AJ763" s="163"/>
      <c r="AK763" s="163"/>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3"/>
      <c r="AI764" s="163"/>
      <c r="AJ764" s="163"/>
      <c r="AK764" s="163"/>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3"/>
      <c r="AI765" s="163"/>
      <c r="AJ765" s="163"/>
      <c r="AK765" s="163"/>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3"/>
      <c r="AI766" s="163"/>
      <c r="AJ766" s="163"/>
      <c r="AK766" s="163"/>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3"/>
      <c r="AI767" s="163"/>
      <c r="AJ767" s="163"/>
      <c r="AK767" s="163"/>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3"/>
      <c r="AI768" s="163"/>
      <c r="AJ768" s="163"/>
      <c r="AK768" s="163"/>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3"/>
      <c r="AI769" s="163"/>
      <c r="AJ769" s="163"/>
      <c r="AK769" s="163"/>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3"/>
      <c r="AI770" s="163"/>
      <c r="AJ770" s="163"/>
      <c r="AK770" s="163"/>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3"/>
      <c r="AI771" s="163"/>
      <c r="AJ771" s="163"/>
      <c r="AK771" s="163"/>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3"/>
      <c r="AI772" s="163"/>
      <c r="AJ772" s="163"/>
      <c r="AK772" s="163"/>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3"/>
      <c r="AI773" s="163"/>
      <c r="AJ773" s="163"/>
      <c r="AK773" s="163"/>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3"/>
      <c r="AI774" s="163"/>
      <c r="AJ774" s="163"/>
      <c r="AK774" s="163"/>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3"/>
      <c r="AI775" s="163"/>
      <c r="AJ775" s="163"/>
      <c r="AK775" s="163"/>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3"/>
      <c r="AI776" s="163"/>
      <c r="AJ776" s="163"/>
      <c r="AK776" s="163"/>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3"/>
      <c r="AI777" s="163"/>
      <c r="AJ777" s="163"/>
      <c r="AK777" s="163"/>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3"/>
      <c r="AI778" s="163"/>
      <c r="AJ778" s="163"/>
      <c r="AK778" s="163"/>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3"/>
      <c r="AI779" s="163"/>
      <c r="AJ779" s="163"/>
      <c r="AK779" s="163"/>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3"/>
      <c r="AI780" s="163"/>
      <c r="AJ780" s="163"/>
      <c r="AK780" s="163"/>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3"/>
      <c r="AI781" s="163"/>
      <c r="AJ781" s="163"/>
      <c r="AK781" s="163"/>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3"/>
      <c r="AI782" s="163"/>
      <c r="AJ782" s="163"/>
      <c r="AK782" s="163"/>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3"/>
      <c r="AI783" s="163"/>
      <c r="AJ783" s="163"/>
      <c r="AK783" s="163"/>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3"/>
      <c r="AI784" s="163"/>
      <c r="AJ784" s="163"/>
      <c r="AK784" s="163"/>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3"/>
      <c r="AI785" s="163"/>
      <c r="AJ785" s="163"/>
      <c r="AK785" s="163"/>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3"/>
      <c r="AI786" s="163"/>
      <c r="AJ786" s="163"/>
      <c r="AK786" s="163"/>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3"/>
      <c r="AI787" s="163"/>
      <c r="AJ787" s="163"/>
      <c r="AK787" s="163"/>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3"/>
      <c r="AI788" s="163"/>
      <c r="AJ788" s="163"/>
      <c r="AK788" s="163"/>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3"/>
      <c r="AI789" s="163"/>
      <c r="AJ789" s="163"/>
      <c r="AK789" s="163"/>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3"/>
      <c r="AI790" s="163"/>
      <c r="AJ790" s="163"/>
      <c r="AK790" s="163"/>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3"/>
      <c r="AI791" s="163"/>
      <c r="AJ791" s="163"/>
      <c r="AK791" s="163"/>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3"/>
      <c r="AI792" s="163"/>
      <c r="AJ792" s="163"/>
      <c r="AK792" s="163"/>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3"/>
      <c r="AI793" s="163"/>
      <c r="AJ793" s="163"/>
      <c r="AK793" s="163"/>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3"/>
      <c r="AI794" s="163"/>
      <c r="AJ794" s="163"/>
      <c r="AK794" s="163"/>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3"/>
      <c r="AI795" s="163"/>
      <c r="AJ795" s="163"/>
      <c r="AK795" s="163"/>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3"/>
      <c r="AI796" s="163"/>
      <c r="AJ796" s="163"/>
      <c r="AK796" s="163"/>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3"/>
      <c r="AI797" s="163"/>
      <c r="AJ797" s="163"/>
      <c r="AK797" s="163"/>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3"/>
      <c r="AI798" s="163"/>
      <c r="AJ798" s="163"/>
      <c r="AK798" s="163"/>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3"/>
      <c r="AI799" s="163"/>
      <c r="AJ799" s="163"/>
      <c r="AK799" s="163"/>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3"/>
      <c r="AI800" s="163"/>
      <c r="AJ800" s="163"/>
      <c r="AK800" s="163"/>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3"/>
      <c r="AI801" s="163"/>
      <c r="AJ801" s="163"/>
      <c r="AK801" s="163"/>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3"/>
      <c r="AI802" s="163"/>
      <c r="AJ802" s="163"/>
      <c r="AK802" s="163"/>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3"/>
      <c r="AI803" s="163"/>
      <c r="AJ803" s="163"/>
      <c r="AK803" s="163"/>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3"/>
      <c r="AI804" s="163"/>
      <c r="AJ804" s="163"/>
      <c r="AK804" s="163"/>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3"/>
      <c r="AI805" s="163"/>
      <c r="AJ805" s="163"/>
      <c r="AK805" s="163"/>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3"/>
      <c r="AI806" s="163"/>
      <c r="AJ806" s="163"/>
      <c r="AK806" s="163"/>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3"/>
      <c r="AI807" s="163"/>
      <c r="AJ807" s="163"/>
      <c r="AK807" s="163"/>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3"/>
      <c r="AI808" s="163"/>
      <c r="AJ808" s="163"/>
      <c r="AK808" s="163"/>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3"/>
      <c r="AI809" s="163"/>
      <c r="AJ809" s="163"/>
      <c r="AK809" s="163"/>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3"/>
      <c r="AI810" s="163"/>
      <c r="AJ810" s="163"/>
      <c r="AK810" s="163"/>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3"/>
      <c r="AI811" s="163"/>
      <c r="AJ811" s="163"/>
      <c r="AK811" s="163"/>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3"/>
      <c r="AI812" s="163"/>
      <c r="AJ812" s="163"/>
      <c r="AK812" s="163"/>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3"/>
      <c r="AI813" s="163"/>
      <c r="AJ813" s="163"/>
      <c r="AK813" s="163"/>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3"/>
      <c r="AI814" s="163"/>
      <c r="AJ814" s="163"/>
      <c r="AK814" s="163"/>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3"/>
      <c r="AI815" s="163"/>
      <c r="AJ815" s="163"/>
      <c r="AK815" s="163"/>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3"/>
      <c r="AI816" s="163"/>
      <c r="AJ816" s="163"/>
      <c r="AK816" s="163"/>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3"/>
      <c r="AI817" s="163"/>
      <c r="AJ817" s="163"/>
      <c r="AK817" s="163"/>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3"/>
      <c r="AI818" s="163"/>
      <c r="AJ818" s="163"/>
      <c r="AK818" s="163"/>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3"/>
      <c r="AI819" s="163"/>
      <c r="AJ819" s="163"/>
      <c r="AK819" s="163"/>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3"/>
      <c r="AI820" s="163"/>
      <c r="AJ820" s="163"/>
      <c r="AK820" s="163"/>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3"/>
      <c r="AI821" s="163"/>
      <c r="AJ821" s="163"/>
      <c r="AK821" s="163"/>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3"/>
      <c r="AI822" s="163"/>
      <c r="AJ822" s="163"/>
      <c r="AK822" s="163"/>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3"/>
      <c r="AI823" s="163"/>
      <c r="AJ823" s="163"/>
      <c r="AK823" s="163"/>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3"/>
      <c r="AI824" s="163"/>
      <c r="AJ824" s="163"/>
      <c r="AK824" s="163"/>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3"/>
      <c r="AI825" s="163"/>
      <c r="AJ825" s="163"/>
      <c r="AK825" s="163"/>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3"/>
      <c r="AI826" s="163"/>
      <c r="AJ826" s="163"/>
      <c r="AK826" s="163"/>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3"/>
      <c r="AI827" s="163"/>
      <c r="AJ827" s="163"/>
      <c r="AK827" s="163"/>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3"/>
      <c r="AI828" s="163"/>
      <c r="AJ828" s="163"/>
      <c r="AK828" s="163"/>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3"/>
      <c r="AI829" s="163"/>
      <c r="AJ829" s="163"/>
      <c r="AK829" s="163"/>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3"/>
      <c r="AI830" s="163"/>
      <c r="AJ830" s="163"/>
      <c r="AK830" s="163"/>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3"/>
      <c r="AI831" s="163"/>
      <c r="AJ831" s="163"/>
      <c r="AK831" s="163"/>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3"/>
      <c r="AI832" s="163"/>
      <c r="AJ832" s="163"/>
      <c r="AK832" s="163"/>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3"/>
      <c r="AI833" s="163"/>
      <c r="AJ833" s="163"/>
      <c r="AK833" s="163"/>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3"/>
      <c r="AI834" s="163"/>
      <c r="AJ834" s="163"/>
      <c r="AK834" s="163"/>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3"/>
      <c r="AI835" s="163"/>
      <c r="AJ835" s="163"/>
      <c r="AK835" s="163"/>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3"/>
      <c r="AI836" s="163"/>
      <c r="AJ836" s="163"/>
      <c r="AK836" s="163"/>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3"/>
      <c r="AI837" s="163"/>
      <c r="AJ837" s="163"/>
      <c r="AK837" s="163"/>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3"/>
      <c r="AI838" s="163"/>
      <c r="AJ838" s="163"/>
      <c r="AK838" s="163"/>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3"/>
      <c r="AI839" s="163"/>
      <c r="AJ839" s="163"/>
      <c r="AK839" s="163"/>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3"/>
      <c r="AI840" s="163"/>
      <c r="AJ840" s="163"/>
      <c r="AK840" s="163"/>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3"/>
      <c r="AI841" s="163"/>
      <c r="AJ841" s="163"/>
      <c r="AK841" s="163"/>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3"/>
      <c r="AI842" s="163"/>
      <c r="AJ842" s="163"/>
      <c r="AK842" s="163"/>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3"/>
      <c r="AI843" s="163"/>
      <c r="AJ843" s="163"/>
      <c r="AK843" s="163"/>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3"/>
      <c r="AI844" s="163"/>
      <c r="AJ844" s="163"/>
      <c r="AK844" s="163"/>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3"/>
      <c r="AI845" s="163"/>
      <c r="AJ845" s="163"/>
      <c r="AK845" s="163"/>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3"/>
      <c r="AI846" s="163"/>
      <c r="AJ846" s="163"/>
      <c r="AK846" s="163"/>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3"/>
      <c r="AI847" s="163"/>
      <c r="AJ847" s="163"/>
      <c r="AK847" s="163"/>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3"/>
      <c r="AI848" s="163"/>
      <c r="AJ848" s="163"/>
      <c r="AK848" s="163"/>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3"/>
      <c r="AI849" s="163"/>
      <c r="AJ849" s="163"/>
      <c r="AK849" s="163"/>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3"/>
      <c r="AI850" s="163"/>
      <c r="AJ850" s="163"/>
      <c r="AK850" s="163"/>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3"/>
      <c r="AI851" s="163"/>
      <c r="AJ851" s="163"/>
      <c r="AK851" s="163"/>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3"/>
      <c r="AI852" s="163"/>
      <c r="AJ852" s="163"/>
      <c r="AK852" s="163"/>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3"/>
      <c r="AI853" s="163"/>
      <c r="AJ853" s="163"/>
      <c r="AK853" s="163"/>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3"/>
      <c r="AI854" s="163"/>
      <c r="AJ854" s="163"/>
      <c r="AK854" s="163"/>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3"/>
      <c r="AI855" s="163"/>
      <c r="AJ855" s="163"/>
      <c r="AK855" s="163"/>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3"/>
      <c r="AI856" s="163"/>
      <c r="AJ856" s="163"/>
      <c r="AK856" s="163"/>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3"/>
      <c r="AI857" s="163"/>
      <c r="AJ857" s="163"/>
      <c r="AK857" s="163"/>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3"/>
      <c r="AI858" s="163"/>
      <c r="AJ858" s="163"/>
      <c r="AK858" s="163"/>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3"/>
      <c r="AI859" s="163"/>
      <c r="AJ859" s="163"/>
      <c r="AK859" s="163"/>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3"/>
      <c r="AI860" s="163"/>
      <c r="AJ860" s="163"/>
      <c r="AK860" s="163"/>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3"/>
      <c r="AI861" s="163"/>
      <c r="AJ861" s="163"/>
      <c r="AK861" s="163"/>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3"/>
      <c r="AI862" s="163"/>
      <c r="AJ862" s="163"/>
      <c r="AK862" s="163"/>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3"/>
      <c r="AI863" s="163"/>
      <c r="AJ863" s="163"/>
      <c r="AK863" s="163"/>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3"/>
      <c r="AI864" s="163"/>
      <c r="AJ864" s="163"/>
      <c r="AK864" s="163"/>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3"/>
      <c r="AI865" s="163"/>
      <c r="AJ865" s="163"/>
      <c r="AK865" s="163"/>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3"/>
      <c r="AI866" s="163"/>
      <c r="AJ866" s="163"/>
      <c r="AK866" s="163"/>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3"/>
      <c r="AI867" s="163"/>
      <c r="AJ867" s="163"/>
      <c r="AK867" s="163"/>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3"/>
      <c r="AI868" s="163"/>
      <c r="AJ868" s="163"/>
      <c r="AK868" s="163"/>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3"/>
      <c r="AI869" s="163"/>
      <c r="AJ869" s="163"/>
      <c r="AK869" s="163"/>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3"/>
      <c r="AI870" s="163"/>
      <c r="AJ870" s="163"/>
      <c r="AK870" s="163"/>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3"/>
      <c r="AI871" s="163"/>
      <c r="AJ871" s="163"/>
      <c r="AK871" s="163"/>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3"/>
      <c r="AI872" s="163"/>
      <c r="AJ872" s="163"/>
      <c r="AK872" s="163"/>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3"/>
      <c r="AI873" s="163"/>
      <c r="AJ873" s="163"/>
      <c r="AK873" s="163"/>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3"/>
      <c r="AI874" s="163"/>
      <c r="AJ874" s="163"/>
      <c r="AK874" s="163"/>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3"/>
      <c r="AI875" s="163"/>
      <c r="AJ875" s="163"/>
      <c r="AK875" s="163"/>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3"/>
      <c r="AI876" s="163"/>
      <c r="AJ876" s="163"/>
      <c r="AK876" s="163"/>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3"/>
      <c r="AI877" s="163"/>
      <c r="AJ877" s="163"/>
      <c r="AK877" s="163"/>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3"/>
      <c r="AI878" s="163"/>
      <c r="AJ878" s="163"/>
      <c r="AK878" s="163"/>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3"/>
      <c r="AI879" s="163"/>
      <c r="AJ879" s="163"/>
      <c r="AK879" s="163"/>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3"/>
      <c r="AI880" s="163"/>
      <c r="AJ880" s="163"/>
      <c r="AK880" s="163"/>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3"/>
      <c r="AI881" s="163"/>
      <c r="AJ881" s="163"/>
      <c r="AK881" s="163"/>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3"/>
      <c r="AI882" s="163"/>
      <c r="AJ882" s="163"/>
      <c r="AK882" s="163"/>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3"/>
      <c r="AI883" s="163"/>
      <c r="AJ883" s="163"/>
      <c r="AK883" s="163"/>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3"/>
      <c r="AI884" s="163"/>
      <c r="AJ884" s="163"/>
      <c r="AK884" s="163"/>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3"/>
      <c r="AI885" s="163"/>
      <c r="AJ885" s="163"/>
      <c r="AK885" s="163"/>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3"/>
      <c r="AI886" s="163"/>
      <c r="AJ886" s="163"/>
      <c r="AK886" s="163"/>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3"/>
      <c r="AI887" s="163"/>
      <c r="AJ887" s="163"/>
      <c r="AK887" s="163"/>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3"/>
      <c r="AI888" s="163"/>
      <c r="AJ888" s="163"/>
      <c r="AK888" s="163"/>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3"/>
      <c r="AI889" s="163"/>
      <c r="AJ889" s="163"/>
      <c r="AK889" s="163"/>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3"/>
      <c r="AI890" s="163"/>
      <c r="AJ890" s="163"/>
      <c r="AK890" s="163"/>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3"/>
      <c r="AI891" s="163"/>
      <c r="AJ891" s="163"/>
      <c r="AK891" s="163"/>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3"/>
      <c r="AI892" s="163"/>
      <c r="AJ892" s="163"/>
      <c r="AK892" s="163"/>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3"/>
      <c r="AI893" s="163"/>
      <c r="AJ893" s="163"/>
      <c r="AK893" s="163"/>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3"/>
      <c r="AI894" s="163"/>
      <c r="AJ894" s="163"/>
      <c r="AK894" s="163"/>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3"/>
      <c r="AI895" s="163"/>
      <c r="AJ895" s="163"/>
      <c r="AK895" s="163"/>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3"/>
      <c r="AI896" s="163"/>
      <c r="AJ896" s="163"/>
      <c r="AK896" s="163"/>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3"/>
      <c r="AI897" s="163"/>
      <c r="AJ897" s="163"/>
      <c r="AK897" s="163"/>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3"/>
      <c r="AI898" s="163"/>
      <c r="AJ898" s="163"/>
      <c r="AK898" s="163"/>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3"/>
      <c r="AI899" s="163"/>
      <c r="AJ899" s="163"/>
      <c r="AK899" s="163"/>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3"/>
      <c r="AI900" s="163"/>
      <c r="AJ900" s="163"/>
      <c r="AK900" s="163"/>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3"/>
      <c r="AI901" s="163"/>
      <c r="AJ901" s="163"/>
      <c r="AK901" s="163"/>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3"/>
      <c r="AI902" s="163"/>
      <c r="AJ902" s="163"/>
      <c r="AK902" s="163"/>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3"/>
      <c r="AI903" s="163"/>
      <c r="AJ903" s="163"/>
      <c r="AK903" s="163"/>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3"/>
      <c r="AI904" s="163"/>
      <c r="AJ904" s="163"/>
      <c r="AK904" s="163"/>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3"/>
      <c r="AI905" s="163"/>
      <c r="AJ905" s="163"/>
      <c r="AK905" s="163"/>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3"/>
      <c r="AI906" s="163"/>
      <c r="AJ906" s="163"/>
      <c r="AK906" s="163"/>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3"/>
      <c r="AI907" s="163"/>
      <c r="AJ907" s="163"/>
      <c r="AK907" s="163"/>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3"/>
      <c r="AI908" s="163"/>
      <c r="AJ908" s="163"/>
      <c r="AK908" s="163"/>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3"/>
      <c r="AI909" s="163"/>
      <c r="AJ909" s="163"/>
      <c r="AK909" s="163"/>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3"/>
      <c r="AI910" s="163"/>
      <c r="AJ910" s="163"/>
      <c r="AK910" s="163"/>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3"/>
      <c r="AI911" s="163"/>
      <c r="AJ911" s="163"/>
      <c r="AK911" s="163"/>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3"/>
      <c r="AI912" s="163"/>
      <c r="AJ912" s="163"/>
      <c r="AK912" s="163"/>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3"/>
      <c r="AI913" s="163"/>
      <c r="AJ913" s="163"/>
      <c r="AK913" s="163"/>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3"/>
      <c r="AI914" s="163"/>
      <c r="AJ914" s="163"/>
      <c r="AK914" s="163"/>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3"/>
      <c r="AI915" s="163"/>
      <c r="AJ915" s="163"/>
      <c r="AK915" s="163"/>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3"/>
      <c r="AI916" s="163"/>
      <c r="AJ916" s="163"/>
      <c r="AK916" s="163"/>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3"/>
      <c r="AI917" s="163"/>
      <c r="AJ917" s="163"/>
      <c r="AK917" s="163"/>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3"/>
      <c r="AI918" s="163"/>
      <c r="AJ918" s="163"/>
      <c r="AK918" s="163"/>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3"/>
      <c r="AI919" s="163"/>
      <c r="AJ919" s="163"/>
      <c r="AK919" s="163"/>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3"/>
      <c r="AI920" s="163"/>
      <c r="AJ920" s="163"/>
      <c r="AK920" s="163"/>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3"/>
      <c r="AI921" s="163"/>
      <c r="AJ921" s="163"/>
      <c r="AK921" s="163"/>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3"/>
      <c r="AI922" s="163"/>
      <c r="AJ922" s="163"/>
      <c r="AK922" s="163"/>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3"/>
      <c r="AI923" s="163"/>
      <c r="AJ923" s="163"/>
      <c r="AK923" s="163"/>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3"/>
      <c r="AI924" s="163"/>
      <c r="AJ924" s="163"/>
      <c r="AK924" s="163"/>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3"/>
      <c r="AI925" s="163"/>
      <c r="AJ925" s="163"/>
      <c r="AK925" s="163"/>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3"/>
      <c r="AI926" s="163"/>
      <c r="AJ926" s="163"/>
      <c r="AK926" s="163"/>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3"/>
      <c r="AI927" s="163"/>
      <c r="AJ927" s="163"/>
      <c r="AK927" s="163"/>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3"/>
      <c r="AI928" s="163"/>
      <c r="AJ928" s="163"/>
      <c r="AK928" s="163"/>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3"/>
      <c r="AI929" s="163"/>
      <c r="AJ929" s="163"/>
      <c r="AK929" s="163"/>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3"/>
      <c r="AI930" s="163"/>
      <c r="AJ930" s="163"/>
      <c r="AK930" s="163"/>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3"/>
      <c r="AI931" s="163"/>
      <c r="AJ931" s="163"/>
      <c r="AK931" s="163"/>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3"/>
      <c r="AI932" s="163"/>
      <c r="AJ932" s="163"/>
      <c r="AK932" s="163"/>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3"/>
      <c r="AI933" s="163"/>
      <c r="AJ933" s="163"/>
      <c r="AK933" s="163"/>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3"/>
      <c r="AI934" s="163"/>
      <c r="AJ934" s="163"/>
      <c r="AK934" s="163"/>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3"/>
      <c r="AI935" s="163"/>
      <c r="AJ935" s="163"/>
      <c r="AK935" s="163"/>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3"/>
      <c r="AI936" s="163"/>
      <c r="AJ936" s="163"/>
      <c r="AK936" s="163"/>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3"/>
      <c r="AI937" s="163"/>
      <c r="AJ937" s="163"/>
      <c r="AK937" s="163"/>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3"/>
      <c r="AI938" s="163"/>
      <c r="AJ938" s="163"/>
      <c r="AK938" s="163"/>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3"/>
      <c r="AI939" s="163"/>
      <c r="AJ939" s="163"/>
      <c r="AK939" s="163"/>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3"/>
      <c r="AI940" s="163"/>
      <c r="AJ940" s="163"/>
      <c r="AK940" s="163"/>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3"/>
      <c r="AI941" s="163"/>
      <c r="AJ941" s="163"/>
      <c r="AK941" s="163"/>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3"/>
      <c r="AI942" s="163"/>
      <c r="AJ942" s="163"/>
      <c r="AK942" s="163"/>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3"/>
      <c r="AI943" s="163"/>
      <c r="AJ943" s="163"/>
      <c r="AK943" s="163"/>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3"/>
      <c r="AI944" s="163"/>
      <c r="AJ944" s="163"/>
      <c r="AK944" s="163"/>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3"/>
      <c r="AI945" s="163"/>
      <c r="AJ945" s="163"/>
      <c r="AK945" s="163"/>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3"/>
      <c r="AI946" s="163"/>
      <c r="AJ946" s="163"/>
      <c r="AK946" s="163"/>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3"/>
      <c r="AI947" s="163"/>
      <c r="AJ947" s="163"/>
      <c r="AK947" s="163"/>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3"/>
      <c r="AI948" s="163"/>
      <c r="AJ948" s="163"/>
      <c r="AK948" s="163"/>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3"/>
      <c r="AI949" s="163"/>
      <c r="AJ949" s="163"/>
      <c r="AK949" s="163"/>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3"/>
      <c r="AI950" s="163"/>
      <c r="AJ950" s="163"/>
      <c r="AK950" s="163"/>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3"/>
      <c r="AI951" s="163"/>
      <c r="AJ951" s="163"/>
      <c r="AK951" s="163"/>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3"/>
      <c r="AI952" s="163"/>
      <c r="AJ952" s="163"/>
      <c r="AK952" s="163"/>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3"/>
      <c r="AI953" s="163"/>
      <c r="AJ953" s="163"/>
      <c r="AK953" s="163"/>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3"/>
      <c r="AI954" s="163"/>
      <c r="AJ954" s="163"/>
      <c r="AK954" s="163"/>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3"/>
      <c r="AI955" s="163"/>
      <c r="AJ955" s="163"/>
      <c r="AK955" s="163"/>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3"/>
      <c r="AI956" s="163"/>
      <c r="AJ956" s="163"/>
      <c r="AK956" s="163"/>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3"/>
      <c r="AI957" s="163"/>
      <c r="AJ957" s="163"/>
      <c r="AK957" s="163"/>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3"/>
      <c r="AI958" s="163"/>
      <c r="AJ958" s="163"/>
      <c r="AK958" s="163"/>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3"/>
      <c r="AI959" s="163"/>
      <c r="AJ959" s="163"/>
      <c r="AK959" s="163"/>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3"/>
      <c r="AI960" s="163"/>
      <c r="AJ960" s="163"/>
      <c r="AK960" s="163"/>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3"/>
      <c r="AI961" s="163"/>
      <c r="AJ961" s="163"/>
      <c r="AK961" s="163"/>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3"/>
      <c r="AI962" s="163"/>
      <c r="AJ962" s="163"/>
      <c r="AK962" s="163"/>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3"/>
      <c r="AI963" s="163"/>
      <c r="AJ963" s="163"/>
      <c r="AK963" s="163"/>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3"/>
      <c r="AI964" s="163"/>
      <c r="AJ964" s="163"/>
      <c r="AK964" s="163"/>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3"/>
      <c r="AI965" s="163"/>
      <c r="AJ965" s="163"/>
      <c r="AK965" s="163"/>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3"/>
      <c r="AI966" s="163"/>
      <c r="AJ966" s="163"/>
      <c r="AK966" s="163"/>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3"/>
      <c r="AI967" s="163"/>
      <c r="AJ967" s="163"/>
      <c r="AK967" s="163"/>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3"/>
      <c r="AI968" s="163"/>
      <c r="AJ968" s="163"/>
      <c r="AK968" s="163"/>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3"/>
      <c r="AI969" s="163"/>
      <c r="AJ969" s="163"/>
      <c r="AK969" s="163"/>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3"/>
      <c r="AI970" s="163"/>
      <c r="AJ970" s="163"/>
      <c r="AK970" s="163"/>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3"/>
      <c r="AI971" s="163"/>
      <c r="AJ971" s="163"/>
      <c r="AK971" s="163"/>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3"/>
      <c r="AI972" s="163"/>
      <c r="AJ972" s="163"/>
      <c r="AK972" s="163"/>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3"/>
      <c r="AI973" s="163"/>
      <c r="AJ973" s="163"/>
      <c r="AK973" s="163"/>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3"/>
      <c r="AI974" s="163"/>
      <c r="AJ974" s="163"/>
      <c r="AK974" s="163"/>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3"/>
      <c r="AI975" s="163"/>
      <c r="AJ975" s="163"/>
      <c r="AK975" s="163"/>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3"/>
      <c r="AI976" s="163"/>
      <c r="AJ976" s="163"/>
      <c r="AK976" s="163"/>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3"/>
      <c r="AI977" s="163"/>
      <c r="AJ977" s="163"/>
      <c r="AK977" s="163"/>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3"/>
      <c r="AI978" s="163"/>
      <c r="AJ978" s="163"/>
      <c r="AK978" s="163"/>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3"/>
      <c r="AI979" s="163"/>
      <c r="AJ979" s="163"/>
      <c r="AK979" s="163"/>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3"/>
      <c r="AI980" s="163"/>
      <c r="AJ980" s="163"/>
      <c r="AK980" s="163"/>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3"/>
      <c r="AI981" s="163"/>
      <c r="AJ981" s="163"/>
      <c r="AK981" s="163"/>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3"/>
      <c r="AI982" s="163"/>
      <c r="AJ982" s="163"/>
      <c r="AK982" s="163"/>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3"/>
      <c r="AI983" s="163"/>
      <c r="AJ983" s="163"/>
      <c r="AK983" s="163"/>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3"/>
      <c r="AI984" s="163"/>
      <c r="AJ984" s="163"/>
      <c r="AK984" s="163"/>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3"/>
      <c r="AI985" s="163"/>
      <c r="AJ985" s="163"/>
      <c r="AK985" s="163"/>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3"/>
      <c r="AI986" s="163"/>
      <c r="AJ986" s="163"/>
      <c r="AK986" s="163"/>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3"/>
      <c r="AI987" s="163"/>
      <c r="AJ987" s="163"/>
      <c r="AK987" s="163"/>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3"/>
      <c r="AI988" s="163"/>
      <c r="AJ988" s="163"/>
      <c r="AK988" s="163"/>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3"/>
      <c r="AI989" s="163"/>
      <c r="AJ989" s="163"/>
      <c r="AK989" s="163"/>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3"/>
      <c r="AI990" s="163"/>
      <c r="AJ990" s="163"/>
      <c r="AK990" s="163"/>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3"/>
      <c r="AI991" s="163"/>
      <c r="AJ991" s="163"/>
      <c r="AK991" s="163"/>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3"/>
      <c r="AI992" s="163"/>
      <c r="AJ992" s="163"/>
      <c r="AK992" s="163"/>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3"/>
      <c r="AI993" s="163"/>
      <c r="AJ993" s="163"/>
      <c r="AK993" s="163"/>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3"/>
      <c r="AI994" s="163"/>
      <c r="AJ994" s="163"/>
      <c r="AK994" s="163"/>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3"/>
      <c r="AI995" s="163"/>
      <c r="AJ995" s="163"/>
      <c r="AK995" s="163"/>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3"/>
      <c r="AI996" s="163"/>
      <c r="AJ996" s="163"/>
      <c r="AK996" s="163"/>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3"/>
      <c r="AI997" s="163"/>
      <c r="AJ997" s="163"/>
      <c r="AK997" s="163"/>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3"/>
      <c r="AI998" s="163"/>
      <c r="AJ998" s="163"/>
      <c r="AK998" s="163"/>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3"/>
      <c r="AI999" s="163"/>
      <c r="AJ999" s="163"/>
      <c r="AK999" s="163"/>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3"/>
      <c r="AI1000" s="163"/>
      <c r="AJ1000" s="163"/>
      <c r="AK1000" s="163"/>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3"/>
      <c r="AI1001" s="163"/>
      <c r="AJ1001" s="163"/>
      <c r="AK1001" s="163"/>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3"/>
      <c r="AI1002" s="163"/>
      <c r="AJ1002" s="163"/>
      <c r="AK1002" s="163"/>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3"/>
      <c r="AI1003" s="163"/>
      <c r="AJ1003" s="163"/>
      <c r="AK1003" s="163"/>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3"/>
      <c r="AI1004" s="163"/>
      <c r="AJ1004" s="163"/>
      <c r="AK1004" s="163"/>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3"/>
      <c r="AI1005" s="163"/>
      <c r="AJ1005" s="163"/>
      <c r="AK1005" s="163"/>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3"/>
      <c r="AI1006" s="163"/>
      <c r="AJ1006" s="163"/>
      <c r="AK1006" s="163"/>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3"/>
      <c r="AI1007" s="163"/>
      <c r="AJ1007" s="163"/>
      <c r="AK1007" s="163"/>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3"/>
      <c r="AI1008" s="163"/>
      <c r="AJ1008" s="163"/>
      <c r="AK1008" s="163"/>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3"/>
      <c r="AI1009" s="163"/>
      <c r="AJ1009" s="163"/>
      <c r="AK1009" s="163"/>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3"/>
      <c r="AI1010" s="163"/>
      <c r="AJ1010" s="163"/>
      <c r="AK1010" s="163"/>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4473</v>
      </c>
      <c r="B1" s="37" t="s">
        <v>4770</v>
      </c>
      <c r="C1" s="37" t="s">
        <v>0</v>
      </c>
      <c r="D1" s="37" t="s">
        <v>4771</v>
      </c>
      <c r="E1" s="37" t="s">
        <v>2620</v>
      </c>
      <c r="F1" s="37" t="s">
        <v>4377</v>
      </c>
      <c r="G1" s="37" t="s">
        <v>4390</v>
      </c>
      <c r="H1" s="37" t="s">
        <v>4393</v>
      </c>
      <c r="I1" s="37" t="s">
        <v>4395</v>
      </c>
      <c r="J1" s="37" t="s">
        <v>4398</v>
      </c>
      <c r="K1" s="37" t="s">
        <v>4404</v>
      </c>
      <c r="L1" s="37" t="s">
        <v>4407</v>
      </c>
      <c r="M1" s="37" t="s">
        <v>4410</v>
      </c>
      <c r="N1" s="37" t="s">
        <v>4413</v>
      </c>
      <c r="O1" s="37" t="s">
        <v>4415</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4443</v>
      </c>
      <c r="AI1" s="74" t="s">
        <v>4445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4772</v>
      </c>
      <c r="BA1" s="39" t="s">
        <v>4773</v>
      </c>
      <c r="BB1" s="165" t="s">
        <v>4774</v>
      </c>
      <c r="BC1" s="165" t="s">
        <v>4775</v>
      </c>
    </row>
    <row r="2" ht="18.75" customHeight="1">
      <c r="A2" s="37" t="s">
        <v>4776</v>
      </c>
      <c r="B2" s="37" t="s">
        <v>4777</v>
      </c>
      <c r="C2" s="37">
        <v>1.0</v>
      </c>
      <c r="D2" s="37">
        <v>5.0</v>
      </c>
      <c r="E2" s="37" t="s">
        <v>4778</v>
      </c>
      <c r="AY2" s="37" t="s">
        <v>4779</v>
      </c>
      <c r="AZ2" s="39">
        <v>1.0</v>
      </c>
      <c r="BA2" s="39" t="s">
        <v>29</v>
      </c>
      <c r="BB2" s="39"/>
      <c r="BC2" s="39"/>
    </row>
    <row r="3" ht="18.75" customHeight="1" outlineLevel="1">
      <c r="A3" s="37" t="s">
        <v>4780</v>
      </c>
      <c r="B3" s="37" t="s">
        <v>4777</v>
      </c>
      <c r="C3" s="37">
        <v>1.0</v>
      </c>
      <c r="D3" s="37">
        <v>5.0</v>
      </c>
      <c r="E3" s="37" t="s">
        <v>4781</v>
      </c>
      <c r="AY3" s="37" t="s">
        <v>4782</v>
      </c>
      <c r="AZ3" s="39">
        <v>1.0</v>
      </c>
      <c r="BA3" s="39" t="s">
        <v>29</v>
      </c>
      <c r="BB3" s="39"/>
      <c r="BC3" s="39"/>
    </row>
    <row r="4" ht="18.75" customHeight="1" outlineLevel="1">
      <c r="A4" s="37" t="s">
        <v>4783</v>
      </c>
      <c r="B4" s="37" t="s">
        <v>4777</v>
      </c>
      <c r="C4" s="37">
        <v>1.0</v>
      </c>
      <c r="D4" s="37">
        <v>5.0</v>
      </c>
      <c r="E4" s="37" t="s">
        <v>4784</v>
      </c>
      <c r="AY4" s="37" t="s">
        <v>4785</v>
      </c>
      <c r="AZ4" s="39">
        <v>1.0</v>
      </c>
      <c r="BA4" s="39" t="s">
        <v>29</v>
      </c>
      <c r="BB4" s="39"/>
      <c r="BC4" s="39"/>
    </row>
    <row r="5" ht="18.75" customHeight="1" outlineLevel="1">
      <c r="A5" s="37" t="s">
        <v>4786</v>
      </c>
      <c r="B5" s="37" t="s">
        <v>4777</v>
      </c>
      <c r="C5" s="37">
        <v>2.0</v>
      </c>
      <c r="D5" s="37">
        <v>15.0</v>
      </c>
      <c r="E5" s="37" t="s">
        <v>4787</v>
      </c>
      <c r="AY5" s="37" t="s">
        <v>4788</v>
      </c>
      <c r="AZ5" s="39">
        <v>2.0</v>
      </c>
      <c r="BA5" s="39" t="s">
        <v>4779</v>
      </c>
      <c r="BB5" s="39"/>
      <c r="BC5" s="39"/>
    </row>
    <row r="6" ht="18.75" customHeight="1" outlineLevel="1">
      <c r="A6" s="37" t="s">
        <v>4789</v>
      </c>
      <c r="B6" s="37" t="s">
        <v>4777</v>
      </c>
      <c r="C6" s="37">
        <v>2.0</v>
      </c>
      <c r="D6" s="37">
        <v>15.0</v>
      </c>
      <c r="E6" s="37" t="s">
        <v>4790</v>
      </c>
      <c r="AY6" s="37" t="s">
        <v>4791</v>
      </c>
      <c r="AZ6" s="39">
        <v>2.0</v>
      </c>
      <c r="BA6" s="39" t="s">
        <v>4782</v>
      </c>
      <c r="BB6" s="39"/>
      <c r="BC6" s="39"/>
    </row>
    <row r="7" ht="18.75" customHeight="1" outlineLevel="1">
      <c r="A7" s="37" t="s">
        <v>4792</v>
      </c>
      <c r="B7" s="37" t="s">
        <v>4777</v>
      </c>
      <c r="C7" s="37">
        <v>2.0</v>
      </c>
      <c r="D7" s="37">
        <v>15.0</v>
      </c>
      <c r="E7" s="37" t="s">
        <v>4793</v>
      </c>
      <c r="AY7" s="37" t="s">
        <v>4794</v>
      </c>
      <c r="AZ7" s="39">
        <v>2.0</v>
      </c>
      <c r="BA7" s="39" t="s">
        <v>4785</v>
      </c>
      <c r="BB7" s="39"/>
      <c r="BC7" s="39"/>
    </row>
    <row r="8" ht="18.75" customHeight="1" outlineLevel="1">
      <c r="A8" s="37" t="s">
        <v>4795</v>
      </c>
      <c r="B8" s="37" t="s">
        <v>4777</v>
      </c>
      <c r="C8" s="37">
        <v>3.0</v>
      </c>
      <c r="D8" s="37">
        <v>25.0</v>
      </c>
      <c r="E8" s="37" t="s">
        <v>4796</v>
      </c>
      <c r="AY8" s="37" t="s">
        <v>4797</v>
      </c>
      <c r="AZ8" s="39">
        <v>3.0</v>
      </c>
      <c r="BA8" s="39" t="s">
        <v>4788</v>
      </c>
      <c r="BB8" s="39"/>
      <c r="BC8" s="39"/>
    </row>
    <row r="9" ht="18.75" customHeight="1" outlineLevel="1">
      <c r="A9" s="37" t="s">
        <v>4798</v>
      </c>
      <c r="B9" s="37" t="s">
        <v>4777</v>
      </c>
      <c r="C9" s="37">
        <v>3.0</v>
      </c>
      <c r="D9" s="37">
        <v>25.0</v>
      </c>
      <c r="E9" s="37" t="s">
        <v>4799</v>
      </c>
      <c r="AY9" s="37" t="s">
        <v>4800</v>
      </c>
      <c r="AZ9" s="39">
        <v>3.0</v>
      </c>
      <c r="BA9" s="39" t="s">
        <v>4791</v>
      </c>
      <c r="BB9" s="39"/>
      <c r="BC9" s="39"/>
    </row>
    <row r="10" ht="18.75" customHeight="1" outlineLevel="1">
      <c r="A10" s="37" t="s">
        <v>4801</v>
      </c>
      <c r="B10" s="37" t="s">
        <v>4777</v>
      </c>
      <c r="C10" s="37">
        <v>3.0</v>
      </c>
      <c r="D10" s="37">
        <v>25.0</v>
      </c>
      <c r="E10" s="37" t="s">
        <v>4801</v>
      </c>
      <c r="AY10" s="37" t="s">
        <v>4802</v>
      </c>
      <c r="AZ10" s="39">
        <v>3.0</v>
      </c>
      <c r="BA10" s="39" t="s">
        <v>4794</v>
      </c>
      <c r="BB10" s="39"/>
      <c r="BC10" s="39"/>
    </row>
    <row r="11" ht="18.75" customHeight="1" outlineLevel="1">
      <c r="A11" s="37" t="s">
        <v>4803</v>
      </c>
      <c r="B11" s="37" t="s">
        <v>4777</v>
      </c>
      <c r="C11" s="37">
        <v>4.0</v>
      </c>
      <c r="D11" s="37">
        <v>35.0</v>
      </c>
      <c r="E11" s="37" t="s">
        <v>4804</v>
      </c>
      <c r="AY11" s="37" t="s">
        <v>4805</v>
      </c>
      <c r="AZ11" s="39">
        <v>4.0</v>
      </c>
      <c r="BA11" s="39" t="s">
        <v>4797</v>
      </c>
      <c r="BB11" s="39"/>
      <c r="BC11" s="39"/>
    </row>
    <row r="12" ht="18.75" customHeight="1" outlineLevel="1">
      <c r="A12" s="37" t="s">
        <v>4806</v>
      </c>
      <c r="B12" s="37" t="s">
        <v>4777</v>
      </c>
      <c r="C12" s="37">
        <v>4.0</v>
      </c>
      <c r="D12" s="37">
        <v>35.0</v>
      </c>
      <c r="E12" s="37" t="s">
        <v>4807</v>
      </c>
      <c r="AY12" s="37" t="s">
        <v>4808</v>
      </c>
      <c r="AZ12" s="39">
        <v>4.0</v>
      </c>
      <c r="BA12" s="39" t="s">
        <v>4800</v>
      </c>
      <c r="BB12" s="39"/>
      <c r="BC12" s="39"/>
    </row>
    <row r="13" ht="18.75" customHeight="1" outlineLevel="1">
      <c r="A13" s="37" t="s">
        <v>4809</v>
      </c>
      <c r="B13" s="37" t="s">
        <v>4777</v>
      </c>
      <c r="C13" s="37">
        <v>4.0</v>
      </c>
      <c r="D13" s="37">
        <v>35.0</v>
      </c>
      <c r="E13" s="37" t="s">
        <v>4810</v>
      </c>
      <c r="AY13" s="37" t="s">
        <v>4811</v>
      </c>
      <c r="AZ13" s="39">
        <v>4.0</v>
      </c>
      <c r="BA13" s="39" t="s">
        <v>4802</v>
      </c>
      <c r="BB13" s="39"/>
      <c r="BC13" s="39"/>
    </row>
    <row r="14" ht="18.75" customHeight="1" outlineLevel="1">
      <c r="B14" s="37" t="s">
        <v>4777</v>
      </c>
      <c r="C14" s="37">
        <f t="shared" ref="C14:C21" si="1">C11+1</f>
        <v>5</v>
      </c>
    </row>
    <row r="15" ht="18.75" customHeight="1" outlineLevel="1">
      <c r="B15" s="37" t="s">
        <v>4777</v>
      </c>
      <c r="C15" s="37">
        <f t="shared" si="1"/>
        <v>5</v>
      </c>
    </row>
    <row r="16" ht="18.75" customHeight="1" outlineLevel="1">
      <c r="B16" s="37" t="s">
        <v>4777</v>
      </c>
      <c r="C16" s="37">
        <f t="shared" si="1"/>
        <v>5</v>
      </c>
    </row>
    <row r="17" ht="18.75" customHeight="1" outlineLevel="1">
      <c r="B17" s="37" t="s">
        <v>4777</v>
      </c>
      <c r="C17" s="37">
        <f t="shared" si="1"/>
        <v>6</v>
      </c>
    </row>
    <row r="18" ht="18.75" customHeight="1" outlineLevel="1">
      <c r="B18" s="37" t="s">
        <v>4777</v>
      </c>
      <c r="C18" s="37">
        <f t="shared" si="1"/>
        <v>6</v>
      </c>
    </row>
    <row r="19" ht="18.75" customHeight="1" outlineLevel="1">
      <c r="B19" s="37" t="s">
        <v>4777</v>
      </c>
      <c r="C19" s="37">
        <f t="shared" si="1"/>
        <v>6</v>
      </c>
    </row>
    <row r="20" ht="18.75" customHeight="1" outlineLevel="1">
      <c r="B20" s="37" t="s">
        <v>4777</v>
      </c>
      <c r="C20" s="37">
        <f t="shared" si="1"/>
        <v>7</v>
      </c>
    </row>
    <row r="21" ht="18.75" customHeight="1" outlineLevel="1">
      <c r="B21" s="37" t="s">
        <v>4777</v>
      </c>
      <c r="C21" s="37">
        <f t="shared" si="1"/>
        <v>7</v>
      </c>
    </row>
    <row r="22" ht="18.75" customHeight="1" outlineLevel="1">
      <c r="A22" s="37" t="s">
        <v>4473</v>
      </c>
      <c r="B22" s="37" t="s">
        <v>4770</v>
      </c>
      <c r="C22" s="37" t="s">
        <v>0</v>
      </c>
      <c r="E22" s="37" t="s">
        <v>2620</v>
      </c>
    </row>
    <row r="23" ht="18.75" customHeight="1">
      <c r="A23" s="37" t="s">
        <v>4812</v>
      </c>
      <c r="B23" s="37" t="s">
        <v>4813</v>
      </c>
      <c r="C23" s="37">
        <v>1.0</v>
      </c>
      <c r="D23" s="37">
        <v>5.0</v>
      </c>
      <c r="E23" s="37" t="s">
        <v>4814</v>
      </c>
      <c r="AW23" s="39">
        <v>10.0</v>
      </c>
      <c r="AY23" s="37" t="s">
        <v>4815</v>
      </c>
      <c r="AZ23" s="39">
        <v>1.0</v>
      </c>
      <c r="BA23" s="39" t="s">
        <v>29</v>
      </c>
      <c r="BB23" s="39"/>
      <c r="BC23" s="39"/>
    </row>
    <row r="24" ht="18.75" customHeight="1" outlineLevel="1">
      <c r="A24" s="37" t="s">
        <v>4816</v>
      </c>
      <c r="B24" s="37" t="s">
        <v>4813</v>
      </c>
      <c r="C24" s="37">
        <v>1.0</v>
      </c>
      <c r="D24" s="37">
        <v>5.0</v>
      </c>
      <c r="E24" s="37" t="s">
        <v>4817</v>
      </c>
      <c r="AY24" s="37" t="s">
        <v>4818</v>
      </c>
      <c r="AZ24" s="39">
        <v>1.0</v>
      </c>
      <c r="BA24" s="39" t="s">
        <v>29</v>
      </c>
      <c r="BB24" s="39"/>
      <c r="BC24" s="39"/>
    </row>
    <row r="25" ht="18.75" customHeight="1" outlineLevel="1">
      <c r="A25" s="37" t="s">
        <v>4819</v>
      </c>
      <c r="B25" s="37" t="s">
        <v>4813</v>
      </c>
      <c r="C25" s="37">
        <v>1.0</v>
      </c>
      <c r="D25" s="37">
        <v>5.0</v>
      </c>
      <c r="E25" s="37" t="s">
        <v>4820</v>
      </c>
      <c r="AY25" s="37" t="s">
        <v>4821</v>
      </c>
      <c r="AZ25" s="39">
        <v>1.0</v>
      </c>
      <c r="BA25" s="39" t="s">
        <v>29</v>
      </c>
      <c r="BB25" s="39"/>
      <c r="BC25" s="39"/>
    </row>
    <row r="26" ht="18.75" customHeight="1" outlineLevel="1">
      <c r="A26" s="37" t="s">
        <v>4822</v>
      </c>
      <c r="B26" s="37" t="s">
        <v>4813</v>
      </c>
      <c r="C26" s="37">
        <v>2.0</v>
      </c>
      <c r="D26" s="37">
        <v>15.0</v>
      </c>
      <c r="E26" s="37" t="s">
        <v>4823</v>
      </c>
      <c r="AY26" s="37" t="s">
        <v>4824</v>
      </c>
      <c r="AZ26" s="39">
        <v>2.0</v>
      </c>
      <c r="BA26" s="39" t="s">
        <v>4815</v>
      </c>
      <c r="BB26" s="39"/>
      <c r="BC26" s="39"/>
    </row>
    <row r="27" ht="18.75" customHeight="1" outlineLevel="1">
      <c r="A27" s="37" t="s">
        <v>4825</v>
      </c>
      <c r="B27" s="37" t="s">
        <v>4813</v>
      </c>
      <c r="C27" s="37">
        <v>2.0</v>
      </c>
      <c r="D27" s="37">
        <v>15.0</v>
      </c>
      <c r="E27" s="37" t="s">
        <v>4826</v>
      </c>
      <c r="AY27" s="37" t="s">
        <v>4827</v>
      </c>
      <c r="AZ27" s="39">
        <v>2.0</v>
      </c>
      <c r="BA27" s="39" t="s">
        <v>4818</v>
      </c>
      <c r="BB27" s="39"/>
      <c r="BC27" s="39"/>
    </row>
    <row r="28" ht="18.75" customHeight="1" outlineLevel="1">
      <c r="A28" s="37" t="s">
        <v>4828</v>
      </c>
      <c r="B28" s="37" t="s">
        <v>4813</v>
      </c>
      <c r="C28" s="37">
        <v>2.0</v>
      </c>
      <c r="D28" s="37">
        <v>15.0</v>
      </c>
      <c r="E28" s="37" t="s">
        <v>4829</v>
      </c>
      <c r="AY28" s="37" t="s">
        <v>4830</v>
      </c>
      <c r="AZ28" s="39">
        <v>2.0</v>
      </c>
      <c r="BA28" s="39" t="s">
        <v>4821</v>
      </c>
      <c r="BB28" s="39"/>
      <c r="BC28" s="39"/>
    </row>
    <row r="29" ht="18.75" customHeight="1" outlineLevel="1">
      <c r="A29" s="37" t="s">
        <v>4831</v>
      </c>
      <c r="B29" s="37" t="s">
        <v>4813</v>
      </c>
      <c r="C29" s="37">
        <v>3.0</v>
      </c>
      <c r="D29" s="37">
        <v>25.0</v>
      </c>
      <c r="E29" s="37" t="s">
        <v>4832</v>
      </c>
      <c r="O29" s="39">
        <v>10.0</v>
      </c>
      <c r="AY29" s="37" t="s">
        <v>4833</v>
      </c>
      <c r="AZ29" s="39">
        <v>3.0</v>
      </c>
      <c r="BA29" s="39" t="s">
        <v>4824</v>
      </c>
      <c r="BB29" s="39"/>
      <c r="BC29" s="39"/>
    </row>
    <row r="30" ht="18.75" customHeight="1" outlineLevel="1">
      <c r="A30" s="37" t="s">
        <v>4834</v>
      </c>
      <c r="B30" s="37" t="s">
        <v>4813</v>
      </c>
      <c r="C30" s="37">
        <v>3.0</v>
      </c>
      <c r="D30" s="37">
        <v>25.0</v>
      </c>
      <c r="E30" s="37" t="s">
        <v>4835</v>
      </c>
      <c r="AW30" s="39">
        <v>15.0</v>
      </c>
      <c r="AY30" s="37" t="s">
        <v>4836</v>
      </c>
      <c r="AZ30" s="39">
        <v>3.0</v>
      </c>
      <c r="BA30" s="39" t="s">
        <v>4827</v>
      </c>
      <c r="BB30" s="39"/>
      <c r="BC30" s="39"/>
    </row>
    <row r="31" ht="18.75" customHeight="1" outlineLevel="1">
      <c r="A31" s="37" t="s">
        <v>4837</v>
      </c>
      <c r="B31" s="37" t="s">
        <v>4813</v>
      </c>
      <c r="C31" s="37">
        <v>3.0</v>
      </c>
      <c r="D31" s="37">
        <v>25.0</v>
      </c>
      <c r="E31" s="37" t="s">
        <v>4838</v>
      </c>
      <c r="AY31" s="37" t="s">
        <v>4839</v>
      </c>
      <c r="AZ31" s="39">
        <v>3.0</v>
      </c>
      <c r="BA31" s="39" t="s">
        <v>4830</v>
      </c>
      <c r="BB31" s="39"/>
      <c r="BC31" s="39"/>
    </row>
    <row r="32" ht="18.75" customHeight="1" outlineLevel="1">
      <c r="A32" s="37" t="s">
        <v>4840</v>
      </c>
      <c r="B32" s="37" t="s">
        <v>4813</v>
      </c>
      <c r="C32" s="37">
        <v>4.0</v>
      </c>
      <c r="D32" s="37">
        <v>35.0</v>
      </c>
      <c r="E32" s="37" t="s">
        <v>4841</v>
      </c>
      <c r="AW32" s="39">
        <v>25.0</v>
      </c>
      <c r="AY32" s="37" t="s">
        <v>4842</v>
      </c>
      <c r="AZ32" s="39">
        <v>4.0</v>
      </c>
      <c r="BA32" s="39" t="s">
        <v>4833</v>
      </c>
      <c r="BB32" s="39"/>
      <c r="BC32" s="39"/>
    </row>
    <row r="33" ht="18.75" customHeight="1" outlineLevel="1">
      <c r="A33" s="37" t="s">
        <v>4843</v>
      </c>
      <c r="B33" s="37" t="s">
        <v>4813</v>
      </c>
      <c r="C33" s="37">
        <v>4.0</v>
      </c>
      <c r="D33" s="37">
        <v>35.0</v>
      </c>
      <c r="E33" s="37" t="s">
        <v>4844</v>
      </c>
      <c r="O33" s="39">
        <v>20.0</v>
      </c>
      <c r="AY33" s="37" t="s">
        <v>4845</v>
      </c>
      <c r="AZ33" s="39">
        <v>4.0</v>
      </c>
      <c r="BA33" s="39" t="s">
        <v>4836</v>
      </c>
      <c r="BB33" s="39"/>
      <c r="BC33" s="39"/>
    </row>
    <row r="34" ht="18.75" customHeight="1" outlineLevel="1">
      <c r="A34" s="37" t="s">
        <v>4846</v>
      </c>
      <c r="B34" s="37" t="s">
        <v>4813</v>
      </c>
      <c r="C34" s="37">
        <v>4.0</v>
      </c>
      <c r="D34" s="37">
        <v>35.0</v>
      </c>
      <c r="E34" s="37" t="s">
        <v>4847</v>
      </c>
      <c r="AY34" s="37" t="s">
        <v>4848</v>
      </c>
      <c r="AZ34" s="39">
        <v>4.0</v>
      </c>
      <c r="BA34" s="39" t="s">
        <v>4839</v>
      </c>
      <c r="BB34" s="39"/>
      <c r="BC34" s="39"/>
    </row>
    <row r="35" ht="18.75" customHeight="1" outlineLevel="1">
      <c r="B35" s="37" t="s">
        <v>4813</v>
      </c>
      <c r="C35" s="37">
        <f t="shared" ref="C35:C42" si="2">C32+1</f>
        <v>5</v>
      </c>
    </row>
    <row r="36" ht="18.75" customHeight="1" outlineLevel="1">
      <c r="B36" s="37" t="s">
        <v>4813</v>
      </c>
      <c r="C36" s="37">
        <f t="shared" si="2"/>
        <v>5</v>
      </c>
    </row>
    <row r="37" ht="18.75" customHeight="1" outlineLevel="1">
      <c r="B37" s="37" t="s">
        <v>4813</v>
      </c>
      <c r="C37" s="37">
        <f t="shared" si="2"/>
        <v>5</v>
      </c>
    </row>
    <row r="38" ht="18.75" customHeight="1" outlineLevel="1">
      <c r="B38" s="37" t="s">
        <v>4813</v>
      </c>
      <c r="C38" s="37">
        <f t="shared" si="2"/>
        <v>6</v>
      </c>
    </row>
    <row r="39" ht="18.75" customHeight="1" outlineLevel="1">
      <c r="B39" s="37" t="s">
        <v>4813</v>
      </c>
      <c r="C39" s="37">
        <f t="shared" si="2"/>
        <v>6</v>
      </c>
    </row>
    <row r="40" ht="18.75" customHeight="1" outlineLevel="1">
      <c r="B40" s="37" t="s">
        <v>4813</v>
      </c>
      <c r="C40" s="37">
        <f t="shared" si="2"/>
        <v>6</v>
      </c>
    </row>
    <row r="41" ht="18.75" customHeight="1" outlineLevel="1">
      <c r="B41" s="37" t="s">
        <v>4813</v>
      </c>
      <c r="C41" s="37">
        <f t="shared" si="2"/>
        <v>7</v>
      </c>
    </row>
    <row r="42" ht="18.75" customHeight="1" outlineLevel="1">
      <c r="B42" s="37" t="s">
        <v>4813</v>
      </c>
      <c r="C42" s="37">
        <f t="shared" si="2"/>
        <v>7</v>
      </c>
    </row>
    <row r="43" ht="18.75" customHeight="1" outlineLevel="1">
      <c r="A43" s="37" t="s">
        <v>4473</v>
      </c>
      <c r="B43" s="37" t="s">
        <v>4770</v>
      </c>
      <c r="C43" s="37" t="s">
        <v>0</v>
      </c>
      <c r="E43" s="37" t="s">
        <v>2620</v>
      </c>
    </row>
    <row r="44" ht="18.75" customHeight="1">
      <c r="A44" s="37" t="s">
        <v>4849</v>
      </c>
      <c r="B44" s="37" t="s">
        <v>1179</v>
      </c>
      <c r="C44" s="37">
        <v>1.0</v>
      </c>
      <c r="D44" s="37">
        <v>5.0</v>
      </c>
      <c r="E44" s="37" t="s">
        <v>4850</v>
      </c>
      <c r="AX44" s="39">
        <v>15.0</v>
      </c>
      <c r="AY44" s="37" t="s">
        <v>4851</v>
      </c>
      <c r="AZ44" s="39">
        <v>1.0</v>
      </c>
      <c r="BA44" s="39" t="s">
        <v>29</v>
      </c>
      <c r="BB44" s="39"/>
      <c r="BC44" s="39"/>
    </row>
    <row r="45" ht="18.75" customHeight="1" outlineLevel="1">
      <c r="A45" s="37" t="s">
        <v>4852</v>
      </c>
      <c r="B45" s="37" t="s">
        <v>1179</v>
      </c>
      <c r="C45" s="37">
        <v>1.0</v>
      </c>
      <c r="D45" s="37">
        <v>5.0</v>
      </c>
      <c r="E45" s="37" t="s">
        <v>4853</v>
      </c>
      <c r="AY45" s="37" t="s">
        <v>4854</v>
      </c>
      <c r="AZ45" s="39">
        <v>1.0</v>
      </c>
      <c r="BA45" s="39" t="s">
        <v>29</v>
      </c>
      <c r="BB45" s="39"/>
      <c r="BC45" s="39"/>
    </row>
    <row r="46" ht="18.75" customHeight="1" outlineLevel="1">
      <c r="A46" s="37" t="s">
        <v>4855</v>
      </c>
      <c r="B46" s="37" t="s">
        <v>1179</v>
      </c>
      <c r="C46" s="37">
        <v>1.0</v>
      </c>
      <c r="D46" s="37">
        <v>5.0</v>
      </c>
      <c r="E46" s="37" t="s">
        <v>4856</v>
      </c>
      <c r="AY46" s="37" t="s">
        <v>4857</v>
      </c>
      <c r="AZ46" s="39">
        <v>1.0</v>
      </c>
      <c r="BA46" s="39" t="s">
        <v>29</v>
      </c>
      <c r="BB46" s="39"/>
      <c r="BC46" s="39"/>
    </row>
    <row r="47" ht="18.75" customHeight="1" outlineLevel="1">
      <c r="A47" s="37" t="s">
        <v>4858</v>
      </c>
      <c r="B47" s="37" t="s">
        <v>1179</v>
      </c>
      <c r="C47" s="37">
        <v>2.0</v>
      </c>
      <c r="D47" s="37">
        <v>15.0</v>
      </c>
      <c r="E47" s="37" t="s">
        <v>4859</v>
      </c>
      <c r="AY47" s="37" t="s">
        <v>4860</v>
      </c>
      <c r="AZ47" s="39">
        <v>2.0</v>
      </c>
      <c r="BA47" s="39" t="s">
        <v>4851</v>
      </c>
      <c r="BB47" s="39"/>
      <c r="BC47" s="39"/>
    </row>
    <row r="48" ht="18.75" customHeight="1" outlineLevel="1">
      <c r="A48" s="37" t="s">
        <v>4861</v>
      </c>
      <c r="B48" s="37" t="s">
        <v>1179</v>
      </c>
      <c r="C48" s="37">
        <v>2.0</v>
      </c>
      <c r="D48" s="37">
        <v>15.0</v>
      </c>
      <c r="E48" s="37" t="s">
        <v>4862</v>
      </c>
      <c r="AY48" s="37" t="s">
        <v>4863</v>
      </c>
      <c r="AZ48" s="39">
        <v>2.0</v>
      </c>
      <c r="BA48" s="39" t="s">
        <v>4854</v>
      </c>
      <c r="BB48" s="39"/>
      <c r="BC48" s="39"/>
    </row>
    <row r="49" ht="18.75" customHeight="1" outlineLevel="1">
      <c r="A49" s="37" t="s">
        <v>4864</v>
      </c>
      <c r="B49" s="37" t="s">
        <v>1179</v>
      </c>
      <c r="C49" s="37">
        <v>2.0</v>
      </c>
      <c r="D49" s="37">
        <v>15.0</v>
      </c>
      <c r="E49" s="37" t="s">
        <v>4829</v>
      </c>
      <c r="AY49" s="37" t="s">
        <v>4865</v>
      </c>
      <c r="AZ49" s="39">
        <v>2.0</v>
      </c>
      <c r="BA49" s="39" t="s">
        <v>4857</v>
      </c>
      <c r="BB49" s="39"/>
      <c r="BC49" s="39"/>
    </row>
    <row r="50" ht="18.75" customHeight="1" outlineLevel="1">
      <c r="A50" s="37" t="s">
        <v>4866</v>
      </c>
      <c r="B50" s="37" t="s">
        <v>1179</v>
      </c>
      <c r="C50" s="37">
        <v>3.0</v>
      </c>
      <c r="D50" s="37">
        <v>25.0</v>
      </c>
      <c r="E50" s="37" t="s">
        <v>4832</v>
      </c>
      <c r="O50" s="39">
        <v>10.0</v>
      </c>
      <c r="AY50" s="37" t="s">
        <v>4867</v>
      </c>
      <c r="AZ50" s="39">
        <v>3.0</v>
      </c>
      <c r="BA50" s="39" t="s">
        <v>4860</v>
      </c>
      <c r="BB50" s="39"/>
      <c r="BC50" s="39"/>
    </row>
    <row r="51" ht="18.75" customHeight="1" outlineLevel="1">
      <c r="A51" s="37" t="s">
        <v>4868</v>
      </c>
      <c r="B51" s="37" t="s">
        <v>1179</v>
      </c>
      <c r="C51" s="37">
        <v>3.0</v>
      </c>
      <c r="D51" s="37">
        <v>25.0</v>
      </c>
      <c r="E51" s="37" t="s">
        <v>4869</v>
      </c>
      <c r="AY51" s="37" t="s">
        <v>4870</v>
      </c>
      <c r="AZ51" s="39">
        <v>3.0</v>
      </c>
      <c r="BA51" s="39" t="s">
        <v>4863</v>
      </c>
      <c r="BB51" s="39"/>
      <c r="BC51" s="39"/>
    </row>
    <row r="52" ht="18.75" customHeight="1" outlineLevel="1">
      <c r="A52" s="37" t="s">
        <v>4871</v>
      </c>
      <c r="B52" s="37" t="s">
        <v>1179</v>
      </c>
      <c r="C52" s="37">
        <v>3.0</v>
      </c>
      <c r="D52" s="37">
        <v>25.0</v>
      </c>
      <c r="E52" s="37" t="s">
        <v>4872</v>
      </c>
      <c r="AY52" s="37" t="s">
        <v>4873</v>
      </c>
      <c r="AZ52" s="39">
        <v>3.0</v>
      </c>
      <c r="BA52" s="39" t="s">
        <v>4865</v>
      </c>
      <c r="BB52" s="39"/>
      <c r="BC52" s="39"/>
    </row>
    <row r="53" ht="18.75" customHeight="1" outlineLevel="1">
      <c r="A53" s="37" t="s">
        <v>4874</v>
      </c>
      <c r="B53" s="37" t="s">
        <v>1179</v>
      </c>
      <c r="C53" s="37">
        <v>4.0</v>
      </c>
      <c r="D53" s="37">
        <v>35.0</v>
      </c>
      <c r="E53" s="37" t="s">
        <v>4844</v>
      </c>
      <c r="O53" s="39">
        <v>20.0</v>
      </c>
      <c r="AY53" s="37" t="s">
        <v>4875</v>
      </c>
      <c r="AZ53" s="39">
        <v>4.0</v>
      </c>
      <c r="BA53" s="39" t="s">
        <v>4867</v>
      </c>
      <c r="BB53" s="39"/>
      <c r="BC53" s="39"/>
    </row>
    <row r="54" ht="18.75" customHeight="1" outlineLevel="1">
      <c r="A54" s="37" t="s">
        <v>4876</v>
      </c>
      <c r="B54" s="37" t="s">
        <v>1179</v>
      </c>
      <c r="C54" s="37">
        <v>4.0</v>
      </c>
      <c r="D54" s="37">
        <v>35.0</v>
      </c>
      <c r="E54" s="37" t="s">
        <v>4877</v>
      </c>
      <c r="AX54" s="39">
        <v>25.0</v>
      </c>
      <c r="AY54" s="37" t="s">
        <v>4878</v>
      </c>
      <c r="AZ54" s="39">
        <v>4.0</v>
      </c>
      <c r="BA54" s="39" t="s">
        <v>4870</v>
      </c>
      <c r="BB54" s="39"/>
      <c r="BC54" s="39"/>
    </row>
    <row r="55" ht="18.75" customHeight="1" outlineLevel="1">
      <c r="A55" s="37" t="s">
        <v>4879</v>
      </c>
      <c r="B55" s="37" t="s">
        <v>1179</v>
      </c>
      <c r="C55" s="37">
        <v>4.0</v>
      </c>
      <c r="D55" s="37">
        <v>35.0</v>
      </c>
      <c r="E55" s="37" t="s">
        <v>4880</v>
      </c>
      <c r="AY55" s="37" t="s">
        <v>4881</v>
      </c>
      <c r="AZ55" s="39">
        <v>4.0</v>
      </c>
      <c r="BA55" s="39" t="s">
        <v>4873</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4882</v>
      </c>
      <c r="B65" s="37" t="s">
        <v>4396</v>
      </c>
      <c r="C65" s="37">
        <v>1.0</v>
      </c>
      <c r="D65" s="37">
        <v>5.0</v>
      </c>
      <c r="E65" s="37" t="s">
        <v>4883</v>
      </c>
      <c r="AJ65" s="39">
        <v>10.0</v>
      </c>
      <c r="AY65" s="37" t="s">
        <v>4884</v>
      </c>
      <c r="AZ65" s="39">
        <v>1.0</v>
      </c>
      <c r="BA65" s="39" t="s">
        <v>29</v>
      </c>
      <c r="BB65" s="39"/>
      <c r="BC65" s="39"/>
    </row>
    <row r="66" ht="18.75" customHeight="1" outlineLevel="1">
      <c r="A66" s="37" t="s">
        <v>4885</v>
      </c>
      <c r="B66" s="37" t="s">
        <v>4396</v>
      </c>
      <c r="C66" s="37">
        <v>1.0</v>
      </c>
      <c r="D66" s="37">
        <v>5.0</v>
      </c>
      <c r="E66" s="37" t="s">
        <v>4886</v>
      </c>
      <c r="AY66" s="37" t="s">
        <v>4887</v>
      </c>
      <c r="AZ66" s="39">
        <v>1.0</v>
      </c>
      <c r="BA66" s="39" t="s">
        <v>29</v>
      </c>
      <c r="BB66" s="39"/>
      <c r="BC66" s="39"/>
    </row>
    <row r="67" ht="18.75" customHeight="1" outlineLevel="1">
      <c r="A67" s="37" t="s">
        <v>4888</v>
      </c>
      <c r="B67" s="37" t="s">
        <v>4396</v>
      </c>
      <c r="C67" s="37">
        <v>1.0</v>
      </c>
      <c r="D67" s="37">
        <v>5.0</v>
      </c>
      <c r="E67" s="37" t="s">
        <v>4889</v>
      </c>
      <c r="AY67" s="37" t="s">
        <v>4890</v>
      </c>
      <c r="AZ67" s="39">
        <v>1.0</v>
      </c>
      <c r="BA67" s="39" t="s">
        <v>29</v>
      </c>
      <c r="BB67" s="39"/>
      <c r="BC67" s="39"/>
    </row>
    <row r="68" ht="18.75" customHeight="1" outlineLevel="1">
      <c r="A68" s="37" t="s">
        <v>4891</v>
      </c>
      <c r="B68" s="37" t="s">
        <v>4396</v>
      </c>
      <c r="C68" s="37">
        <v>2.0</v>
      </c>
      <c r="D68" s="37">
        <v>15.0</v>
      </c>
      <c r="E68" s="37" t="s">
        <v>4892</v>
      </c>
      <c r="AY68" s="37" t="s">
        <v>4893</v>
      </c>
      <c r="AZ68" s="39">
        <v>2.0</v>
      </c>
      <c r="BA68" s="39" t="s">
        <v>4884</v>
      </c>
      <c r="BB68" s="39"/>
      <c r="BC68" s="39"/>
    </row>
    <row r="69" ht="18.75" customHeight="1" outlineLevel="1">
      <c r="A69" s="37" t="s">
        <v>4894</v>
      </c>
      <c r="B69" s="37" t="s">
        <v>4396</v>
      </c>
      <c r="C69" s="37">
        <v>2.0</v>
      </c>
      <c r="D69" s="37">
        <v>15.0</v>
      </c>
      <c r="E69" s="37" t="s">
        <v>4895</v>
      </c>
      <c r="AY69" s="37" t="s">
        <v>4896</v>
      </c>
      <c r="AZ69" s="39">
        <v>2.0</v>
      </c>
      <c r="BA69" s="39" t="s">
        <v>4887</v>
      </c>
      <c r="BB69" s="39"/>
      <c r="BC69" s="39"/>
    </row>
    <row r="70" ht="18.75" customHeight="1" outlineLevel="1">
      <c r="A70" s="37" t="s">
        <v>4897</v>
      </c>
      <c r="B70" s="37" t="s">
        <v>4396</v>
      </c>
      <c r="C70" s="37">
        <v>2.0</v>
      </c>
      <c r="D70" s="37">
        <v>15.0</v>
      </c>
      <c r="E70" s="37" t="s">
        <v>4898</v>
      </c>
      <c r="AY70" s="37" t="s">
        <v>4899</v>
      </c>
      <c r="AZ70" s="39">
        <v>2.0</v>
      </c>
      <c r="BA70" s="39" t="s">
        <v>4890</v>
      </c>
      <c r="BB70" s="39"/>
      <c r="BC70" s="39"/>
    </row>
    <row r="71" ht="18.75" customHeight="1" outlineLevel="1">
      <c r="A71" s="37" t="s">
        <v>4900</v>
      </c>
      <c r="B71" s="37" t="s">
        <v>4396</v>
      </c>
      <c r="C71" s="37">
        <v>3.0</v>
      </c>
      <c r="D71" s="37">
        <v>25.0</v>
      </c>
      <c r="E71" s="37" t="s">
        <v>4886</v>
      </c>
      <c r="AY71" s="37" t="s">
        <v>4901</v>
      </c>
      <c r="AZ71" s="39">
        <v>3.0</v>
      </c>
      <c r="BA71" s="39" t="s">
        <v>4893</v>
      </c>
      <c r="BB71" s="39"/>
      <c r="BC71" s="39"/>
    </row>
    <row r="72" ht="18.75" customHeight="1" outlineLevel="1">
      <c r="A72" s="37" t="s">
        <v>4902</v>
      </c>
      <c r="B72" s="37" t="s">
        <v>4396</v>
      </c>
      <c r="C72" s="37">
        <v>3.0</v>
      </c>
      <c r="D72" s="37">
        <v>25.0</v>
      </c>
      <c r="E72" s="37" t="s">
        <v>4903</v>
      </c>
      <c r="AY72" s="37" t="s">
        <v>4904</v>
      </c>
      <c r="AZ72" s="39">
        <v>3.0</v>
      </c>
      <c r="BA72" s="39" t="s">
        <v>4896</v>
      </c>
      <c r="BB72" s="39"/>
      <c r="BC72" s="39"/>
    </row>
    <row r="73" ht="18.75" customHeight="1" outlineLevel="1">
      <c r="A73" s="37" t="s">
        <v>4905</v>
      </c>
      <c r="B73" s="37" t="s">
        <v>4396</v>
      </c>
      <c r="C73" s="37">
        <v>3.0</v>
      </c>
      <c r="D73" s="37">
        <v>25.0</v>
      </c>
      <c r="E73" s="37" t="s">
        <v>4906</v>
      </c>
      <c r="AY73" s="37" t="s">
        <v>4907</v>
      </c>
      <c r="AZ73" s="39">
        <v>3.0</v>
      </c>
      <c r="BA73" s="39" t="s">
        <v>4899</v>
      </c>
      <c r="BB73" s="39"/>
      <c r="BC73" s="39"/>
    </row>
    <row r="74" ht="18.75" customHeight="1" outlineLevel="1">
      <c r="A74" s="37" t="s">
        <v>4908</v>
      </c>
      <c r="B74" s="37" t="s">
        <v>4396</v>
      </c>
      <c r="C74" s="37">
        <v>4.0</v>
      </c>
      <c r="D74" s="37">
        <v>35.0</v>
      </c>
      <c r="E74" s="37" t="s">
        <v>4909</v>
      </c>
      <c r="AJ74" s="39">
        <v>25.0</v>
      </c>
      <c r="AY74" s="37" t="s">
        <v>4910</v>
      </c>
      <c r="AZ74" s="39">
        <v>4.0</v>
      </c>
      <c r="BA74" s="39" t="s">
        <v>4901</v>
      </c>
      <c r="BB74" s="39"/>
      <c r="BC74" s="39"/>
    </row>
    <row r="75" ht="18.75" customHeight="1" outlineLevel="1">
      <c r="A75" s="37" t="s">
        <v>4911</v>
      </c>
      <c r="B75" s="37" t="s">
        <v>4396</v>
      </c>
      <c r="C75" s="37">
        <v>4.0</v>
      </c>
      <c r="D75" s="37">
        <v>35.0</v>
      </c>
      <c r="E75" s="37" t="s">
        <v>4912</v>
      </c>
      <c r="AY75" s="37" t="s">
        <v>4913</v>
      </c>
      <c r="AZ75" s="39">
        <v>4.0</v>
      </c>
      <c r="BA75" s="39" t="s">
        <v>4904</v>
      </c>
      <c r="BB75" s="39"/>
      <c r="BC75" s="39"/>
    </row>
    <row r="76" ht="18.75" customHeight="1" outlineLevel="1">
      <c r="A76" s="37" t="s">
        <v>4914</v>
      </c>
      <c r="B76" s="37" t="s">
        <v>4396</v>
      </c>
      <c r="C76" s="37">
        <v>4.0</v>
      </c>
      <c r="D76" s="37">
        <v>35.0</v>
      </c>
      <c r="E76" s="37" t="s">
        <v>4915</v>
      </c>
      <c r="AY76" s="37" t="s">
        <v>4916</v>
      </c>
      <c r="AZ76" s="39">
        <v>4.0</v>
      </c>
      <c r="BA76" s="39" t="s">
        <v>4907</v>
      </c>
      <c r="BB76" s="39"/>
      <c r="BC76" s="39"/>
    </row>
    <row r="77" ht="18.75" customHeight="1" outlineLevel="1">
      <c r="B77" s="37" t="s">
        <v>4396</v>
      </c>
      <c r="C77" s="37">
        <f t="shared" ref="C77:C85" si="4">C74+1</f>
        <v>5</v>
      </c>
    </row>
    <row r="78" ht="18.75" customHeight="1" outlineLevel="1">
      <c r="B78" s="37" t="s">
        <v>4396</v>
      </c>
      <c r="C78" s="37">
        <f t="shared" si="4"/>
        <v>5</v>
      </c>
    </row>
    <row r="79" ht="18.75" customHeight="1" outlineLevel="1">
      <c r="B79" s="37" t="s">
        <v>4396</v>
      </c>
      <c r="C79" s="37">
        <f t="shared" si="4"/>
        <v>5</v>
      </c>
    </row>
    <row r="80" ht="18.75" customHeight="1" outlineLevel="1">
      <c r="B80" s="37" t="s">
        <v>4396</v>
      </c>
      <c r="C80" s="37">
        <f t="shared" si="4"/>
        <v>6</v>
      </c>
    </row>
    <row r="81" ht="18.75" customHeight="1" outlineLevel="1">
      <c r="B81" s="37" t="s">
        <v>4396</v>
      </c>
      <c r="C81" s="37">
        <f t="shared" si="4"/>
        <v>6</v>
      </c>
    </row>
    <row r="82" ht="18.75" customHeight="1" outlineLevel="1">
      <c r="B82" s="37" t="s">
        <v>4396</v>
      </c>
      <c r="C82" s="37">
        <f t="shared" si="4"/>
        <v>6</v>
      </c>
    </row>
    <row r="83" ht="18.75" customHeight="1" outlineLevel="1">
      <c r="B83" s="37" t="s">
        <v>4396</v>
      </c>
      <c r="C83" s="37">
        <f t="shared" si="4"/>
        <v>7</v>
      </c>
    </row>
    <row r="84" ht="18.75" customHeight="1" outlineLevel="1">
      <c r="B84" s="37" t="s">
        <v>4396</v>
      </c>
      <c r="C84" s="37">
        <f t="shared" si="4"/>
        <v>7</v>
      </c>
    </row>
    <row r="85" ht="18.75" customHeight="1" outlineLevel="1">
      <c r="B85" s="37" t="s">
        <v>4396</v>
      </c>
      <c r="C85" s="37">
        <f t="shared" si="4"/>
        <v>7</v>
      </c>
    </row>
    <row r="86" ht="18.75" customHeight="1" outlineLevel="1">
      <c r="A86" s="37" t="s">
        <v>4917</v>
      </c>
      <c r="B86" s="37" t="s">
        <v>4918</v>
      </c>
      <c r="C86" s="37">
        <v>1.0</v>
      </c>
      <c r="D86" s="37">
        <v>5.0</v>
      </c>
      <c r="E86" s="37" t="s">
        <v>4919</v>
      </c>
      <c r="AY86" s="37" t="s">
        <v>4920</v>
      </c>
      <c r="AZ86" s="39">
        <v>1.0</v>
      </c>
      <c r="BA86" s="39" t="s">
        <v>29</v>
      </c>
      <c r="BB86" s="39"/>
      <c r="BC86" s="39"/>
    </row>
    <row r="87" ht="18.75" customHeight="1">
      <c r="A87" s="37" t="s">
        <v>4921</v>
      </c>
      <c r="B87" s="37" t="s">
        <v>4918</v>
      </c>
      <c r="C87" s="37">
        <v>1.0</v>
      </c>
      <c r="D87" s="37">
        <v>5.0</v>
      </c>
      <c r="E87" s="37" t="s">
        <v>4922</v>
      </c>
      <c r="AY87" s="37" t="s">
        <v>4923</v>
      </c>
      <c r="AZ87" s="39">
        <v>1.0</v>
      </c>
      <c r="BA87" s="39" t="s">
        <v>29</v>
      </c>
      <c r="BB87" s="39"/>
      <c r="BC87" s="39"/>
    </row>
    <row r="88" ht="18.75" customHeight="1" outlineLevel="1">
      <c r="A88" s="37" t="s">
        <v>4924</v>
      </c>
      <c r="B88" s="37" t="s">
        <v>4918</v>
      </c>
      <c r="C88" s="37">
        <v>1.0</v>
      </c>
      <c r="D88" s="37">
        <v>5.0</v>
      </c>
      <c r="E88" s="37" t="s">
        <v>4925</v>
      </c>
      <c r="AY88" s="37" t="s">
        <v>4926</v>
      </c>
      <c r="AZ88" s="39">
        <v>1.0</v>
      </c>
      <c r="BA88" s="39" t="s">
        <v>29</v>
      </c>
      <c r="BB88" s="39"/>
      <c r="BC88" s="39"/>
    </row>
    <row r="89" ht="18.75" customHeight="1" outlineLevel="1">
      <c r="A89" s="37" t="s">
        <v>4927</v>
      </c>
      <c r="B89" s="37" t="s">
        <v>4918</v>
      </c>
      <c r="C89" s="37">
        <v>2.0</v>
      </c>
      <c r="D89" s="37">
        <v>15.0</v>
      </c>
      <c r="E89" s="37" t="s">
        <v>4928</v>
      </c>
      <c r="AY89" s="37" t="s">
        <v>4929</v>
      </c>
      <c r="AZ89" s="39">
        <v>2.0</v>
      </c>
      <c r="BA89" s="39" t="s">
        <v>4920</v>
      </c>
      <c r="BB89" s="39"/>
      <c r="BC89" s="39"/>
    </row>
    <row r="90" ht="18.75" customHeight="1" outlineLevel="1">
      <c r="A90" s="37" t="s">
        <v>4930</v>
      </c>
      <c r="B90" s="37" t="s">
        <v>4918</v>
      </c>
      <c r="C90" s="37">
        <v>2.0</v>
      </c>
      <c r="D90" s="37">
        <v>15.0</v>
      </c>
      <c r="E90" s="37" t="s">
        <v>4931</v>
      </c>
      <c r="M90" s="39">
        <v>5.0</v>
      </c>
      <c r="N90" s="39">
        <v>5.0</v>
      </c>
      <c r="AY90" s="37" t="s">
        <v>4932</v>
      </c>
      <c r="AZ90" s="39">
        <v>2.0</v>
      </c>
      <c r="BA90" s="39" t="s">
        <v>4923</v>
      </c>
      <c r="BB90" s="39"/>
      <c r="BC90" s="39"/>
    </row>
    <row r="91" ht="18.75" customHeight="1" outlineLevel="1">
      <c r="A91" s="37" t="s">
        <v>4933</v>
      </c>
      <c r="B91" s="37" t="s">
        <v>4918</v>
      </c>
      <c r="C91" s="37">
        <v>2.0</v>
      </c>
      <c r="D91" s="37">
        <v>15.0</v>
      </c>
      <c r="E91" s="37" t="s">
        <v>4934</v>
      </c>
      <c r="AY91" s="37" t="s">
        <v>4935</v>
      </c>
      <c r="AZ91" s="39">
        <v>2.0</v>
      </c>
      <c r="BA91" s="39" t="s">
        <v>4926</v>
      </c>
      <c r="BB91" s="39"/>
      <c r="BC91" s="39"/>
    </row>
    <row r="92" ht="18.75" customHeight="1" outlineLevel="1">
      <c r="A92" s="37" t="s">
        <v>4936</v>
      </c>
      <c r="B92" s="37" t="s">
        <v>4918</v>
      </c>
      <c r="C92" s="37">
        <v>3.0</v>
      </c>
      <c r="D92" s="37">
        <v>25.0</v>
      </c>
      <c r="E92" s="37" t="s">
        <v>4937</v>
      </c>
      <c r="AY92" s="37" t="s">
        <v>4938</v>
      </c>
      <c r="AZ92" s="39">
        <v>3.0</v>
      </c>
      <c r="BA92" s="39" t="s">
        <v>4929</v>
      </c>
      <c r="BB92" s="39"/>
      <c r="BC92" s="39"/>
    </row>
    <row r="93" ht="18.75" customHeight="1" outlineLevel="1">
      <c r="A93" s="37" t="s">
        <v>4939</v>
      </c>
      <c r="B93" s="37" t="s">
        <v>4918</v>
      </c>
      <c r="C93" s="37">
        <v>3.0</v>
      </c>
      <c r="D93" s="37">
        <v>25.0</v>
      </c>
      <c r="E93" s="37" t="s">
        <v>4940</v>
      </c>
      <c r="AY93" s="37" t="s">
        <v>4941</v>
      </c>
      <c r="AZ93" s="39">
        <v>3.0</v>
      </c>
      <c r="BA93" s="39" t="s">
        <v>4932</v>
      </c>
      <c r="BB93" s="39"/>
      <c r="BC93" s="39"/>
    </row>
    <row r="94" ht="18.75" customHeight="1" outlineLevel="1">
      <c r="A94" s="37" t="s">
        <v>4942</v>
      </c>
      <c r="B94" s="37" t="s">
        <v>4918</v>
      </c>
      <c r="C94" s="37">
        <v>3.0</v>
      </c>
      <c r="D94" s="37">
        <v>25.0</v>
      </c>
      <c r="E94" s="37" t="s">
        <v>4943</v>
      </c>
      <c r="AY94" s="37" t="s">
        <v>4944</v>
      </c>
      <c r="AZ94" s="39">
        <v>3.0</v>
      </c>
      <c r="BA94" s="39" t="s">
        <v>4935</v>
      </c>
      <c r="BB94" s="39"/>
      <c r="BC94" s="39"/>
    </row>
    <row r="95" ht="18.75" customHeight="1" outlineLevel="1">
      <c r="A95" s="37" t="s">
        <v>4945</v>
      </c>
      <c r="B95" s="37" t="s">
        <v>4918</v>
      </c>
      <c r="C95" s="37">
        <v>4.0</v>
      </c>
      <c r="D95" s="37">
        <v>35.0</v>
      </c>
      <c r="E95" s="37" t="s">
        <v>4946</v>
      </c>
      <c r="AY95" s="37" t="s">
        <v>4947</v>
      </c>
      <c r="AZ95" s="39">
        <v>4.0</v>
      </c>
      <c r="BA95" s="39" t="s">
        <v>4938</v>
      </c>
      <c r="BB95" s="39"/>
      <c r="BC95" s="39"/>
    </row>
    <row r="96" ht="18.75" customHeight="1" outlineLevel="1">
      <c r="A96" s="37" t="s">
        <v>4948</v>
      </c>
      <c r="B96" s="37" t="s">
        <v>4918</v>
      </c>
      <c r="C96" s="37">
        <v>4.0</v>
      </c>
      <c r="D96" s="37">
        <v>35.0</v>
      </c>
      <c r="E96" s="37" t="s">
        <v>4949</v>
      </c>
      <c r="M96" s="39">
        <v>10.0</v>
      </c>
      <c r="N96" s="39">
        <v>10.0</v>
      </c>
      <c r="AY96" s="37" t="s">
        <v>4950</v>
      </c>
      <c r="AZ96" s="39">
        <v>4.0</v>
      </c>
      <c r="BA96" s="39" t="s">
        <v>4941</v>
      </c>
      <c r="BB96" s="39"/>
      <c r="BC96" s="39"/>
    </row>
    <row r="97" ht="18.75" customHeight="1" outlineLevel="1">
      <c r="A97" s="37" t="s">
        <v>4951</v>
      </c>
      <c r="B97" s="37" t="s">
        <v>4918</v>
      </c>
      <c r="C97" s="37">
        <v>4.0</v>
      </c>
      <c r="D97" s="37">
        <v>35.0</v>
      </c>
      <c r="E97" s="37" t="s">
        <v>4952</v>
      </c>
      <c r="AY97" s="37" t="s">
        <v>4953</v>
      </c>
      <c r="AZ97" s="39">
        <v>4.0</v>
      </c>
      <c r="BA97" s="39" t="s">
        <v>4944</v>
      </c>
      <c r="BB97" s="39"/>
      <c r="BC97" s="39"/>
    </row>
    <row r="98" ht="18.75" customHeight="1" outlineLevel="1">
      <c r="B98" s="37" t="s">
        <v>4918</v>
      </c>
      <c r="C98" s="37">
        <f t="shared" ref="C98:C106" si="5">C95+1</f>
        <v>5</v>
      </c>
    </row>
    <row r="99" ht="18.75" customHeight="1" outlineLevel="1">
      <c r="B99" s="37" t="s">
        <v>4918</v>
      </c>
      <c r="C99" s="37">
        <f t="shared" si="5"/>
        <v>5</v>
      </c>
    </row>
    <row r="100" ht="18.75" customHeight="1" outlineLevel="1">
      <c r="B100" s="37" t="s">
        <v>4918</v>
      </c>
      <c r="C100" s="37">
        <f t="shared" si="5"/>
        <v>5</v>
      </c>
    </row>
    <row r="101" ht="18.75" customHeight="1" outlineLevel="1">
      <c r="B101" s="37" t="s">
        <v>4918</v>
      </c>
      <c r="C101" s="37">
        <f t="shared" si="5"/>
        <v>6</v>
      </c>
    </row>
    <row r="102" ht="18.75" customHeight="1" outlineLevel="1">
      <c r="B102" s="37" t="s">
        <v>4918</v>
      </c>
      <c r="C102" s="37">
        <f t="shared" si="5"/>
        <v>6</v>
      </c>
    </row>
    <row r="103" ht="18.75" customHeight="1" outlineLevel="1">
      <c r="B103" s="37" t="s">
        <v>4918</v>
      </c>
      <c r="C103" s="37">
        <f t="shared" si="5"/>
        <v>6</v>
      </c>
    </row>
    <row r="104" ht="18.75" customHeight="1" outlineLevel="1">
      <c r="B104" s="37" t="s">
        <v>4918</v>
      </c>
      <c r="C104" s="37">
        <f t="shared" si="5"/>
        <v>7</v>
      </c>
    </row>
    <row r="105" ht="18.75" customHeight="1" outlineLevel="1">
      <c r="B105" s="37" t="s">
        <v>4918</v>
      </c>
      <c r="C105" s="37">
        <f t="shared" si="5"/>
        <v>7</v>
      </c>
    </row>
    <row r="106" ht="18.75" customHeight="1" outlineLevel="1">
      <c r="B106" s="37" t="s">
        <v>4918</v>
      </c>
      <c r="C106" s="37">
        <f t="shared" si="5"/>
        <v>7</v>
      </c>
    </row>
    <row r="107" ht="18.75" customHeight="1">
      <c r="A107" s="39" t="s">
        <v>4954</v>
      </c>
      <c r="B107" s="41" t="s">
        <v>4955</v>
      </c>
      <c r="C107" s="39">
        <v>1.0</v>
      </c>
      <c r="D107" s="39">
        <v>5.0</v>
      </c>
      <c r="E107" s="41" t="s">
        <v>4956</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4957</v>
      </c>
      <c r="AZ107" s="39">
        <v>1.0</v>
      </c>
      <c r="BA107" s="39" t="s">
        <v>29</v>
      </c>
      <c r="BB107" s="39"/>
      <c r="BC107" s="39"/>
    </row>
    <row r="108" ht="18.75" customHeight="1">
      <c r="A108" s="39" t="s">
        <v>4958</v>
      </c>
      <c r="B108" s="41" t="s">
        <v>4955</v>
      </c>
      <c r="C108" s="39">
        <v>2.0</v>
      </c>
      <c r="D108" s="39">
        <v>15.0</v>
      </c>
      <c r="E108" s="39" t="s">
        <v>4959</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4960</v>
      </c>
      <c r="AZ108" s="39">
        <v>2.0</v>
      </c>
      <c r="BA108" s="39" t="s">
        <v>4957</v>
      </c>
      <c r="BB108" s="39"/>
      <c r="BC108" s="39"/>
    </row>
    <row r="109" ht="18.75" customHeight="1">
      <c r="A109" s="39" t="s">
        <v>4961</v>
      </c>
      <c r="B109" s="41" t="s">
        <v>4955</v>
      </c>
      <c r="C109" s="39">
        <v>3.0</v>
      </c>
      <c r="D109" s="39">
        <v>25.0</v>
      </c>
      <c r="E109" s="39" t="s">
        <v>4962</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4963</v>
      </c>
      <c r="AZ109" s="39">
        <v>3.0</v>
      </c>
      <c r="BA109" s="39" t="s">
        <v>4960</v>
      </c>
      <c r="BB109" s="39"/>
      <c r="BC109" s="39"/>
    </row>
    <row r="110" ht="18.75" customHeight="1">
      <c r="A110" s="39" t="s">
        <v>4964</v>
      </c>
      <c r="B110" s="41" t="s">
        <v>4955</v>
      </c>
      <c r="C110" s="39">
        <v>1.0</v>
      </c>
      <c r="D110" s="39">
        <v>5.0</v>
      </c>
      <c r="E110" s="39" t="s">
        <v>4965</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4966</v>
      </c>
      <c r="AZ110" s="39">
        <v>1.0</v>
      </c>
      <c r="BA110" s="39" t="s">
        <v>29</v>
      </c>
      <c r="BB110" s="39"/>
      <c r="BC110" s="39"/>
    </row>
    <row r="111" ht="18.75" customHeight="1">
      <c r="A111" s="39" t="s">
        <v>4967</v>
      </c>
      <c r="B111" s="41" t="s">
        <v>4955</v>
      </c>
      <c r="C111" s="39">
        <v>2.0</v>
      </c>
      <c r="D111" s="39">
        <v>15.0</v>
      </c>
      <c r="E111" s="39" t="s">
        <v>4968</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4969</v>
      </c>
      <c r="AZ111" s="39">
        <v>2.0</v>
      </c>
      <c r="BA111" s="39" t="s">
        <v>4966</v>
      </c>
      <c r="BB111" s="39"/>
      <c r="BC111" s="39"/>
    </row>
    <row r="112" ht="18.75" customHeight="1">
      <c r="A112" s="39" t="s">
        <v>4970</v>
      </c>
      <c r="B112" s="41" t="s">
        <v>4955</v>
      </c>
      <c r="C112" s="39">
        <v>3.0</v>
      </c>
      <c r="D112" s="39">
        <v>25.0</v>
      </c>
      <c r="E112" s="39" t="s">
        <v>4971</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4972</v>
      </c>
      <c r="AZ112" s="39">
        <v>3.0</v>
      </c>
      <c r="BA112" s="39" t="s">
        <v>4969</v>
      </c>
      <c r="BB112" s="39"/>
      <c r="BC112" s="39"/>
    </row>
    <row r="113" ht="18.75" customHeight="1">
      <c r="A113" s="39" t="s">
        <v>4973</v>
      </c>
      <c r="B113" s="41" t="s">
        <v>4955</v>
      </c>
      <c r="C113" s="39">
        <v>1.0</v>
      </c>
      <c r="D113" s="39">
        <v>5.0</v>
      </c>
      <c r="E113" s="39" t="s">
        <v>4974</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4975</v>
      </c>
      <c r="AZ113" s="39">
        <v>1.0</v>
      </c>
      <c r="BA113" s="39" t="s">
        <v>29</v>
      </c>
      <c r="BB113" s="39"/>
      <c r="BC113" s="39"/>
    </row>
    <row r="114" ht="18.75" customHeight="1">
      <c r="A114" s="39" t="s">
        <v>4976</v>
      </c>
      <c r="B114" s="39" t="s">
        <v>4813</v>
      </c>
      <c r="C114" s="39">
        <v>1.0</v>
      </c>
      <c r="D114" s="39">
        <v>5.0</v>
      </c>
      <c r="E114" s="39" t="s">
        <v>4977</v>
      </c>
      <c r="AY114" s="39" t="s">
        <v>4978</v>
      </c>
      <c r="AZ114" s="39">
        <v>1.0</v>
      </c>
      <c r="BB114" s="39">
        <v>5.0</v>
      </c>
      <c r="BC114" s="39">
        <v>0.0</v>
      </c>
    </row>
    <row r="115" ht="18.75" customHeight="1">
      <c r="A115" s="39" t="s">
        <v>4979</v>
      </c>
      <c r="B115" s="39" t="s">
        <v>4813</v>
      </c>
      <c r="C115" s="39">
        <v>2.0</v>
      </c>
      <c r="D115" s="39">
        <v>15.0</v>
      </c>
      <c r="E115" s="39" t="s">
        <v>4980</v>
      </c>
      <c r="AY115" s="39" t="s">
        <v>4981</v>
      </c>
      <c r="AZ115" s="39">
        <v>2.0</v>
      </c>
      <c r="BA115" s="39" t="s">
        <v>4978</v>
      </c>
      <c r="BB115" s="39">
        <v>5.0</v>
      </c>
      <c r="BC115" s="39">
        <v>0.0</v>
      </c>
    </row>
    <row r="116" ht="18.75" customHeight="1">
      <c r="A116" s="39" t="s">
        <v>4982</v>
      </c>
      <c r="B116" s="39" t="s">
        <v>4813</v>
      </c>
      <c r="C116" s="39">
        <v>3.0</v>
      </c>
      <c r="D116" s="39">
        <v>25.0</v>
      </c>
      <c r="E116" s="39" t="s">
        <v>4983</v>
      </c>
      <c r="AY116" s="39" t="s">
        <v>4984</v>
      </c>
      <c r="AZ116" s="39">
        <v>3.0</v>
      </c>
      <c r="BA116" s="39" t="s">
        <v>4981</v>
      </c>
      <c r="BB116" s="39">
        <v>5.0</v>
      </c>
      <c r="BC116" s="39">
        <v>1.0</v>
      </c>
    </row>
    <row r="117" ht="18.75" customHeight="1">
      <c r="A117" s="39" t="s">
        <v>4985</v>
      </c>
      <c r="B117" s="39" t="s">
        <v>4813</v>
      </c>
      <c r="C117" s="39">
        <v>4.0</v>
      </c>
      <c r="D117" s="39">
        <v>35.0</v>
      </c>
      <c r="E117" s="39" t="s">
        <v>4980</v>
      </c>
      <c r="AY117" s="39" t="s">
        <v>4986</v>
      </c>
      <c r="AZ117" s="39">
        <v>4.0</v>
      </c>
      <c r="BA117" s="39" t="s">
        <v>4984</v>
      </c>
      <c r="BB117" s="39">
        <v>5.0</v>
      </c>
      <c r="BC117" s="39">
        <v>0.0</v>
      </c>
    </row>
    <row r="118" ht="18.75" customHeight="1">
      <c r="A118" s="39" t="s">
        <v>4987</v>
      </c>
      <c r="B118" s="39" t="s">
        <v>4813</v>
      </c>
      <c r="C118" s="39">
        <v>5.0</v>
      </c>
      <c r="D118" s="39">
        <v>45.0</v>
      </c>
      <c r="E118" s="39" t="s">
        <v>4988</v>
      </c>
      <c r="AY118" s="39" t="s">
        <v>4989</v>
      </c>
      <c r="AZ118" s="39">
        <v>5.0</v>
      </c>
      <c r="BA118" s="39" t="s">
        <v>4986</v>
      </c>
      <c r="BB118" s="39">
        <v>5.0</v>
      </c>
      <c r="BC118" s="39">
        <v>1.0</v>
      </c>
    </row>
    <row r="119" ht="18.75" customHeight="1">
      <c r="A119" s="39" t="s">
        <v>4990</v>
      </c>
      <c r="B119" s="39" t="s">
        <v>4813</v>
      </c>
      <c r="C119" s="39">
        <v>6.0</v>
      </c>
      <c r="D119" s="39">
        <v>55.0</v>
      </c>
      <c r="E119" s="39" t="s">
        <v>4980</v>
      </c>
      <c r="AY119" s="39" t="s">
        <v>4991</v>
      </c>
      <c r="AZ119" s="39">
        <v>6.0</v>
      </c>
      <c r="BA119" s="39" t="s">
        <v>4989</v>
      </c>
      <c r="BB119" s="39">
        <v>5.0</v>
      </c>
      <c r="BC119" s="39">
        <v>0.0</v>
      </c>
    </row>
    <row r="120" ht="18.75" customHeight="1">
      <c r="A120" s="39" t="s">
        <v>4992</v>
      </c>
      <c r="B120" s="39" t="s">
        <v>4813</v>
      </c>
      <c r="C120" s="39">
        <v>7.0</v>
      </c>
      <c r="D120" s="39">
        <v>65.0</v>
      </c>
      <c r="E120" s="39" t="s">
        <v>4993</v>
      </c>
      <c r="AY120" s="39" t="s">
        <v>4994</v>
      </c>
      <c r="AZ120" s="39">
        <v>7.0</v>
      </c>
      <c r="BA120" s="39" t="s">
        <v>4991</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4995</v>
      </c>
      <c r="B1" s="11" t="s">
        <v>2</v>
      </c>
      <c r="C1" s="2" t="s">
        <v>4996</v>
      </c>
      <c r="D1" s="3" t="s">
        <v>3844</v>
      </c>
      <c r="E1" s="3" t="s">
        <v>0</v>
      </c>
      <c r="F1" s="4" t="s">
        <v>4379</v>
      </c>
      <c r="G1" s="5" t="s">
        <v>4382</v>
      </c>
      <c r="H1" s="166" t="s">
        <v>4384</v>
      </c>
      <c r="I1" s="5" t="s">
        <v>4386</v>
      </c>
      <c r="J1" s="166" t="s">
        <v>4388</v>
      </c>
      <c r="K1" s="166" t="s">
        <v>4997</v>
      </c>
      <c r="L1" s="167"/>
      <c r="M1" s="168" t="s">
        <v>849</v>
      </c>
      <c r="N1" s="168" t="s">
        <v>4998</v>
      </c>
      <c r="O1" s="168" t="s">
        <v>1492</v>
      </c>
      <c r="P1" s="168" t="s">
        <v>4999</v>
      </c>
      <c r="Q1" s="168" t="s">
        <v>4813</v>
      </c>
      <c r="R1" s="168" t="s">
        <v>5000</v>
      </c>
      <c r="S1" s="168" t="s">
        <v>284</v>
      </c>
      <c r="T1" s="168" t="s">
        <v>370</v>
      </c>
      <c r="U1" s="168" t="s">
        <v>518</v>
      </c>
      <c r="V1" s="168" t="s">
        <v>644</v>
      </c>
      <c r="W1" s="168" t="s">
        <v>783</v>
      </c>
      <c r="X1" s="168" t="s">
        <v>716</v>
      </c>
      <c r="Y1" s="168"/>
      <c r="Z1" s="168" t="s">
        <v>5001</v>
      </c>
      <c r="AA1" s="168" t="s">
        <v>1490</v>
      </c>
      <c r="AB1" s="168" t="s">
        <v>5002</v>
      </c>
      <c r="AC1" s="168" t="s">
        <v>5003</v>
      </c>
      <c r="AD1" s="168" t="s">
        <v>5004</v>
      </c>
      <c r="AE1" s="168" t="s">
        <v>5005</v>
      </c>
      <c r="AF1" s="168" t="s">
        <v>5006</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5007</v>
      </c>
      <c r="BT1" s="48" t="s">
        <v>2587</v>
      </c>
      <c r="BU1" s="48" t="s">
        <v>2588</v>
      </c>
      <c r="BV1" s="48" t="s">
        <v>2589</v>
      </c>
      <c r="BW1" s="48" t="s">
        <v>2590</v>
      </c>
      <c r="BX1" s="48" t="s">
        <v>2591</v>
      </c>
      <c r="BY1" s="48" t="s">
        <v>2592</v>
      </c>
      <c r="BZ1" s="169" t="s">
        <v>5008</v>
      </c>
      <c r="CA1" s="169" t="s">
        <v>5009</v>
      </c>
      <c r="CB1" s="169" t="s">
        <v>5010</v>
      </c>
      <c r="CC1" s="169" t="s">
        <v>8</v>
      </c>
      <c r="CD1" s="169" t="s">
        <v>4369</v>
      </c>
      <c r="CE1" s="169" t="s">
        <v>5011</v>
      </c>
      <c r="CF1" s="169" t="s">
        <v>5012</v>
      </c>
      <c r="CG1" s="169" t="s">
        <v>5013</v>
      </c>
      <c r="CH1" s="169" t="s">
        <v>5014</v>
      </c>
      <c r="CI1" s="169" t="s">
        <v>5015</v>
      </c>
      <c r="CJ1" s="169" t="s">
        <v>5016</v>
      </c>
    </row>
    <row r="2" ht="18.75" customHeight="1">
      <c r="A2" s="11"/>
      <c r="B2" s="11" t="s">
        <v>5017</v>
      </c>
      <c r="C2" s="2"/>
      <c r="D2" s="3"/>
      <c r="E2" s="3"/>
      <c r="F2" s="170"/>
      <c r="G2" s="166"/>
      <c r="H2" s="166"/>
      <c r="I2" s="166"/>
      <c r="J2" s="166"/>
      <c r="K2" s="166"/>
      <c r="L2" s="167"/>
      <c r="M2" s="168"/>
      <c r="N2" s="168"/>
      <c r="O2" s="168"/>
      <c r="P2" s="168"/>
      <c r="Q2" s="168"/>
      <c r="R2" s="168"/>
      <c r="S2" s="168"/>
      <c r="T2" s="168"/>
      <c r="U2" s="168"/>
      <c r="V2" s="168"/>
      <c r="W2" s="168"/>
      <c r="X2" s="168"/>
      <c r="Y2" s="168"/>
      <c r="Z2" s="168"/>
      <c r="AA2" s="168"/>
      <c r="AB2" s="168"/>
      <c r="AC2" s="168"/>
      <c r="AD2" s="168"/>
      <c r="AE2" s="168"/>
      <c r="AF2" s="16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9"/>
      <c r="CA2" s="169"/>
      <c r="CB2" s="169"/>
      <c r="CC2" s="169"/>
      <c r="CD2" s="169"/>
      <c r="CE2" s="169"/>
      <c r="CF2" s="169"/>
      <c r="CG2" s="169"/>
      <c r="CH2" s="169"/>
      <c r="CI2" s="169"/>
      <c r="CJ2" s="169"/>
    </row>
    <row r="3" ht="18.75" customHeight="1" outlineLevel="1">
      <c r="A3" s="37" t="str">
        <f t="shared" ref="A3:A5" si="1">"炎付与"&amp;B3</f>
        <v>炎付与Ⅰ</v>
      </c>
      <c r="B3" s="37" t="s">
        <v>5018</v>
      </c>
      <c r="C3" s="37" t="s">
        <v>3327</v>
      </c>
      <c r="E3" s="37">
        <f t="shared" ref="E3:E20" si="2">MAX(F3:K3)</f>
        <v>2</v>
      </c>
      <c r="G3" s="37">
        <v>2.0</v>
      </c>
      <c r="S3" s="37">
        <f t="shared" ref="S3:S5" si="3">$G3*15</f>
        <v>30</v>
      </c>
    </row>
    <row r="4" ht="18.75" customHeight="1" outlineLevel="1">
      <c r="A4" s="37" t="str">
        <f t="shared" si="1"/>
        <v>炎付与Ⅱ</v>
      </c>
      <c r="B4" s="37" t="s">
        <v>5019</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5020</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5018</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5019</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5020</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5018</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5019</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5020</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5018</v>
      </c>
      <c r="C12" s="37" t="s">
        <v>3327</v>
      </c>
      <c r="E12" s="37">
        <f t="shared" si="2"/>
        <v>2</v>
      </c>
      <c r="G12" s="37">
        <v>2.0</v>
      </c>
      <c r="V12" s="37">
        <f t="shared" ref="V12:V14" si="9">$G12*15</f>
        <v>30</v>
      </c>
    </row>
    <row r="13" ht="18.75" customHeight="1" outlineLevel="1">
      <c r="A13" s="37" t="str">
        <f t="shared" si="8"/>
        <v>毒付与Ⅱ</v>
      </c>
      <c r="B13" s="37" t="s">
        <v>5019</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5020</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5018</v>
      </c>
      <c r="C15" s="37" t="s">
        <v>3327</v>
      </c>
      <c r="E15" s="37">
        <f t="shared" si="2"/>
        <v>2</v>
      </c>
      <c r="H15" s="37">
        <v>2.0</v>
      </c>
      <c r="W15" s="37">
        <f t="shared" ref="W15:W17" si="11">$H15*15</f>
        <v>30</v>
      </c>
    </row>
    <row r="16" ht="18.75" customHeight="1" outlineLevel="1">
      <c r="A16" s="37" t="str">
        <f t="shared" si="10"/>
        <v>光付与Ⅱ</v>
      </c>
      <c r="B16" s="37" t="s">
        <v>5019</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5020</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5018</v>
      </c>
      <c r="C18" s="37" t="s">
        <v>3327</v>
      </c>
      <c r="E18" s="37">
        <f t="shared" si="2"/>
        <v>2</v>
      </c>
      <c r="G18" s="37">
        <v>2.0</v>
      </c>
      <c r="X18" s="37">
        <f t="shared" ref="X18:X20" si="13">$G18*15</f>
        <v>30</v>
      </c>
    </row>
    <row r="19" ht="18.75" customHeight="1" outlineLevel="1">
      <c r="A19" s="37" t="str">
        <f t="shared" si="12"/>
        <v>闇付与Ⅱ</v>
      </c>
      <c r="B19" s="37" t="s">
        <v>5019</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5020</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5021</v>
      </c>
      <c r="C22" s="37" t="s">
        <v>5022</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5023</v>
      </c>
      <c r="C23" s="37" t="s">
        <v>5022</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5024</v>
      </c>
      <c r="C24" s="37" t="s">
        <v>5022</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5025</v>
      </c>
      <c r="C25" s="37" t="s">
        <v>5026</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5027</v>
      </c>
      <c r="C26" s="37" t="s">
        <v>5026</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5028</v>
      </c>
      <c r="C27" s="37" t="s">
        <v>5026</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5029</v>
      </c>
      <c r="C28" s="37" t="s">
        <v>5022</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5030</v>
      </c>
      <c r="C29" s="37" t="s">
        <v>5022</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5031</v>
      </c>
      <c r="C30" s="37" t="s">
        <v>5022</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5032</v>
      </c>
      <c r="C31" s="37" t="s">
        <v>5033</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5034</v>
      </c>
      <c r="C32" s="37" t="s">
        <v>5033</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5035</v>
      </c>
      <c r="C33" s="37" t="s">
        <v>5033</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5036</v>
      </c>
      <c r="C34" s="37" t="s">
        <v>5037</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5038</v>
      </c>
      <c r="C35" s="37" t="s">
        <v>5037</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5039</v>
      </c>
      <c r="C36" s="37" t="s">
        <v>5037</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5040</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5041</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5042</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5043</v>
      </c>
      <c r="C40" s="37" t="s">
        <v>5044</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5045</v>
      </c>
      <c r="C41" s="37" t="s">
        <v>5044</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5046</v>
      </c>
      <c r="C42" s="37" t="s">
        <v>5044</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5047</v>
      </c>
      <c r="B1" s="113" t="s">
        <v>4473</v>
      </c>
      <c r="C1" s="113" t="s">
        <v>4475</v>
      </c>
      <c r="D1" s="113" t="s">
        <v>4477</v>
      </c>
      <c r="E1" s="113" t="s">
        <v>3326</v>
      </c>
      <c r="F1" s="171" t="s">
        <v>4379</v>
      </c>
      <c r="G1" s="171" t="s">
        <v>4382</v>
      </c>
      <c r="H1" s="171" t="s">
        <v>4384</v>
      </c>
      <c r="I1" s="171" t="s">
        <v>4386</v>
      </c>
      <c r="J1" s="171" t="s">
        <v>4388</v>
      </c>
      <c r="K1" s="171" t="s">
        <v>2593</v>
      </c>
      <c r="L1" s="171" t="s">
        <v>1921</v>
      </c>
      <c r="M1" s="171" t="s">
        <v>2594</v>
      </c>
      <c r="N1" s="171" t="s">
        <v>2595</v>
      </c>
      <c r="O1" s="171" t="s">
        <v>2596</v>
      </c>
      <c r="P1" s="171" t="s">
        <v>1139</v>
      </c>
      <c r="Q1" s="171" t="s">
        <v>2598</v>
      </c>
      <c r="R1" s="171" t="s">
        <v>2599</v>
      </c>
      <c r="S1" s="171" t="s">
        <v>2600</v>
      </c>
      <c r="T1" s="171" t="s">
        <v>2601</v>
      </c>
      <c r="U1" s="171" t="s">
        <v>2602</v>
      </c>
      <c r="V1" s="171" t="s">
        <v>2603</v>
      </c>
      <c r="W1" s="171" t="s">
        <v>2604</v>
      </c>
      <c r="X1" s="171" t="s">
        <v>2429</v>
      </c>
      <c r="Y1" s="171" t="s">
        <v>1179</v>
      </c>
      <c r="AA1" s="172" t="s">
        <v>5047</v>
      </c>
      <c r="AB1" s="173" t="s">
        <v>4473</v>
      </c>
      <c r="AC1" s="173" t="s">
        <v>4475</v>
      </c>
      <c r="AD1" s="173" t="s">
        <v>4413</v>
      </c>
      <c r="AE1" s="173" t="s">
        <v>5048</v>
      </c>
      <c r="AF1" s="173" t="s">
        <v>5049</v>
      </c>
      <c r="AG1" s="173" t="s">
        <v>5050</v>
      </c>
      <c r="AH1" s="173" t="s">
        <v>4477</v>
      </c>
      <c r="AI1" s="173" t="s">
        <v>3326</v>
      </c>
      <c r="AJ1" s="109"/>
      <c r="AK1" s="173" t="s">
        <v>4473</v>
      </c>
      <c r="AL1" s="173" t="s">
        <v>4475</v>
      </c>
      <c r="AM1" s="173" t="s">
        <v>4477</v>
      </c>
      <c r="AN1" s="173" t="s">
        <v>3326</v>
      </c>
    </row>
    <row r="2">
      <c r="F2" s="174" t="s">
        <v>5051</v>
      </c>
      <c r="G2" s="174" t="s">
        <v>5051</v>
      </c>
      <c r="H2" s="174" t="s">
        <v>5051</v>
      </c>
      <c r="I2" s="174" t="s">
        <v>5051</v>
      </c>
      <c r="J2" s="174" t="s">
        <v>5051</v>
      </c>
      <c r="K2" s="49"/>
      <c r="L2" s="49"/>
      <c r="M2" s="49"/>
      <c r="N2" s="49"/>
      <c r="O2" s="49"/>
      <c r="P2" s="51"/>
      <c r="Q2" s="51"/>
      <c r="R2" s="52"/>
      <c r="S2" s="52"/>
      <c r="T2" s="52"/>
      <c r="U2" s="52"/>
      <c r="V2" s="53"/>
      <c r="W2" s="53"/>
      <c r="X2" s="53"/>
      <c r="Y2" s="53"/>
      <c r="AA2" s="175" t="s">
        <v>5052</v>
      </c>
      <c r="AB2" s="109" t="s">
        <v>5053</v>
      </c>
      <c r="AC2" s="109" t="s">
        <v>5054</v>
      </c>
      <c r="AD2" s="176">
        <v>-0.15</v>
      </c>
      <c r="AE2" s="109"/>
      <c r="AF2" s="109"/>
      <c r="AG2" s="109"/>
      <c r="AH2" s="109" t="s">
        <v>5055</v>
      </c>
      <c r="AI2" s="109" t="s">
        <v>4546</v>
      </c>
      <c r="AJ2" s="109"/>
      <c r="AK2" s="109" t="s">
        <v>5056</v>
      </c>
      <c r="AL2" s="109" t="s">
        <v>5057</v>
      </c>
      <c r="AM2" s="109" t="s">
        <v>5058</v>
      </c>
      <c r="AN2" s="109" t="s">
        <v>4546</v>
      </c>
    </row>
    <row r="3">
      <c r="A3" s="37" t="s">
        <v>1179</v>
      </c>
      <c r="B3" s="37" t="s">
        <v>5059</v>
      </c>
      <c r="C3" s="37" t="s">
        <v>5060</v>
      </c>
      <c r="D3" s="37" t="s">
        <v>5061</v>
      </c>
      <c r="E3" s="37" t="s">
        <v>5062</v>
      </c>
      <c r="AA3" s="175" t="s">
        <v>5052</v>
      </c>
      <c r="AB3" s="109" t="s">
        <v>5063</v>
      </c>
      <c r="AC3" s="109" t="s">
        <v>5054</v>
      </c>
      <c r="AD3" s="109"/>
      <c r="AE3" s="109"/>
      <c r="AF3" s="109"/>
      <c r="AG3" s="109"/>
      <c r="AH3" s="109" t="s">
        <v>5055</v>
      </c>
      <c r="AI3" s="109" t="s">
        <v>4546</v>
      </c>
      <c r="AJ3" s="109"/>
      <c r="AK3" s="109" t="s">
        <v>5064</v>
      </c>
      <c r="AL3" s="109" t="s">
        <v>5057</v>
      </c>
      <c r="AM3" s="109" t="s">
        <v>5058</v>
      </c>
      <c r="AN3" s="109" t="s">
        <v>4546</v>
      </c>
    </row>
    <row r="4">
      <c r="A4" s="37" t="s">
        <v>1179</v>
      </c>
      <c r="B4" s="37" t="s">
        <v>5065</v>
      </c>
      <c r="C4" s="37" t="s">
        <v>5060</v>
      </c>
      <c r="D4" s="37" t="s">
        <v>5061</v>
      </c>
      <c r="E4" s="37" t="s">
        <v>5062</v>
      </c>
      <c r="AA4" s="175" t="s">
        <v>5052</v>
      </c>
      <c r="AB4" s="109" t="s">
        <v>5066</v>
      </c>
      <c r="AC4" s="109" t="s">
        <v>5054</v>
      </c>
      <c r="AD4" s="109"/>
      <c r="AE4" s="109"/>
      <c r="AF4" s="109"/>
      <c r="AG4" s="109"/>
      <c r="AH4" s="109" t="s">
        <v>5055</v>
      </c>
      <c r="AI4" s="109" t="s">
        <v>4546</v>
      </c>
      <c r="AJ4" s="109"/>
      <c r="AK4" s="109" t="s">
        <v>5067</v>
      </c>
      <c r="AL4" s="109" t="s">
        <v>5057</v>
      </c>
      <c r="AM4" s="109" t="s">
        <v>5058</v>
      </c>
      <c r="AN4" s="109" t="s">
        <v>4546</v>
      </c>
    </row>
    <row r="5">
      <c r="A5" s="37" t="s">
        <v>1179</v>
      </c>
      <c r="B5" s="37" t="s">
        <v>5068</v>
      </c>
      <c r="C5" s="37" t="s">
        <v>5060</v>
      </c>
      <c r="D5" s="37" t="s">
        <v>5061</v>
      </c>
      <c r="E5" s="37" t="s">
        <v>5062</v>
      </c>
      <c r="AA5" s="175" t="s">
        <v>5052</v>
      </c>
      <c r="AB5" s="109" t="s">
        <v>5069</v>
      </c>
      <c r="AC5" s="109" t="s">
        <v>5054</v>
      </c>
      <c r="AD5" s="109"/>
      <c r="AE5" s="109"/>
      <c r="AF5" s="109"/>
      <c r="AG5" s="109"/>
      <c r="AH5" s="109" t="s">
        <v>5055</v>
      </c>
      <c r="AI5" s="109" t="s">
        <v>4546</v>
      </c>
      <c r="AJ5" s="109"/>
      <c r="AK5" s="109" t="s">
        <v>5070</v>
      </c>
      <c r="AL5" s="109" t="s">
        <v>5057</v>
      </c>
      <c r="AM5" s="109" t="s">
        <v>5058</v>
      </c>
      <c r="AN5" s="109" t="s">
        <v>4546</v>
      </c>
    </row>
    <row r="6">
      <c r="A6" s="37" t="s">
        <v>1179</v>
      </c>
      <c r="B6" s="37" t="s">
        <v>5071</v>
      </c>
      <c r="C6" s="37" t="s">
        <v>5060</v>
      </c>
      <c r="D6" s="37" t="s">
        <v>5061</v>
      </c>
      <c r="E6" s="37" t="s">
        <v>5062</v>
      </c>
      <c r="AA6" s="175" t="s">
        <v>5052</v>
      </c>
      <c r="AB6" s="109" t="s">
        <v>5072</v>
      </c>
      <c r="AC6" s="109" t="s">
        <v>5054</v>
      </c>
      <c r="AD6" s="109"/>
      <c r="AE6" s="109"/>
      <c r="AF6" s="109"/>
      <c r="AG6" s="109"/>
      <c r="AH6" s="109" t="s">
        <v>5055</v>
      </c>
      <c r="AI6" s="109" t="s">
        <v>4546</v>
      </c>
      <c r="AJ6" s="109"/>
      <c r="AK6" s="109"/>
      <c r="AL6" s="109"/>
      <c r="AM6" s="109"/>
      <c r="AN6" s="109"/>
    </row>
    <row r="7">
      <c r="A7" s="37" t="s">
        <v>1179</v>
      </c>
      <c r="B7" s="37" t="s">
        <v>5073</v>
      </c>
      <c r="C7" s="37" t="s">
        <v>5060</v>
      </c>
      <c r="D7" s="37" t="s">
        <v>5061</v>
      </c>
      <c r="E7" s="37" t="s">
        <v>5062</v>
      </c>
      <c r="AA7" s="109"/>
      <c r="AB7" s="109"/>
      <c r="AC7" s="109"/>
      <c r="AD7" s="109"/>
      <c r="AE7" s="109"/>
      <c r="AF7" s="109"/>
      <c r="AG7" s="109"/>
      <c r="AH7" s="109"/>
      <c r="AI7" s="109"/>
      <c r="AJ7" s="109"/>
      <c r="AK7" s="109"/>
      <c r="AL7" s="109"/>
      <c r="AM7" s="109"/>
      <c r="AN7" s="109"/>
    </row>
    <row r="8">
      <c r="A8" s="37" t="s">
        <v>1179</v>
      </c>
      <c r="B8" s="37" t="s">
        <v>5074</v>
      </c>
      <c r="C8" s="37" t="s">
        <v>5060</v>
      </c>
      <c r="D8" s="37" t="s">
        <v>5061</v>
      </c>
      <c r="E8" s="37" t="s">
        <v>5062</v>
      </c>
      <c r="AA8" s="109"/>
      <c r="AB8" s="109"/>
      <c r="AC8" s="109"/>
      <c r="AD8" s="109"/>
      <c r="AE8" s="109"/>
      <c r="AF8" s="109"/>
      <c r="AG8" s="109"/>
      <c r="AH8" s="109"/>
      <c r="AI8" s="109"/>
      <c r="AJ8" s="109"/>
      <c r="AK8" s="109"/>
      <c r="AL8" s="109"/>
      <c r="AM8" s="109"/>
      <c r="AN8" s="109"/>
    </row>
    <row r="9">
      <c r="A9" s="37" t="s">
        <v>1179</v>
      </c>
      <c r="B9" s="37" t="s">
        <v>5075</v>
      </c>
      <c r="C9" s="37" t="s">
        <v>5060</v>
      </c>
      <c r="D9" s="37" t="s">
        <v>5061</v>
      </c>
      <c r="E9" s="37" t="s">
        <v>5062</v>
      </c>
      <c r="AA9" s="109"/>
      <c r="AB9" s="109"/>
      <c r="AC9" s="109"/>
      <c r="AD9" s="109"/>
      <c r="AE9" s="109"/>
      <c r="AF9" s="109"/>
      <c r="AG9" s="109"/>
      <c r="AH9" s="109"/>
      <c r="AI9" s="109"/>
      <c r="AJ9" s="109"/>
      <c r="AK9" s="109"/>
      <c r="AL9" s="109"/>
      <c r="AM9" s="109"/>
      <c r="AN9" s="109"/>
    </row>
    <row r="10">
      <c r="A10" s="37" t="s">
        <v>1179</v>
      </c>
      <c r="B10" s="37" t="s">
        <v>5076</v>
      </c>
      <c r="C10" s="37" t="s">
        <v>5060</v>
      </c>
      <c r="D10" s="37" t="s">
        <v>5061</v>
      </c>
      <c r="E10" s="37" t="s">
        <v>5062</v>
      </c>
      <c r="AA10" s="109"/>
      <c r="AB10" s="109"/>
      <c r="AC10" s="109"/>
      <c r="AD10" s="109"/>
      <c r="AE10" s="109"/>
      <c r="AF10" s="109"/>
      <c r="AG10" s="109"/>
      <c r="AH10" s="109"/>
      <c r="AI10" s="109"/>
      <c r="AJ10" s="109"/>
      <c r="AK10" s="109"/>
      <c r="AL10" s="109"/>
      <c r="AM10" s="109"/>
      <c r="AN10" s="109"/>
    </row>
    <row r="11">
      <c r="A11" s="37" t="s">
        <v>1179</v>
      </c>
      <c r="B11" s="37" t="s">
        <v>5077</v>
      </c>
      <c r="C11" s="37" t="s">
        <v>5060</v>
      </c>
      <c r="D11" s="37" t="s">
        <v>5061</v>
      </c>
      <c r="E11" s="37" t="s">
        <v>5062</v>
      </c>
      <c r="AA11" s="109"/>
      <c r="AB11" s="109"/>
      <c r="AC11" s="109"/>
      <c r="AD11" s="109"/>
      <c r="AE11" s="109"/>
      <c r="AF11" s="109"/>
      <c r="AG11" s="109"/>
      <c r="AH11" s="109"/>
      <c r="AI11" s="109"/>
      <c r="AJ11" s="109"/>
      <c r="AK11" s="109"/>
      <c r="AL11" s="109"/>
      <c r="AM11" s="109"/>
      <c r="AN11" s="109"/>
    </row>
    <row r="12">
      <c r="A12" s="37" t="s">
        <v>1179</v>
      </c>
      <c r="B12" s="37" t="s">
        <v>5078</v>
      </c>
      <c r="C12" s="37" t="s">
        <v>5060</v>
      </c>
      <c r="D12" s="37" t="s">
        <v>5061</v>
      </c>
      <c r="E12" s="37" t="s">
        <v>5062</v>
      </c>
      <c r="AA12" s="109"/>
      <c r="AB12" s="109"/>
      <c r="AC12" s="109"/>
      <c r="AD12" s="109"/>
      <c r="AE12" s="109"/>
      <c r="AF12" s="109"/>
      <c r="AG12" s="109"/>
      <c r="AH12" s="109"/>
      <c r="AI12" s="109"/>
      <c r="AJ12" s="109"/>
      <c r="AK12" s="109"/>
      <c r="AL12" s="109"/>
      <c r="AM12" s="109"/>
      <c r="AN12" s="109"/>
    </row>
    <row r="13">
      <c r="A13" s="37" t="s">
        <v>1179</v>
      </c>
      <c r="B13" s="37" t="s">
        <v>5079</v>
      </c>
      <c r="C13" s="37" t="s">
        <v>5060</v>
      </c>
      <c r="D13" s="37" t="s">
        <v>5061</v>
      </c>
      <c r="E13" s="37" t="s">
        <v>5062</v>
      </c>
      <c r="AA13" s="109"/>
      <c r="AB13" s="109"/>
      <c r="AC13" s="109"/>
      <c r="AD13" s="109"/>
      <c r="AE13" s="109"/>
      <c r="AF13" s="109"/>
      <c r="AG13" s="109"/>
      <c r="AH13" s="109"/>
      <c r="AI13" s="109"/>
      <c r="AJ13" s="109"/>
      <c r="AK13" s="109"/>
      <c r="AL13" s="109"/>
      <c r="AM13" s="109"/>
      <c r="AN13" s="109"/>
    </row>
    <row r="14">
      <c r="A14" s="37" t="s">
        <v>1179</v>
      </c>
      <c r="B14" s="37" t="s">
        <v>5080</v>
      </c>
      <c r="C14" s="37" t="s">
        <v>5060</v>
      </c>
      <c r="D14" s="37" t="s">
        <v>5061</v>
      </c>
      <c r="E14" s="37" t="s">
        <v>5062</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5081</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5082</v>
      </c>
      <c r="S1" s="149" t="s">
        <v>2628</v>
      </c>
      <c r="T1" s="149" t="s">
        <v>2627</v>
      </c>
      <c r="U1" s="74" t="s">
        <v>5083</v>
      </c>
      <c r="V1" s="74" t="s">
        <v>5084</v>
      </c>
      <c r="W1" s="2" t="s">
        <v>5085</v>
      </c>
      <c r="X1" s="2" t="s">
        <v>5086</v>
      </c>
      <c r="Y1" s="2" t="s">
        <v>5087</v>
      </c>
      <c r="Z1" s="2" t="s">
        <v>5088</v>
      </c>
    </row>
    <row r="2" ht="18.75" customHeight="1">
      <c r="A2" s="64">
        <v>1.0</v>
      </c>
      <c r="B2" s="64" t="s">
        <v>5089</v>
      </c>
      <c r="C2" s="64"/>
      <c r="D2" s="64"/>
      <c r="E2" s="64"/>
      <c r="F2" s="64"/>
      <c r="G2" s="64">
        <v>10.0</v>
      </c>
      <c r="H2" s="64">
        <v>0.0</v>
      </c>
      <c r="I2" s="64">
        <v>0.0</v>
      </c>
      <c r="J2" s="64"/>
      <c r="K2" s="64">
        <v>10.0</v>
      </c>
      <c r="U2" s="118">
        <v>1.0</v>
      </c>
      <c r="V2" s="118">
        <v>0.0</v>
      </c>
      <c r="W2" s="37" t="s">
        <v>5090</v>
      </c>
      <c r="X2" s="37" t="s">
        <v>5091</v>
      </c>
      <c r="Y2" s="37" t="s">
        <v>5092</v>
      </c>
      <c r="Z2" s="37">
        <v>1.0</v>
      </c>
    </row>
    <row r="3" ht="18.75" customHeight="1">
      <c r="A3" s="64">
        <v>2.0</v>
      </c>
      <c r="B3" s="64" t="s">
        <v>5089</v>
      </c>
      <c r="C3" s="64"/>
      <c r="D3" s="64"/>
      <c r="E3" s="64"/>
      <c r="F3" s="64"/>
      <c r="G3" s="64">
        <v>20.0</v>
      </c>
      <c r="H3" s="64">
        <v>0.0</v>
      </c>
      <c r="I3" s="64">
        <v>0.0</v>
      </c>
      <c r="J3" s="64"/>
      <c r="K3" s="64">
        <v>20.0</v>
      </c>
      <c r="U3" s="118">
        <v>1.0</v>
      </c>
      <c r="V3" s="118">
        <v>0.15</v>
      </c>
      <c r="W3" s="37" t="s">
        <v>5093</v>
      </c>
      <c r="X3" s="37" t="s">
        <v>5094</v>
      </c>
      <c r="Y3" s="37" t="s">
        <v>5095</v>
      </c>
      <c r="Z3" s="37">
        <v>1.25</v>
      </c>
    </row>
    <row r="4" ht="18.75" customHeight="1">
      <c r="A4" s="64">
        <v>3.0</v>
      </c>
      <c r="B4" s="64" t="s">
        <v>5089</v>
      </c>
      <c r="C4" s="64"/>
      <c r="D4" s="64"/>
      <c r="E4" s="64"/>
      <c r="F4" s="64"/>
      <c r="G4" s="64">
        <v>30.0</v>
      </c>
      <c r="H4" s="86">
        <v>1.0</v>
      </c>
      <c r="I4" s="64"/>
      <c r="J4" s="64"/>
      <c r="K4" s="64">
        <v>30.0</v>
      </c>
      <c r="L4" s="86">
        <v>1.0</v>
      </c>
      <c r="U4" s="118">
        <v>1.0</v>
      </c>
      <c r="V4" s="118">
        <v>0.3</v>
      </c>
      <c r="W4" s="37" t="s">
        <v>5096</v>
      </c>
      <c r="X4" s="37" t="s">
        <v>4535</v>
      </c>
      <c r="Y4" s="37" t="s">
        <v>5097</v>
      </c>
      <c r="Z4" s="37">
        <v>1.5</v>
      </c>
    </row>
    <row r="5" ht="18.75" customHeight="1">
      <c r="A5" s="64">
        <v>4.0</v>
      </c>
      <c r="B5" s="64" t="s">
        <v>5089</v>
      </c>
      <c r="C5" s="64"/>
      <c r="D5" s="64"/>
      <c r="E5" s="64"/>
      <c r="F5" s="64"/>
      <c r="G5" s="64">
        <v>40.0</v>
      </c>
      <c r="H5" s="86">
        <v>2.0</v>
      </c>
      <c r="I5" s="86">
        <v>1.0</v>
      </c>
      <c r="J5" s="64"/>
      <c r="K5" s="64">
        <v>40.0</v>
      </c>
      <c r="L5" s="86">
        <v>1.0</v>
      </c>
      <c r="M5" s="41">
        <v>1.0</v>
      </c>
      <c r="N5" s="39">
        <v>0.0</v>
      </c>
      <c r="U5" s="118">
        <v>1.0</v>
      </c>
      <c r="V5" s="118">
        <v>0.5</v>
      </c>
      <c r="W5" s="37" t="s">
        <v>5098</v>
      </c>
      <c r="X5" s="37" t="s">
        <v>5099</v>
      </c>
      <c r="Y5" s="37" t="s">
        <v>5100</v>
      </c>
      <c r="Z5" s="37">
        <v>1.75</v>
      </c>
    </row>
    <row r="6" ht="18.75" customHeight="1">
      <c r="A6" s="64">
        <v>5.0</v>
      </c>
      <c r="B6" s="64" t="s">
        <v>5089</v>
      </c>
      <c r="C6" s="64"/>
      <c r="D6" s="64"/>
      <c r="E6" s="64"/>
      <c r="F6" s="64"/>
      <c r="G6" s="64">
        <v>50.0</v>
      </c>
      <c r="H6" s="86">
        <v>2.0</v>
      </c>
      <c r="I6" s="86">
        <v>2.0</v>
      </c>
      <c r="J6" s="64"/>
      <c r="K6" s="64">
        <v>50.0</v>
      </c>
      <c r="L6" s="86">
        <v>2.0</v>
      </c>
      <c r="M6" s="86">
        <v>1.0</v>
      </c>
      <c r="N6" s="86">
        <v>1.0</v>
      </c>
      <c r="O6" s="37">
        <v>20.0</v>
      </c>
      <c r="P6" s="39">
        <v>0.0</v>
      </c>
      <c r="Q6" s="39">
        <v>0.0</v>
      </c>
      <c r="R6" s="37" t="s">
        <v>5101</v>
      </c>
      <c r="U6" s="118">
        <v>1.0</v>
      </c>
      <c r="V6" s="118">
        <v>0.65</v>
      </c>
      <c r="W6" s="37" t="s">
        <v>5102</v>
      </c>
      <c r="X6" s="37" t="s">
        <v>5103</v>
      </c>
      <c r="Y6" s="37" t="s">
        <v>5104</v>
      </c>
      <c r="Z6" s="37">
        <v>2.0</v>
      </c>
    </row>
    <row r="7" ht="18.75" customHeight="1">
      <c r="A7" s="64">
        <v>6.0</v>
      </c>
      <c r="B7" s="64" t="s">
        <v>5089</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5101</v>
      </c>
      <c r="U7" s="118">
        <v>1.0</v>
      </c>
      <c r="V7" s="118">
        <v>0.8</v>
      </c>
    </row>
    <row r="8" ht="18.75" customHeight="1">
      <c r="A8" s="64">
        <v>7.0</v>
      </c>
      <c r="B8" s="64" t="s">
        <v>5089</v>
      </c>
      <c r="C8" s="64"/>
      <c r="D8" s="64"/>
      <c r="E8" s="64"/>
      <c r="F8" s="64"/>
      <c r="G8" s="64">
        <f t="shared" si="1"/>
        <v>200</v>
      </c>
      <c r="H8" s="86">
        <v>4.0</v>
      </c>
      <c r="I8" s="86">
        <v>4.0</v>
      </c>
      <c r="J8" s="64"/>
      <c r="K8" s="64">
        <f t="shared" si="2"/>
        <v>200</v>
      </c>
      <c r="L8" s="86">
        <v>4.0</v>
      </c>
      <c r="M8" s="86">
        <v>2.0</v>
      </c>
      <c r="N8" s="86">
        <v>2.0</v>
      </c>
      <c r="O8" s="37">
        <v>80.0</v>
      </c>
      <c r="P8" s="39">
        <v>2.0</v>
      </c>
      <c r="Q8" s="39">
        <v>0.0</v>
      </c>
      <c r="R8" s="37" t="s">
        <v>5101</v>
      </c>
      <c r="U8" s="118">
        <v>1.0</v>
      </c>
      <c r="V8" s="118">
        <v>1.0</v>
      </c>
    </row>
    <row r="9" ht="18.75" customHeight="1">
      <c r="A9" s="64">
        <v>1.0</v>
      </c>
      <c r="B9" s="37" t="s">
        <v>5105</v>
      </c>
      <c r="O9" s="37">
        <v>5.0</v>
      </c>
      <c r="P9" s="39">
        <v>0.0</v>
      </c>
    </row>
    <row r="10" ht="18.75" customHeight="1">
      <c r="A10" s="64">
        <v>2.0</v>
      </c>
      <c r="B10" s="37" t="s">
        <v>5105</v>
      </c>
      <c r="O10" s="37">
        <v>10.0</v>
      </c>
      <c r="P10" s="39">
        <v>0.0</v>
      </c>
      <c r="Q10" s="39">
        <v>0.0</v>
      </c>
    </row>
    <row r="11" ht="18.75" customHeight="1">
      <c r="A11" s="64">
        <v>3.0</v>
      </c>
      <c r="B11" s="37" t="s">
        <v>5105</v>
      </c>
      <c r="O11" s="37">
        <v>20.0</v>
      </c>
      <c r="P11" s="39">
        <v>0.0</v>
      </c>
      <c r="Q11" s="39">
        <v>0.0</v>
      </c>
    </row>
    <row r="12" ht="18.75" customHeight="1">
      <c r="A12" s="64">
        <v>4.0</v>
      </c>
      <c r="B12" s="37" t="s">
        <v>5105</v>
      </c>
      <c r="O12" s="37">
        <v>40.0</v>
      </c>
      <c r="P12" s="39">
        <v>1.0</v>
      </c>
      <c r="Q12" s="39">
        <v>0.0</v>
      </c>
    </row>
    <row r="13" ht="18.75" customHeight="1">
      <c r="A13" s="64">
        <v>5.0</v>
      </c>
      <c r="B13" s="37" t="s">
        <v>5105</v>
      </c>
      <c r="O13" s="37">
        <v>80.0</v>
      </c>
      <c r="P13" s="39">
        <v>2.0</v>
      </c>
      <c r="Q13" s="39">
        <v>0.0</v>
      </c>
      <c r="R13" s="37" t="s">
        <v>5101</v>
      </c>
    </row>
    <row r="14" ht="18.75" customHeight="1">
      <c r="A14" s="64">
        <v>6.0</v>
      </c>
      <c r="B14" s="37" t="s">
        <v>5105</v>
      </c>
      <c r="O14" s="37">
        <v>160.0</v>
      </c>
      <c r="P14" s="39">
        <v>3.0</v>
      </c>
      <c r="Q14" s="39">
        <v>1.0</v>
      </c>
      <c r="R14" s="37" t="s">
        <v>5101</v>
      </c>
    </row>
    <row r="15" ht="18.75" customHeight="1">
      <c r="A15" s="64">
        <v>7.0</v>
      </c>
      <c r="B15" s="37" t="s">
        <v>5105</v>
      </c>
      <c r="O15" s="37">
        <v>320.0</v>
      </c>
      <c r="P15" s="39">
        <v>6.0</v>
      </c>
      <c r="Q15" s="39">
        <v>2.0</v>
      </c>
      <c r="R15" s="37" t="s">
        <v>5101</v>
      </c>
    </row>
    <row r="16" ht="18.75" customHeight="1">
      <c r="A16" s="37">
        <v>1.0</v>
      </c>
      <c r="B16" s="37" t="s">
        <v>4448</v>
      </c>
      <c r="C16" s="37">
        <v>2.0</v>
      </c>
      <c r="D16" s="37">
        <v>2.0</v>
      </c>
      <c r="E16" s="37">
        <v>2.0</v>
      </c>
      <c r="G16" s="37">
        <v>2.0</v>
      </c>
      <c r="J16" s="37">
        <v>2.0</v>
      </c>
      <c r="K16" s="37">
        <v>2.0</v>
      </c>
    </row>
    <row r="17" ht="18.75" customHeight="1"/>
    <row r="18" ht="18.75" customHeight="1"/>
    <row r="19" ht="18.75" customHeight="1"/>
    <row r="20" ht="18.75" customHeight="1"/>
    <row r="21" ht="18.75" customHeight="1">
      <c r="H21" s="37" t="s">
        <v>5106</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5107</v>
      </c>
      <c r="B1" s="37" t="s">
        <v>5108</v>
      </c>
      <c r="C1" s="37" t="s">
        <v>5109</v>
      </c>
      <c r="D1" s="37" t="s">
        <v>5110</v>
      </c>
      <c r="E1" s="37" t="s">
        <v>5111</v>
      </c>
      <c r="F1" s="37" t="s">
        <v>5112</v>
      </c>
      <c r="G1" s="37" t="s">
        <v>2569</v>
      </c>
      <c r="H1" s="37" t="s">
        <v>1452</v>
      </c>
      <c r="I1" s="37" t="s">
        <v>5113</v>
      </c>
      <c r="J1" s="37" t="s">
        <v>1782</v>
      </c>
      <c r="K1" s="37" t="s">
        <v>1492</v>
      </c>
      <c r="L1" s="37" t="s">
        <v>5000</v>
      </c>
      <c r="M1" s="37" t="s">
        <v>5005</v>
      </c>
      <c r="N1" s="37" t="s">
        <v>5006</v>
      </c>
      <c r="O1" s="37" t="s">
        <v>5008</v>
      </c>
      <c r="P1" s="37" t="s">
        <v>5114</v>
      </c>
      <c r="Q1" s="37" t="s">
        <v>4489</v>
      </c>
      <c r="R1" s="37" t="s">
        <v>5115</v>
      </c>
      <c r="S1" s="37" t="s">
        <v>5116</v>
      </c>
      <c r="T1" s="37" t="s">
        <v>5117</v>
      </c>
      <c r="U1" s="37" t="s">
        <v>5118</v>
      </c>
      <c r="V1" s="177" t="s">
        <v>5119</v>
      </c>
      <c r="W1" s="178" t="s">
        <v>5120</v>
      </c>
      <c r="X1" s="178" t="s">
        <v>3201</v>
      </c>
      <c r="Y1" s="39" t="s">
        <v>4369</v>
      </c>
      <c r="Z1" s="39" t="s">
        <v>3326</v>
      </c>
      <c r="AA1" s="39" t="s">
        <v>5121</v>
      </c>
    </row>
    <row r="2" ht="18.75" customHeight="1">
      <c r="A2" s="37" t="s">
        <v>2813</v>
      </c>
      <c r="B2" s="37" t="s">
        <v>3327</v>
      </c>
      <c r="C2" s="37" t="s">
        <v>5122</v>
      </c>
      <c r="D2" s="37">
        <v>20.0</v>
      </c>
      <c r="E2" s="39">
        <v>10.0</v>
      </c>
      <c r="F2" s="37">
        <v>25.0</v>
      </c>
      <c r="K2" s="37">
        <v>20.0</v>
      </c>
      <c r="M2" s="37">
        <v>10.0</v>
      </c>
      <c r="N2" s="37">
        <v>135.0</v>
      </c>
      <c r="R2" s="37" t="s">
        <v>5123</v>
      </c>
      <c r="S2" s="37" t="s">
        <v>5124</v>
      </c>
      <c r="T2" s="37" t="s">
        <v>5125</v>
      </c>
      <c r="V2" s="177">
        <v>1.0</v>
      </c>
      <c r="W2" s="179">
        <v>0.5</v>
      </c>
      <c r="X2" s="179">
        <v>0.0</v>
      </c>
    </row>
    <row r="3" ht="18.75" customHeight="1">
      <c r="A3" s="37" t="s">
        <v>2804</v>
      </c>
      <c r="B3" s="37" t="s">
        <v>3327</v>
      </c>
      <c r="C3" s="37" t="s">
        <v>5122</v>
      </c>
      <c r="D3" s="37">
        <v>30.0</v>
      </c>
      <c r="E3" s="39">
        <v>20.0</v>
      </c>
      <c r="F3" s="37">
        <v>35.0</v>
      </c>
      <c r="K3" s="37">
        <v>25.0</v>
      </c>
      <c r="M3" s="37">
        <v>10.0</v>
      </c>
      <c r="N3" s="37">
        <v>135.0</v>
      </c>
      <c r="R3" s="37" t="s">
        <v>5002</v>
      </c>
      <c r="S3" s="37" t="s">
        <v>5125</v>
      </c>
      <c r="V3" s="177">
        <v>1.25</v>
      </c>
      <c r="W3" s="179">
        <v>1.0</v>
      </c>
      <c r="X3" s="179">
        <v>0.1</v>
      </c>
    </row>
    <row r="4" ht="18.75" customHeight="1">
      <c r="A4" s="37" t="s">
        <v>2800</v>
      </c>
      <c r="B4" s="37" t="s">
        <v>3327</v>
      </c>
      <c r="C4" s="37" t="s">
        <v>5122</v>
      </c>
      <c r="D4" s="37">
        <v>40.0</v>
      </c>
      <c r="E4" s="39">
        <v>25.0</v>
      </c>
      <c r="F4" s="37">
        <v>40.0</v>
      </c>
      <c r="K4" s="37">
        <v>25.0</v>
      </c>
      <c r="M4" s="37">
        <v>10.0</v>
      </c>
      <c r="N4" s="37">
        <v>135.0</v>
      </c>
      <c r="R4" s="37" t="s">
        <v>5002</v>
      </c>
      <c r="V4" s="177">
        <v>1.5</v>
      </c>
      <c r="W4" s="179">
        <v>1.4</v>
      </c>
      <c r="X4" s="179">
        <v>0.1</v>
      </c>
    </row>
    <row r="5" ht="18.75" customHeight="1">
      <c r="A5" s="37" t="s">
        <v>2807</v>
      </c>
      <c r="B5" s="37" t="s">
        <v>3327</v>
      </c>
      <c r="C5" s="37" t="s">
        <v>5122</v>
      </c>
      <c r="D5" s="37">
        <v>40.0</v>
      </c>
      <c r="E5" s="39">
        <v>20.0</v>
      </c>
      <c r="F5" s="37">
        <v>45.0</v>
      </c>
      <c r="K5" s="37">
        <v>25.0</v>
      </c>
      <c r="M5" s="37">
        <v>10.0</v>
      </c>
      <c r="N5" s="37">
        <v>135.0</v>
      </c>
      <c r="R5" s="37" t="s">
        <v>5124</v>
      </c>
      <c r="S5" s="37" t="s">
        <v>5113</v>
      </c>
      <c r="V5" s="177">
        <v>1.25</v>
      </c>
      <c r="W5" s="179">
        <v>0.6</v>
      </c>
      <c r="X5" s="179">
        <v>1.2</v>
      </c>
    </row>
    <row r="6" ht="18.75" customHeight="1">
      <c r="A6" s="37" t="s">
        <v>5126</v>
      </c>
      <c r="B6" s="37" t="s">
        <v>3327</v>
      </c>
      <c r="C6" s="37" t="s">
        <v>5122</v>
      </c>
      <c r="D6" s="37">
        <v>50.0</v>
      </c>
      <c r="E6" s="39">
        <v>30.0</v>
      </c>
      <c r="F6" s="37">
        <v>45.0</v>
      </c>
      <c r="K6" s="37">
        <v>30.0</v>
      </c>
      <c r="M6" s="37">
        <v>10.0</v>
      </c>
      <c r="N6" s="37">
        <v>125.0</v>
      </c>
      <c r="R6" s="37" t="s">
        <v>5124</v>
      </c>
      <c r="V6" s="177">
        <v>1.25</v>
      </c>
      <c r="W6" s="179">
        <v>1.2</v>
      </c>
      <c r="X6" s="179">
        <v>0.4</v>
      </c>
    </row>
    <row r="7" ht="18.75" customHeight="1">
      <c r="A7" s="37" t="s">
        <v>2823</v>
      </c>
      <c r="B7" s="37" t="s">
        <v>3327</v>
      </c>
      <c r="C7" s="37" t="s">
        <v>5122</v>
      </c>
      <c r="D7" s="37">
        <v>30.0</v>
      </c>
      <c r="E7" s="39">
        <v>10.0</v>
      </c>
      <c r="F7" s="37">
        <v>30.0</v>
      </c>
      <c r="K7" s="37">
        <v>20.0</v>
      </c>
      <c r="M7" s="37">
        <v>10.0</v>
      </c>
      <c r="N7" s="37">
        <v>125.0</v>
      </c>
      <c r="R7" s="37" t="s">
        <v>1490</v>
      </c>
      <c r="V7" s="177">
        <v>1.0</v>
      </c>
      <c r="W7" s="179">
        <v>0.0</v>
      </c>
      <c r="X7" s="179">
        <v>1.0</v>
      </c>
    </row>
    <row r="8" ht="18.75" customHeight="1">
      <c r="A8" s="37" t="s">
        <v>5127</v>
      </c>
      <c r="B8" s="37" t="s">
        <v>3327</v>
      </c>
      <c r="C8" s="37" t="s">
        <v>5122</v>
      </c>
      <c r="D8" s="37">
        <v>50.0</v>
      </c>
      <c r="E8" s="39">
        <v>30.0</v>
      </c>
      <c r="F8" s="37">
        <v>45.0</v>
      </c>
      <c r="K8" s="37">
        <v>25.0</v>
      </c>
      <c r="M8" s="37">
        <v>10.0</v>
      </c>
      <c r="N8" s="37">
        <v>125.0</v>
      </c>
      <c r="R8" s="37" t="s">
        <v>1490</v>
      </c>
      <c r="V8" s="177">
        <v>1.5</v>
      </c>
      <c r="W8" s="179">
        <v>1.6</v>
      </c>
      <c r="X8" s="179">
        <v>0.2</v>
      </c>
    </row>
    <row r="9" ht="18.75" customHeight="1">
      <c r="A9" s="37" t="s">
        <v>2815</v>
      </c>
      <c r="B9" s="37" t="s">
        <v>3327</v>
      </c>
      <c r="C9" s="37" t="s">
        <v>5000</v>
      </c>
      <c r="D9" s="37">
        <v>65.0</v>
      </c>
      <c r="E9" s="39">
        <v>20.0</v>
      </c>
      <c r="F9" s="37">
        <v>25.0</v>
      </c>
      <c r="K9" s="37">
        <v>25.0</v>
      </c>
      <c r="L9" s="37">
        <v>40.0</v>
      </c>
      <c r="M9" s="37">
        <v>10.0</v>
      </c>
      <c r="N9" s="37">
        <v>135.0</v>
      </c>
      <c r="O9" s="37">
        <v>20.0</v>
      </c>
      <c r="V9" s="177">
        <v>1.25</v>
      </c>
      <c r="W9" s="179">
        <v>0.2</v>
      </c>
      <c r="X9" s="179">
        <v>1.4</v>
      </c>
    </row>
    <row r="10" ht="18.75" customHeight="1">
      <c r="A10" s="37" t="s">
        <v>5128</v>
      </c>
      <c r="B10" s="37" t="s">
        <v>3327</v>
      </c>
      <c r="C10" s="37" t="s">
        <v>5000</v>
      </c>
      <c r="D10" s="37">
        <v>20.0</v>
      </c>
      <c r="E10" s="39">
        <v>10.0</v>
      </c>
      <c r="F10" s="37">
        <v>10.0</v>
      </c>
      <c r="K10" s="37">
        <v>25.0</v>
      </c>
      <c r="L10" s="37">
        <v>40.0</v>
      </c>
      <c r="M10" s="37">
        <v>10.0</v>
      </c>
      <c r="N10" s="37">
        <v>140.0</v>
      </c>
      <c r="O10" s="37">
        <v>20.0</v>
      </c>
      <c r="R10" s="37" t="s">
        <v>5129</v>
      </c>
      <c r="V10" s="177">
        <v>2.0</v>
      </c>
      <c r="W10" s="179">
        <v>2.0</v>
      </c>
      <c r="X10" s="179">
        <v>0.3</v>
      </c>
      <c r="Y10" s="41">
        <v>3.0</v>
      </c>
    </row>
    <row r="11" ht="18.75" customHeight="1">
      <c r="A11" s="37" t="s">
        <v>2818</v>
      </c>
      <c r="B11" s="37" t="s">
        <v>3327</v>
      </c>
      <c r="C11" s="37" t="s">
        <v>4813</v>
      </c>
      <c r="D11" s="37">
        <v>40.0</v>
      </c>
      <c r="E11" s="39">
        <v>-20.0</v>
      </c>
      <c r="F11" s="37">
        <v>15.0</v>
      </c>
      <c r="G11" s="37">
        <v>15.0</v>
      </c>
      <c r="K11" s="37">
        <v>25.0</v>
      </c>
      <c r="M11" s="37">
        <v>10.0</v>
      </c>
      <c r="N11" s="37">
        <v>120.0</v>
      </c>
      <c r="R11" s="37" t="s">
        <v>137</v>
      </c>
      <c r="V11" s="177">
        <v>2.0</v>
      </c>
      <c r="W11" s="179">
        <v>0.1</v>
      </c>
      <c r="X11" s="179">
        <v>1.3</v>
      </c>
    </row>
    <row r="12" ht="18.75" customHeight="1">
      <c r="V12" s="177"/>
      <c r="W12" s="177"/>
      <c r="X12" s="177"/>
    </row>
    <row r="13" ht="18.75" customHeight="1">
      <c r="A13" s="37" t="s">
        <v>2805</v>
      </c>
      <c r="B13" s="37" t="s">
        <v>3327</v>
      </c>
      <c r="C13" s="37" t="s">
        <v>79</v>
      </c>
      <c r="D13" s="37">
        <v>-5.0</v>
      </c>
      <c r="E13" s="39">
        <v>10.0</v>
      </c>
      <c r="F13" s="37">
        <v>15.0</v>
      </c>
      <c r="K13" s="37">
        <v>25.0</v>
      </c>
      <c r="M13" s="37">
        <v>10.0</v>
      </c>
      <c r="N13" s="37">
        <v>120.0</v>
      </c>
      <c r="V13" s="177">
        <v>1.0</v>
      </c>
      <c r="W13" s="179">
        <v>0.2</v>
      </c>
      <c r="X13" s="179">
        <v>1.0</v>
      </c>
    </row>
    <row r="14" ht="18.75" customHeight="1">
      <c r="A14" s="37" t="s">
        <v>79</v>
      </c>
      <c r="B14" s="37" t="s">
        <v>3327</v>
      </c>
      <c r="C14" s="37" t="s">
        <v>79</v>
      </c>
      <c r="D14" s="37">
        <v>0.0</v>
      </c>
      <c r="E14" s="39">
        <v>20.0</v>
      </c>
      <c r="F14" s="37">
        <v>20.0</v>
      </c>
      <c r="K14" s="37">
        <v>35.0</v>
      </c>
      <c r="M14" s="37">
        <v>10.0</v>
      </c>
      <c r="N14" s="37">
        <v>120.0</v>
      </c>
      <c r="V14" s="177">
        <v>1.0</v>
      </c>
      <c r="W14" s="179">
        <v>0.6</v>
      </c>
      <c r="X14" s="179">
        <v>0.8</v>
      </c>
    </row>
    <row r="15" ht="18.75" customHeight="1">
      <c r="A15" s="37" t="s">
        <v>5130</v>
      </c>
      <c r="B15" s="37" t="s">
        <v>3327</v>
      </c>
      <c r="C15" s="37" t="s">
        <v>79</v>
      </c>
      <c r="D15" s="37">
        <v>10.0</v>
      </c>
      <c r="E15" s="39">
        <v>30.0</v>
      </c>
      <c r="F15" s="37">
        <v>25.0</v>
      </c>
      <c r="K15" s="37">
        <v>45.0</v>
      </c>
      <c r="M15" s="37">
        <v>10.0</v>
      </c>
      <c r="N15" s="37">
        <v>120.0</v>
      </c>
      <c r="V15" s="177">
        <v>1.5</v>
      </c>
      <c r="W15" s="179">
        <v>1.0</v>
      </c>
      <c r="X15" s="179">
        <v>1.2</v>
      </c>
    </row>
    <row r="16" ht="18.75" customHeight="1">
      <c r="V16" s="177"/>
      <c r="W16" s="179">
        <v>0.2</v>
      </c>
      <c r="X16" s="179">
        <v>0.0</v>
      </c>
    </row>
    <row r="17" ht="18.75" customHeight="1">
      <c r="A17" s="37" t="s">
        <v>2828</v>
      </c>
      <c r="B17" s="37" t="s">
        <v>2634</v>
      </c>
      <c r="Q17" s="37">
        <v>3.0</v>
      </c>
      <c r="R17" s="37" t="s">
        <v>137</v>
      </c>
      <c r="V17" s="177">
        <v>1.0</v>
      </c>
      <c r="W17" s="179">
        <v>0.2</v>
      </c>
      <c r="X17" s="179">
        <v>0.1</v>
      </c>
    </row>
    <row r="18" ht="18.75" customHeight="1">
      <c r="A18" s="37" t="s">
        <v>5131</v>
      </c>
      <c r="B18" s="37" t="s">
        <v>2634</v>
      </c>
      <c r="E18" s="37">
        <v>5.0</v>
      </c>
      <c r="P18" s="37">
        <v>5.0</v>
      </c>
      <c r="Q18" s="37">
        <v>10.0</v>
      </c>
      <c r="V18" s="177">
        <v>1.5</v>
      </c>
      <c r="W18" s="179">
        <v>0.7</v>
      </c>
      <c r="X18" s="179">
        <v>0.1</v>
      </c>
    </row>
    <row r="19" ht="18.75" customHeight="1">
      <c r="A19" s="37" t="s">
        <v>2808</v>
      </c>
      <c r="B19" s="37" t="s">
        <v>2634</v>
      </c>
      <c r="Q19" s="37">
        <v>4.0</v>
      </c>
      <c r="V19" s="177">
        <v>1.0</v>
      </c>
      <c r="W19" s="179">
        <v>0.1</v>
      </c>
      <c r="X19" s="179">
        <v>0.3</v>
      </c>
    </row>
    <row r="20" ht="18.75" customHeight="1">
      <c r="A20" s="37" t="s">
        <v>5132</v>
      </c>
      <c r="B20" s="37" t="s">
        <v>2634</v>
      </c>
      <c r="Q20" s="37">
        <v>0.0</v>
      </c>
      <c r="R20" s="37" t="s">
        <v>5133</v>
      </c>
      <c r="S20" s="37" t="s">
        <v>5134</v>
      </c>
      <c r="V20" s="177">
        <v>1.0</v>
      </c>
      <c r="W20" s="179">
        <v>0.1</v>
      </c>
      <c r="X20" s="179">
        <v>0.3</v>
      </c>
    </row>
    <row r="21" ht="18.75" customHeight="1">
      <c r="V21" s="177"/>
      <c r="W21" s="177"/>
      <c r="X21" s="177"/>
    </row>
    <row r="22" ht="18.75" customHeight="1">
      <c r="A22" s="37" t="s">
        <v>2801</v>
      </c>
      <c r="B22" s="37" t="s">
        <v>2635</v>
      </c>
      <c r="E22" s="37">
        <v>10.0</v>
      </c>
      <c r="P22" s="37">
        <v>10.0</v>
      </c>
      <c r="Q22" s="37">
        <v>20.0</v>
      </c>
      <c r="V22" s="177">
        <v>2.0</v>
      </c>
      <c r="W22" s="179">
        <v>2.8</v>
      </c>
      <c r="X22" s="179">
        <v>0.25</v>
      </c>
      <c r="AA22" s="39">
        <v>1.0</v>
      </c>
    </row>
    <row r="23" ht="18.75" customHeight="1">
      <c r="A23" s="37" t="s">
        <v>2809</v>
      </c>
      <c r="B23" s="37" t="s">
        <v>2635</v>
      </c>
      <c r="Q23" s="37">
        <v>10.0</v>
      </c>
      <c r="V23" s="177">
        <v>1.5</v>
      </c>
      <c r="W23" s="179">
        <v>0.25</v>
      </c>
      <c r="X23" s="179">
        <v>1.0</v>
      </c>
      <c r="AA23" s="39">
        <v>2.0</v>
      </c>
    </row>
    <row r="24" ht="18.75" customHeight="1">
      <c r="A24" s="37" t="s">
        <v>2819</v>
      </c>
      <c r="B24" s="37" t="s">
        <v>2635</v>
      </c>
      <c r="Q24" s="37">
        <v>5.0</v>
      </c>
      <c r="R24" s="37" t="s">
        <v>5135</v>
      </c>
      <c r="V24" s="177">
        <v>1.5</v>
      </c>
      <c r="W24" s="179">
        <v>0.25</v>
      </c>
      <c r="X24" s="179">
        <v>1.0</v>
      </c>
      <c r="AA24" s="39">
        <v>3.0</v>
      </c>
    </row>
    <row r="25" ht="18.75" customHeight="1">
      <c r="V25" s="177"/>
      <c r="W25" s="177"/>
      <c r="X25" s="177"/>
    </row>
    <row r="26" ht="18.75" customHeight="1">
      <c r="A26" s="37" t="s">
        <v>5136</v>
      </c>
      <c r="B26" s="37" t="s">
        <v>2636</v>
      </c>
      <c r="E26" s="37">
        <v>5.0</v>
      </c>
      <c r="Q26" s="37">
        <v>3.0</v>
      </c>
      <c r="R26" s="37" t="s">
        <v>5133</v>
      </c>
      <c r="V26" s="177"/>
      <c r="W26" s="177"/>
      <c r="X26" s="177"/>
    </row>
    <row r="27" ht="18.75" customHeight="1">
      <c r="A27" s="37" t="s">
        <v>2802</v>
      </c>
      <c r="B27" s="37" t="s">
        <v>2636</v>
      </c>
      <c r="Q27" s="37">
        <v>1.0</v>
      </c>
      <c r="R27" s="37" t="s">
        <v>5137</v>
      </c>
      <c r="V27" s="177"/>
      <c r="W27" s="177"/>
      <c r="X27" s="177"/>
    </row>
    <row r="28" ht="18.75" customHeight="1">
      <c r="V28" s="177"/>
      <c r="W28" s="177"/>
      <c r="X28" s="177"/>
    </row>
    <row r="29" ht="18.75" customHeight="1">
      <c r="A29" s="37" t="s">
        <v>5138</v>
      </c>
      <c r="B29" s="37" t="s">
        <v>5139</v>
      </c>
      <c r="R29" s="37" t="s">
        <v>137</v>
      </c>
      <c r="V29" s="177">
        <v>1.0</v>
      </c>
      <c r="W29" s="179">
        <v>0.15</v>
      </c>
      <c r="X29" s="179">
        <v>0.05</v>
      </c>
    </row>
    <row r="30" ht="18.75" customHeight="1">
      <c r="A30" s="37" t="s">
        <v>5044</v>
      </c>
      <c r="B30" s="37" t="s">
        <v>5139</v>
      </c>
      <c r="R30" s="37" t="s">
        <v>5133</v>
      </c>
      <c r="S30" s="37" t="s">
        <v>5134</v>
      </c>
      <c r="V30" s="177">
        <v>1.0</v>
      </c>
      <c r="W30" s="179">
        <v>0.1</v>
      </c>
      <c r="X30" s="179">
        <v>0.05</v>
      </c>
    </row>
    <row r="31" ht="18.75" customHeight="1">
      <c r="A31" s="37" t="s">
        <v>5140</v>
      </c>
      <c r="B31" s="37" t="s">
        <v>5139</v>
      </c>
      <c r="R31" s="37" t="s">
        <v>5141</v>
      </c>
      <c r="V31" s="177">
        <v>1.0</v>
      </c>
      <c r="W31" s="179">
        <v>0.1</v>
      </c>
      <c r="X31" s="179">
        <v>0.05</v>
      </c>
    </row>
    <row r="32" ht="18.75" customHeight="1">
      <c r="A32" s="37" t="s">
        <v>5142</v>
      </c>
      <c r="B32" s="37" t="s">
        <v>5139</v>
      </c>
      <c r="R32" s="37" t="s">
        <v>5143</v>
      </c>
      <c r="S32" s="37" t="s">
        <v>5144</v>
      </c>
      <c r="V32" s="177">
        <v>1.0</v>
      </c>
      <c r="W32" s="179">
        <v>0.2</v>
      </c>
      <c r="X32" s="179">
        <v>0.05</v>
      </c>
    </row>
    <row r="33" ht="18.75" customHeight="1"/>
    <row r="34" ht="18.75" customHeight="1">
      <c r="A34" s="39" t="s">
        <v>32</v>
      </c>
      <c r="B34" s="39" t="s">
        <v>5145</v>
      </c>
      <c r="C34" s="39" t="s">
        <v>5122</v>
      </c>
      <c r="D34" s="39">
        <v>60.0</v>
      </c>
      <c r="F34" s="41">
        <v>35.0</v>
      </c>
      <c r="K34" s="41">
        <v>15.0</v>
      </c>
      <c r="M34" s="41">
        <v>10.0</v>
      </c>
      <c r="N34" s="41">
        <v>125.0</v>
      </c>
      <c r="V34" s="177"/>
      <c r="W34" s="179"/>
      <c r="X34" s="179"/>
      <c r="Y34" s="39">
        <v>1.0</v>
      </c>
      <c r="Z34" s="39" t="s">
        <v>5146</v>
      </c>
      <c r="AA34" s="39"/>
    </row>
    <row r="35" ht="18.75" customHeight="1">
      <c r="A35" s="39" t="s">
        <v>35</v>
      </c>
      <c r="B35" s="39" t="s">
        <v>5145</v>
      </c>
      <c r="C35" s="39" t="s">
        <v>5122</v>
      </c>
      <c r="D35" s="41">
        <v>30.0</v>
      </c>
      <c r="F35" s="41">
        <v>25.0</v>
      </c>
      <c r="K35" s="41">
        <v>10.0</v>
      </c>
      <c r="M35" s="41">
        <v>10.0</v>
      </c>
      <c r="N35" s="41">
        <v>135.0</v>
      </c>
      <c r="P35" s="41">
        <v>15.0</v>
      </c>
      <c r="V35" s="177"/>
      <c r="W35" s="179"/>
      <c r="X35" s="179"/>
      <c r="Y35" s="39">
        <v>1.0</v>
      </c>
      <c r="Z35" s="39" t="s">
        <v>5146</v>
      </c>
      <c r="AA35" s="39"/>
    </row>
    <row r="36" ht="18.75" customHeight="1">
      <c r="A36" s="39" t="s">
        <v>37</v>
      </c>
      <c r="B36" s="39" t="s">
        <v>5145</v>
      </c>
      <c r="C36" s="39" t="s">
        <v>5122</v>
      </c>
      <c r="D36" s="41">
        <v>50.0</v>
      </c>
      <c r="F36" s="39">
        <v>15.0</v>
      </c>
      <c r="K36" s="41">
        <v>10.0</v>
      </c>
      <c r="M36" s="41">
        <v>10.0</v>
      </c>
      <c r="N36" s="41">
        <v>135.0</v>
      </c>
      <c r="V36" s="177"/>
      <c r="W36" s="179"/>
      <c r="X36" s="179"/>
      <c r="Y36" s="39">
        <v>2.0</v>
      </c>
      <c r="Z36" s="39" t="s">
        <v>5146</v>
      </c>
      <c r="AA36" s="39"/>
    </row>
    <row r="37" ht="18.75" customHeight="1">
      <c r="A37" s="39" t="s">
        <v>39</v>
      </c>
      <c r="B37" s="39" t="s">
        <v>5145</v>
      </c>
      <c r="C37" s="39" t="s">
        <v>5122</v>
      </c>
      <c r="D37" s="39">
        <v>20.0</v>
      </c>
      <c r="F37" s="41">
        <v>12.0</v>
      </c>
      <c r="K37" s="41">
        <v>7.0</v>
      </c>
      <c r="M37" s="41">
        <v>10.0</v>
      </c>
      <c r="N37" s="41">
        <v>125.0</v>
      </c>
      <c r="V37" s="177"/>
      <c r="W37" s="179"/>
      <c r="X37" s="179"/>
      <c r="Y37" s="39">
        <v>1.0</v>
      </c>
      <c r="Z37" s="39" t="s">
        <v>5146</v>
      </c>
      <c r="AA37" s="39"/>
    </row>
    <row r="38" ht="18.75" customHeight="1">
      <c r="A38" s="39" t="s">
        <v>45</v>
      </c>
      <c r="B38" s="39" t="s">
        <v>5145</v>
      </c>
      <c r="C38" s="39" t="s">
        <v>5122</v>
      </c>
      <c r="D38" s="41">
        <v>20.0</v>
      </c>
      <c r="F38" s="39">
        <v>10.0</v>
      </c>
      <c r="K38" s="39">
        <v>15.0</v>
      </c>
      <c r="M38" s="41">
        <v>5.0</v>
      </c>
      <c r="N38" s="41">
        <v>115.0</v>
      </c>
      <c r="V38" s="177"/>
      <c r="W38" s="179"/>
      <c r="X38" s="179"/>
      <c r="Y38" s="39">
        <v>2.0</v>
      </c>
      <c r="Z38" s="39" t="s">
        <v>5146</v>
      </c>
      <c r="AA38" s="39"/>
    </row>
    <row r="39" ht="18.75" customHeight="1">
      <c r="A39" s="39" t="s">
        <v>2605</v>
      </c>
      <c r="B39" s="39" t="s">
        <v>5147</v>
      </c>
      <c r="C39" s="41" t="s">
        <v>5145</v>
      </c>
      <c r="D39" s="41">
        <v>10.0</v>
      </c>
      <c r="F39" s="41">
        <v>10.0</v>
      </c>
      <c r="K39" s="41">
        <v>8.0</v>
      </c>
      <c r="M39" s="41">
        <v>5.0</v>
      </c>
      <c r="N39" s="41">
        <v>110.0</v>
      </c>
      <c r="Q39" s="41">
        <v>10.0</v>
      </c>
      <c r="V39" s="177"/>
      <c r="W39" s="179"/>
      <c r="X39" s="179"/>
      <c r="Z39" s="39" t="s">
        <v>5148</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80" t="s">
        <v>2561</v>
      </c>
      <c r="B1" s="180" t="s">
        <v>3846</v>
      </c>
      <c r="C1" s="180" t="s">
        <v>3659</v>
      </c>
      <c r="D1" s="180" t="s">
        <v>5149</v>
      </c>
      <c r="E1" s="180" t="s">
        <v>3024</v>
      </c>
      <c r="F1" s="180" t="s">
        <v>5150</v>
      </c>
      <c r="G1" s="180" t="s">
        <v>4155</v>
      </c>
      <c r="H1" s="180" t="s">
        <v>5151</v>
      </c>
      <c r="I1" s="180" t="s">
        <v>5152</v>
      </c>
      <c r="J1" s="180" t="s">
        <v>4476</v>
      </c>
      <c r="K1" s="180" t="s">
        <v>5153</v>
      </c>
      <c r="L1" s="180" t="s">
        <v>5154</v>
      </c>
      <c r="M1" s="180" t="s">
        <v>8</v>
      </c>
      <c r="N1" s="180" t="s">
        <v>5155</v>
      </c>
      <c r="O1" s="180" t="s">
        <v>5156</v>
      </c>
      <c r="P1" s="180" t="s">
        <v>5157</v>
      </c>
      <c r="Q1" s="180" t="s">
        <v>5158</v>
      </c>
      <c r="R1" s="180" t="s">
        <v>5159</v>
      </c>
      <c r="S1" s="180" t="s">
        <v>5160</v>
      </c>
      <c r="T1" s="180" t="s">
        <v>3326</v>
      </c>
      <c r="U1" s="180" t="s">
        <v>3331</v>
      </c>
      <c r="V1" s="181" t="s">
        <v>5161</v>
      </c>
      <c r="W1" s="181" t="s">
        <v>5162</v>
      </c>
      <c r="X1" s="181" t="s">
        <v>5163</v>
      </c>
      <c r="Y1" s="181" t="s">
        <v>5164</v>
      </c>
      <c r="Z1" s="181" t="s">
        <v>5165</v>
      </c>
      <c r="AA1" s="181" t="s">
        <v>5166</v>
      </c>
      <c r="AB1" s="181" t="s">
        <v>5167</v>
      </c>
      <c r="AC1" s="181" t="s">
        <v>5168</v>
      </c>
    </row>
    <row r="2">
      <c r="A2" s="182" t="s">
        <v>5169</v>
      </c>
      <c r="B2" s="182" t="s">
        <v>5170</v>
      </c>
      <c r="C2" s="182" t="s">
        <v>5171</v>
      </c>
      <c r="D2" s="182" t="s">
        <v>5172</v>
      </c>
      <c r="E2" s="182" t="s">
        <v>5173</v>
      </c>
      <c r="F2" s="182" t="s">
        <v>5174</v>
      </c>
      <c r="G2" s="182" t="s">
        <v>5175</v>
      </c>
      <c r="H2" s="182" t="s">
        <v>5176</v>
      </c>
      <c r="I2" s="182" t="s">
        <v>5177</v>
      </c>
      <c r="J2" s="182" t="s">
        <v>5178</v>
      </c>
      <c r="K2" s="182" t="s">
        <v>5179</v>
      </c>
      <c r="L2" s="182" t="s">
        <v>5180</v>
      </c>
      <c r="M2" s="182" t="s">
        <v>5181</v>
      </c>
      <c r="N2" s="182" t="s">
        <v>5182</v>
      </c>
      <c r="O2" s="182">
        <v>10.0</v>
      </c>
      <c r="P2" s="182" t="b">
        <v>1</v>
      </c>
      <c r="Q2" s="182">
        <v>5.0</v>
      </c>
      <c r="R2" s="182" t="s">
        <v>29</v>
      </c>
      <c r="S2" s="182" t="s">
        <v>29</v>
      </c>
      <c r="T2" s="182" t="s">
        <v>5183</v>
      </c>
      <c r="U2" s="182" t="s">
        <v>5184</v>
      </c>
      <c r="V2" s="182"/>
      <c r="W2" s="182"/>
      <c r="X2" s="182"/>
      <c r="Y2" s="182"/>
      <c r="Z2" s="182"/>
      <c r="AA2" s="182"/>
      <c r="AB2" s="182"/>
      <c r="AC2" s="182"/>
    </row>
    <row r="3">
      <c r="A3" s="182" t="s">
        <v>5185</v>
      </c>
      <c r="B3" s="182" t="s">
        <v>5170</v>
      </c>
      <c r="C3" s="182" t="s">
        <v>5171</v>
      </c>
      <c r="D3" s="182" t="s">
        <v>5172</v>
      </c>
      <c r="E3" s="182" t="s">
        <v>5186</v>
      </c>
      <c r="F3" s="182" t="s">
        <v>5174</v>
      </c>
      <c r="G3" s="182" t="s">
        <v>29</v>
      </c>
      <c r="H3" s="182" t="s">
        <v>5187</v>
      </c>
      <c r="I3" s="182" t="s">
        <v>5188</v>
      </c>
      <c r="J3" s="182" t="s">
        <v>5189</v>
      </c>
      <c r="K3" s="182" t="s">
        <v>29</v>
      </c>
      <c r="L3" s="182" t="s">
        <v>5180</v>
      </c>
      <c r="M3" s="182" t="s">
        <v>5190</v>
      </c>
      <c r="N3" s="182" t="s">
        <v>5191</v>
      </c>
      <c r="O3" s="182">
        <v>15.0</v>
      </c>
      <c r="P3" s="182" t="b">
        <v>1</v>
      </c>
      <c r="Q3" s="182">
        <v>5.0</v>
      </c>
      <c r="R3" s="182" t="s">
        <v>29</v>
      </c>
      <c r="S3" s="182" t="s">
        <v>29</v>
      </c>
      <c r="T3" s="182" t="s">
        <v>5192</v>
      </c>
      <c r="U3" s="182" t="s">
        <v>5193</v>
      </c>
      <c r="V3" s="182"/>
      <c r="W3" s="182"/>
      <c r="X3" s="182"/>
      <c r="Y3" s="182"/>
      <c r="Z3" s="182"/>
      <c r="AA3" s="182"/>
      <c r="AB3" s="182"/>
      <c r="AC3" s="182"/>
    </row>
    <row r="4">
      <c r="A4" s="182" t="s">
        <v>5194</v>
      </c>
      <c r="B4" s="182" t="s">
        <v>5170</v>
      </c>
      <c r="C4" s="182" t="s">
        <v>5171</v>
      </c>
      <c r="D4" s="182" t="s">
        <v>5195</v>
      </c>
      <c r="E4" s="182" t="s">
        <v>5196</v>
      </c>
      <c r="F4" s="182" t="s">
        <v>5174</v>
      </c>
      <c r="G4" s="182" t="s">
        <v>29</v>
      </c>
      <c r="H4" s="182" t="s">
        <v>5197</v>
      </c>
      <c r="I4" s="182" t="s">
        <v>5198</v>
      </c>
      <c r="J4" s="182" t="s">
        <v>5199</v>
      </c>
      <c r="K4" s="182" t="s">
        <v>29</v>
      </c>
      <c r="L4" s="182" t="s">
        <v>29</v>
      </c>
      <c r="M4" s="182" t="s">
        <v>5200</v>
      </c>
      <c r="N4" s="182" t="s">
        <v>29</v>
      </c>
      <c r="O4" s="182" t="s">
        <v>29</v>
      </c>
      <c r="P4" s="182" t="b">
        <v>0</v>
      </c>
      <c r="Q4" s="182" t="s">
        <v>29</v>
      </c>
      <c r="R4" s="182">
        <v>5.0</v>
      </c>
      <c r="S4" s="182">
        <v>3.0</v>
      </c>
      <c r="T4" s="182" t="s">
        <v>5201</v>
      </c>
      <c r="U4" s="182" t="s">
        <v>5202</v>
      </c>
      <c r="V4" s="182"/>
      <c r="W4" s="182"/>
      <c r="X4" s="182"/>
      <c r="Y4" s="182"/>
      <c r="Z4" s="182"/>
      <c r="AA4" s="182"/>
      <c r="AB4" s="182"/>
      <c r="AC4" s="182"/>
    </row>
    <row r="5">
      <c r="A5" s="182" t="s">
        <v>5203</v>
      </c>
      <c r="B5" s="182" t="s">
        <v>5170</v>
      </c>
      <c r="C5" s="182" t="s">
        <v>5171</v>
      </c>
      <c r="D5" s="182" t="s">
        <v>5172</v>
      </c>
      <c r="E5" s="182" t="s">
        <v>5204</v>
      </c>
      <c r="F5" s="182" t="s">
        <v>5174</v>
      </c>
      <c r="G5" s="182" t="s">
        <v>5205</v>
      </c>
      <c r="H5" s="182" t="s">
        <v>5176</v>
      </c>
      <c r="I5" s="182" t="s">
        <v>5206</v>
      </c>
      <c r="J5" s="182" t="s">
        <v>5207</v>
      </c>
      <c r="K5" s="182" t="s">
        <v>5208</v>
      </c>
      <c r="L5" s="182" t="s">
        <v>5209</v>
      </c>
      <c r="M5" s="182" t="s">
        <v>5210</v>
      </c>
      <c r="N5" s="182" t="s">
        <v>5211</v>
      </c>
      <c r="O5" s="182">
        <v>10.0</v>
      </c>
      <c r="P5" s="182" t="b">
        <v>1</v>
      </c>
      <c r="Q5" s="182">
        <v>5.0</v>
      </c>
      <c r="R5" s="182" t="s">
        <v>29</v>
      </c>
      <c r="S5" s="182" t="s">
        <v>29</v>
      </c>
      <c r="T5" s="182" t="s">
        <v>5212</v>
      </c>
      <c r="U5" s="182" t="s">
        <v>5213</v>
      </c>
      <c r="V5" s="182"/>
      <c r="W5" s="182"/>
      <c r="X5" s="182"/>
      <c r="Y5" s="182"/>
      <c r="Z5" s="182"/>
      <c r="AA5" s="182"/>
      <c r="AB5" s="182"/>
      <c r="AC5" s="182"/>
    </row>
    <row r="6">
      <c r="A6" s="182" t="s">
        <v>5214</v>
      </c>
      <c r="B6" s="183" t="s">
        <v>5215</v>
      </c>
      <c r="C6" s="182" t="s">
        <v>5171</v>
      </c>
      <c r="D6" s="182" t="s">
        <v>5172</v>
      </c>
      <c r="E6" s="182" t="s">
        <v>5216</v>
      </c>
      <c r="F6" s="182" t="s">
        <v>5174</v>
      </c>
      <c r="G6" s="182" t="s">
        <v>29</v>
      </c>
      <c r="H6" s="182" t="s">
        <v>5176</v>
      </c>
      <c r="I6" s="182" t="s">
        <v>5217</v>
      </c>
      <c r="J6" s="182" t="s">
        <v>5218</v>
      </c>
      <c r="K6" s="182" t="s">
        <v>5219</v>
      </c>
      <c r="L6" s="182" t="s">
        <v>5180</v>
      </c>
      <c r="M6" s="182" t="s">
        <v>5220</v>
      </c>
      <c r="N6" s="182" t="s">
        <v>5221</v>
      </c>
      <c r="O6" s="182">
        <v>15.0</v>
      </c>
      <c r="P6" s="182" t="b">
        <v>1</v>
      </c>
      <c r="Q6" s="182">
        <v>5.0</v>
      </c>
      <c r="R6" s="182" t="s">
        <v>29</v>
      </c>
      <c r="S6" s="182" t="s">
        <v>29</v>
      </c>
      <c r="T6" s="182" t="s">
        <v>5222</v>
      </c>
      <c r="U6" s="182" t="s">
        <v>5223</v>
      </c>
      <c r="V6" s="182"/>
      <c r="W6" s="182"/>
      <c r="X6" s="182"/>
      <c r="Y6" s="182"/>
      <c r="Z6" s="182"/>
      <c r="AA6" s="182"/>
      <c r="AB6" s="182"/>
      <c r="AC6" s="182"/>
    </row>
    <row r="7">
      <c r="A7" s="182" t="s">
        <v>5224</v>
      </c>
      <c r="B7" s="183" t="s">
        <v>5215</v>
      </c>
      <c r="C7" s="182" t="s">
        <v>5171</v>
      </c>
      <c r="D7" s="182" t="s">
        <v>5172</v>
      </c>
      <c r="E7" s="182" t="s">
        <v>5216</v>
      </c>
      <c r="F7" s="182" t="s">
        <v>5174</v>
      </c>
      <c r="G7" s="182" t="s">
        <v>29</v>
      </c>
      <c r="H7" s="182" t="s">
        <v>5176</v>
      </c>
      <c r="I7" s="182" t="s">
        <v>5225</v>
      </c>
      <c r="J7" s="182" t="s">
        <v>5226</v>
      </c>
      <c r="K7" s="182" t="s">
        <v>5227</v>
      </c>
      <c r="L7" s="182" t="s">
        <v>5180</v>
      </c>
      <c r="M7" s="182" t="s">
        <v>5228</v>
      </c>
      <c r="N7" s="182" t="s">
        <v>5229</v>
      </c>
      <c r="O7" s="182">
        <v>15.0</v>
      </c>
      <c r="P7" s="182" t="b">
        <v>1</v>
      </c>
      <c r="Q7" s="182">
        <v>5.0</v>
      </c>
      <c r="R7" s="182" t="s">
        <v>29</v>
      </c>
      <c r="S7" s="182" t="s">
        <v>29</v>
      </c>
      <c r="T7" s="182" t="s">
        <v>5222</v>
      </c>
      <c r="U7" s="182" t="s">
        <v>5230</v>
      </c>
      <c r="V7" s="182"/>
      <c r="W7" s="182"/>
      <c r="X7" s="182"/>
      <c r="Y7" s="182"/>
      <c r="Z7" s="182"/>
      <c r="AA7" s="182"/>
      <c r="AB7" s="182"/>
      <c r="AC7" s="182"/>
    </row>
    <row r="8">
      <c r="A8" s="182" t="s">
        <v>5185</v>
      </c>
      <c r="B8" s="183" t="s">
        <v>5215</v>
      </c>
      <c r="C8" s="182" t="s">
        <v>5171</v>
      </c>
      <c r="D8" s="182" t="s">
        <v>5172</v>
      </c>
      <c r="E8" s="182" t="s">
        <v>5231</v>
      </c>
      <c r="F8" s="182" t="s">
        <v>5174</v>
      </c>
      <c r="G8" s="182" t="s">
        <v>29</v>
      </c>
      <c r="H8" s="182" t="s">
        <v>5232</v>
      </c>
      <c r="I8" s="182" t="s">
        <v>5233</v>
      </c>
      <c r="J8" s="182" t="s">
        <v>5189</v>
      </c>
      <c r="K8" s="182" t="s">
        <v>29</v>
      </c>
      <c r="L8" s="182" t="s">
        <v>5180</v>
      </c>
      <c r="M8" s="182" t="s">
        <v>5234</v>
      </c>
      <c r="N8" s="182" t="s">
        <v>5191</v>
      </c>
      <c r="O8" s="182">
        <v>15.0</v>
      </c>
      <c r="P8" s="182" t="b">
        <v>1</v>
      </c>
      <c r="Q8" s="182">
        <v>5.0</v>
      </c>
      <c r="R8" s="182" t="s">
        <v>29</v>
      </c>
      <c r="S8" s="182" t="s">
        <v>29</v>
      </c>
      <c r="T8" s="182" t="s">
        <v>5222</v>
      </c>
      <c r="U8" s="182" t="s">
        <v>5235</v>
      </c>
      <c r="V8" s="182"/>
      <c r="W8" s="182"/>
      <c r="X8" s="182"/>
      <c r="Y8" s="182"/>
      <c r="Z8" s="182"/>
      <c r="AA8" s="182"/>
      <c r="AB8" s="182"/>
      <c r="AC8" s="182"/>
    </row>
    <row r="9">
      <c r="A9" s="182" t="s">
        <v>5203</v>
      </c>
      <c r="B9" s="182" t="s">
        <v>4143</v>
      </c>
      <c r="C9" s="182" t="s">
        <v>5171</v>
      </c>
      <c r="D9" s="182" t="s">
        <v>5172</v>
      </c>
      <c r="E9" s="182" t="s">
        <v>5216</v>
      </c>
      <c r="F9" s="182" t="s">
        <v>5174</v>
      </c>
      <c r="G9" s="182" t="s">
        <v>5205</v>
      </c>
      <c r="H9" s="182" t="s">
        <v>5176</v>
      </c>
      <c r="I9" s="182" t="s">
        <v>5236</v>
      </c>
      <c r="J9" s="182" t="s">
        <v>5207</v>
      </c>
      <c r="K9" s="182" t="s">
        <v>5208</v>
      </c>
      <c r="L9" s="182" t="s">
        <v>5237</v>
      </c>
      <c r="M9" s="182" t="s">
        <v>5238</v>
      </c>
      <c r="N9" s="182" t="s">
        <v>5211</v>
      </c>
      <c r="O9" s="182">
        <v>15.0</v>
      </c>
      <c r="P9" s="182" t="b">
        <v>1</v>
      </c>
      <c r="Q9" s="182">
        <v>5.0</v>
      </c>
      <c r="R9" s="182" t="s">
        <v>29</v>
      </c>
      <c r="S9" s="182" t="s">
        <v>29</v>
      </c>
      <c r="T9" s="182" t="s">
        <v>5222</v>
      </c>
      <c r="U9" s="182" t="s">
        <v>5239</v>
      </c>
      <c r="V9" s="182"/>
      <c r="W9" s="182"/>
      <c r="X9" s="182"/>
      <c r="Y9" s="182"/>
      <c r="Z9" s="182"/>
      <c r="AA9" s="182"/>
      <c r="AB9" s="182"/>
      <c r="AC9" s="182"/>
    </row>
    <row r="10">
      <c r="A10" s="183" t="s">
        <v>5240</v>
      </c>
      <c r="B10" s="183" t="s">
        <v>4143</v>
      </c>
      <c r="C10" s="183" t="s">
        <v>5171</v>
      </c>
      <c r="D10" s="183" t="s">
        <v>5241</v>
      </c>
      <c r="E10" s="183" t="s">
        <v>5242</v>
      </c>
      <c r="F10" s="182"/>
      <c r="G10" s="182"/>
      <c r="H10" s="182"/>
      <c r="I10" s="182"/>
      <c r="J10" s="182"/>
      <c r="K10" s="182"/>
      <c r="L10" s="182"/>
      <c r="M10" s="182"/>
      <c r="N10" s="182"/>
      <c r="O10" s="182"/>
      <c r="P10" s="182"/>
      <c r="Q10" s="182"/>
      <c r="R10" s="182"/>
      <c r="S10" s="182"/>
      <c r="T10" s="183" t="s">
        <v>5243</v>
      </c>
      <c r="U10" s="183" t="s">
        <v>5244</v>
      </c>
      <c r="V10" s="182" t="s">
        <v>5245</v>
      </c>
      <c r="W10" s="182">
        <v>100.0</v>
      </c>
      <c r="X10" s="182" t="s">
        <v>5246</v>
      </c>
      <c r="Y10" s="182" t="s">
        <v>5247</v>
      </c>
      <c r="Z10" s="182" t="s">
        <v>5248</v>
      </c>
      <c r="AA10" s="182">
        <v>3.0</v>
      </c>
      <c r="AB10" s="182">
        <v>3.0</v>
      </c>
      <c r="AC10" s="182">
        <v>5.0</v>
      </c>
    </row>
    <row r="11">
      <c r="A11" s="183" t="s">
        <v>5249</v>
      </c>
      <c r="B11" s="183" t="s">
        <v>4143</v>
      </c>
      <c r="C11" s="183" t="s">
        <v>5171</v>
      </c>
      <c r="D11" s="183" t="s">
        <v>5241</v>
      </c>
      <c r="E11" s="183" t="s">
        <v>5250</v>
      </c>
      <c r="F11" s="182"/>
      <c r="G11" s="182"/>
      <c r="H11" s="182"/>
      <c r="I11" s="182"/>
      <c r="J11" s="182"/>
      <c r="K11" s="182"/>
      <c r="L11" s="182"/>
      <c r="M11" s="182"/>
      <c r="N11" s="182"/>
      <c r="O11" s="182"/>
      <c r="P11" s="182"/>
      <c r="Q11" s="182"/>
      <c r="R11" s="182"/>
      <c r="S11" s="182"/>
      <c r="T11" s="183" t="s">
        <v>5251</v>
      </c>
      <c r="U11" s="183" t="s">
        <v>5252</v>
      </c>
      <c r="V11" s="182" t="s">
        <v>5253</v>
      </c>
      <c r="W11" s="182">
        <v>90.0</v>
      </c>
      <c r="X11" s="182" t="s">
        <v>5254</v>
      </c>
      <c r="Y11" s="182" t="s">
        <v>5255</v>
      </c>
      <c r="Z11" s="182"/>
      <c r="AA11" s="182">
        <v>3.0</v>
      </c>
      <c r="AB11" s="182">
        <v>1.0</v>
      </c>
      <c r="AC11" s="182">
        <v>3.0</v>
      </c>
    </row>
    <row r="12">
      <c r="A12" s="183" t="s">
        <v>5256</v>
      </c>
      <c r="B12" s="183" t="s">
        <v>4143</v>
      </c>
      <c r="C12" s="183" t="s">
        <v>5171</v>
      </c>
      <c r="D12" s="183" t="s">
        <v>5241</v>
      </c>
      <c r="E12" s="183" t="s">
        <v>5257</v>
      </c>
      <c r="F12" s="182"/>
      <c r="G12" s="182"/>
      <c r="H12" s="182"/>
      <c r="I12" s="182"/>
      <c r="J12" s="182"/>
      <c r="K12" s="182"/>
      <c r="L12" s="182"/>
      <c r="M12" s="182"/>
      <c r="N12" s="182"/>
      <c r="O12" s="182"/>
      <c r="P12" s="182"/>
      <c r="Q12" s="182"/>
      <c r="R12" s="182"/>
      <c r="S12" s="182"/>
      <c r="T12" s="183" t="s">
        <v>5258</v>
      </c>
      <c r="U12" s="183" t="s">
        <v>5259</v>
      </c>
      <c r="V12" s="182" t="s">
        <v>4422</v>
      </c>
      <c r="W12" s="182">
        <v>80.0</v>
      </c>
      <c r="X12" s="182" t="s">
        <v>5260</v>
      </c>
      <c r="Y12" s="182" t="s">
        <v>5261</v>
      </c>
      <c r="Z12" s="182" t="s">
        <v>5262</v>
      </c>
      <c r="AA12" s="182">
        <v>3.0</v>
      </c>
      <c r="AB12" s="182">
        <v>100.0</v>
      </c>
      <c r="AC12" s="182">
        <v>3.0</v>
      </c>
    </row>
    <row r="13">
      <c r="A13" s="183" t="s">
        <v>5263</v>
      </c>
      <c r="B13" s="183" t="s">
        <v>4143</v>
      </c>
      <c r="C13" s="183" t="s">
        <v>5171</v>
      </c>
      <c r="D13" s="183" t="s">
        <v>5241</v>
      </c>
      <c r="E13" s="183" t="s">
        <v>5264</v>
      </c>
      <c r="F13" s="182"/>
      <c r="G13" s="182"/>
      <c r="H13" s="182"/>
      <c r="I13" s="182"/>
      <c r="J13" s="182"/>
      <c r="K13" s="182"/>
      <c r="L13" s="182"/>
      <c r="M13" s="182"/>
      <c r="N13" s="182"/>
      <c r="O13" s="182"/>
      <c r="P13" s="182"/>
      <c r="Q13" s="182"/>
      <c r="R13" s="182"/>
      <c r="S13" s="182"/>
      <c r="T13" s="183" t="s">
        <v>5265</v>
      </c>
      <c r="U13" s="183" t="s">
        <v>5266</v>
      </c>
      <c r="V13" s="182" t="s">
        <v>4653</v>
      </c>
      <c r="W13" s="182">
        <v>60.0</v>
      </c>
      <c r="X13" s="182" t="s">
        <v>5267</v>
      </c>
      <c r="Y13" s="182" t="s">
        <v>5268</v>
      </c>
      <c r="Z13" s="182" t="s">
        <v>5262</v>
      </c>
      <c r="AA13" s="182">
        <v>3.0</v>
      </c>
      <c r="AB13" s="182">
        <v>100.0</v>
      </c>
      <c r="AC13" s="182">
        <v>5.0</v>
      </c>
    </row>
    <row r="14">
      <c r="A14" s="183" t="s">
        <v>5269</v>
      </c>
      <c r="B14" s="183" t="s">
        <v>5270</v>
      </c>
      <c r="C14" s="183" t="s">
        <v>5171</v>
      </c>
      <c r="D14" s="183" t="s">
        <v>5241</v>
      </c>
      <c r="E14" s="183" t="s">
        <v>5271</v>
      </c>
      <c r="F14" s="182"/>
      <c r="G14" s="182"/>
      <c r="H14" s="182"/>
      <c r="I14" s="182"/>
      <c r="J14" s="182"/>
      <c r="K14" s="182"/>
      <c r="L14" s="182"/>
      <c r="M14" s="182"/>
      <c r="N14" s="182"/>
      <c r="O14" s="182"/>
      <c r="P14" s="182"/>
      <c r="Q14" s="182"/>
      <c r="R14" s="182"/>
      <c r="S14" s="182"/>
      <c r="T14" s="183" t="s">
        <v>5272</v>
      </c>
      <c r="U14" s="183" t="s">
        <v>5273</v>
      </c>
      <c r="V14" s="182" t="s">
        <v>4651</v>
      </c>
      <c r="W14" s="182">
        <v>50.0</v>
      </c>
      <c r="X14" s="182" t="s">
        <v>5274</v>
      </c>
      <c r="Y14" s="182" t="s">
        <v>5268</v>
      </c>
      <c r="Z14" s="182" t="s">
        <v>5262</v>
      </c>
      <c r="AA14" s="182">
        <v>3.0</v>
      </c>
      <c r="AB14" s="182">
        <v>100.0</v>
      </c>
      <c r="AC14" s="182">
        <v>8.0</v>
      </c>
    </row>
    <row r="15">
      <c r="A15" s="183" t="s">
        <v>5275</v>
      </c>
      <c r="B15" s="183" t="s">
        <v>5270</v>
      </c>
      <c r="C15" s="183" t="s">
        <v>5171</v>
      </c>
      <c r="D15" s="183" t="s">
        <v>5241</v>
      </c>
      <c r="E15" s="183" t="s">
        <v>5276</v>
      </c>
      <c r="F15" s="182"/>
      <c r="G15" s="182"/>
      <c r="H15" s="182"/>
      <c r="I15" s="182"/>
      <c r="J15" s="182"/>
      <c r="K15" s="182"/>
      <c r="L15" s="182"/>
      <c r="M15" s="182"/>
      <c r="N15" s="182"/>
      <c r="O15" s="182"/>
      <c r="P15" s="182"/>
      <c r="Q15" s="182"/>
      <c r="R15" s="182"/>
      <c r="S15" s="182"/>
      <c r="T15" s="183" t="s">
        <v>5277</v>
      </c>
      <c r="U15" s="183" t="s">
        <v>5278</v>
      </c>
      <c r="V15" s="182" t="s">
        <v>5279</v>
      </c>
      <c r="W15" s="182">
        <v>70.0</v>
      </c>
      <c r="X15" s="182" t="s">
        <v>5280</v>
      </c>
      <c r="Y15" s="182" t="s">
        <v>5281</v>
      </c>
      <c r="Z15" s="182"/>
      <c r="AA15" s="182">
        <v>5.0</v>
      </c>
      <c r="AB15" s="182">
        <v>1.0</v>
      </c>
      <c r="AC15" s="182">
        <v>10.0</v>
      </c>
    </row>
    <row r="16">
      <c r="A16" s="183" t="s">
        <v>5282</v>
      </c>
      <c r="B16" s="183" t="s">
        <v>4143</v>
      </c>
      <c r="C16" s="183" t="s">
        <v>5171</v>
      </c>
      <c r="D16" s="183" t="s">
        <v>5283</v>
      </c>
      <c r="E16" s="183" t="s">
        <v>5284</v>
      </c>
      <c r="F16" s="183" t="s">
        <v>5174</v>
      </c>
      <c r="G16" s="182"/>
      <c r="H16" s="183" t="s">
        <v>5285</v>
      </c>
      <c r="I16" s="183" t="s">
        <v>5286</v>
      </c>
      <c r="J16" s="183" t="s">
        <v>5287</v>
      </c>
      <c r="K16" s="182"/>
      <c r="L16" s="183" t="s">
        <v>5288</v>
      </c>
      <c r="M16" s="182"/>
      <c r="N16" s="183" t="s">
        <v>5289</v>
      </c>
      <c r="O16" s="183">
        <v>15.0</v>
      </c>
      <c r="P16" s="183" t="b">
        <v>1</v>
      </c>
      <c r="Q16" s="183">
        <v>5.0</v>
      </c>
      <c r="R16" s="182"/>
      <c r="S16" s="182"/>
      <c r="T16" s="183" t="s">
        <v>5290</v>
      </c>
      <c r="U16" s="183" t="s">
        <v>5262</v>
      </c>
      <c r="V16" s="182" t="s">
        <v>5291</v>
      </c>
      <c r="W16" s="182"/>
      <c r="X16" s="182"/>
      <c r="Y16" s="182"/>
      <c r="Z16" s="182"/>
      <c r="AA16" s="182"/>
      <c r="AB16" s="182">
        <v>100.0</v>
      </c>
      <c r="AC16" s="182"/>
    </row>
    <row r="17">
      <c r="A17" s="183" t="s">
        <v>5292</v>
      </c>
      <c r="B17" s="183" t="s">
        <v>4143</v>
      </c>
      <c r="C17" s="183" t="s">
        <v>5171</v>
      </c>
      <c r="D17" s="183" t="s">
        <v>5283</v>
      </c>
      <c r="E17" s="183" t="s">
        <v>5293</v>
      </c>
      <c r="F17" s="183" t="s">
        <v>5174</v>
      </c>
      <c r="G17" s="182"/>
      <c r="H17" s="183" t="s">
        <v>5285</v>
      </c>
      <c r="I17" s="183" t="s">
        <v>5286</v>
      </c>
      <c r="J17" s="183" t="s">
        <v>5287</v>
      </c>
      <c r="K17" s="182"/>
      <c r="L17" s="183" t="s">
        <v>5288</v>
      </c>
      <c r="M17" s="182"/>
      <c r="N17" s="183" t="s">
        <v>5294</v>
      </c>
      <c r="O17" s="183">
        <v>15.0</v>
      </c>
      <c r="P17" s="183" t="b">
        <v>1</v>
      </c>
      <c r="Q17" s="183">
        <v>5.0</v>
      </c>
      <c r="R17" s="182"/>
      <c r="S17" s="182"/>
      <c r="T17" s="183" t="s">
        <v>5295</v>
      </c>
      <c r="U17" s="183" t="s">
        <v>5248</v>
      </c>
      <c r="V17" s="182" t="s">
        <v>5245</v>
      </c>
      <c r="W17" s="182"/>
      <c r="X17" s="182"/>
      <c r="Y17" s="182"/>
      <c r="Z17" s="182"/>
      <c r="AA17" s="182"/>
      <c r="AB17" s="182">
        <v>3.0</v>
      </c>
      <c r="AC17" s="182"/>
    </row>
    <row r="18">
      <c r="A18" s="183" t="s">
        <v>5296</v>
      </c>
      <c r="B18" s="183" t="s">
        <v>4143</v>
      </c>
      <c r="C18" s="183" t="s">
        <v>2049</v>
      </c>
      <c r="D18" s="183" t="s">
        <v>5172</v>
      </c>
      <c r="E18" s="183" t="s">
        <v>5297</v>
      </c>
      <c r="F18" s="183" t="s">
        <v>5298</v>
      </c>
      <c r="G18" s="183" t="s">
        <v>29</v>
      </c>
      <c r="H18" s="183" t="s">
        <v>5299</v>
      </c>
      <c r="I18" s="183" t="s">
        <v>5300</v>
      </c>
      <c r="J18" s="183" t="s">
        <v>5287</v>
      </c>
      <c r="K18" s="183" t="s">
        <v>5301</v>
      </c>
      <c r="L18" s="183" t="s">
        <v>5302</v>
      </c>
      <c r="M18" s="183" t="s">
        <v>5303</v>
      </c>
      <c r="N18" s="183" t="s">
        <v>5304</v>
      </c>
      <c r="O18" s="183" t="s">
        <v>29</v>
      </c>
      <c r="P18" s="183" t="b">
        <v>0</v>
      </c>
      <c r="Q18" s="183" t="s">
        <v>29</v>
      </c>
      <c r="R18" s="183" t="s">
        <v>29</v>
      </c>
      <c r="S18" s="183" t="s">
        <v>29</v>
      </c>
      <c r="T18" s="183" t="s">
        <v>5305</v>
      </c>
      <c r="U18" s="183" t="s">
        <v>5306</v>
      </c>
      <c r="V18" s="183" t="s">
        <v>29</v>
      </c>
      <c r="W18" s="183" t="s">
        <v>29</v>
      </c>
      <c r="X18" s="183" t="s">
        <v>29</v>
      </c>
      <c r="Y18" s="183" t="s">
        <v>29</v>
      </c>
      <c r="Z18" s="183" t="s">
        <v>29</v>
      </c>
      <c r="AA18" s="183" t="s">
        <v>29</v>
      </c>
      <c r="AB18" s="183" t="s">
        <v>29</v>
      </c>
      <c r="AC18" s="183" t="s">
        <v>29</v>
      </c>
    </row>
    <row r="19">
      <c r="A19" s="183" t="s">
        <v>5307</v>
      </c>
      <c r="B19" s="183" t="s">
        <v>4143</v>
      </c>
      <c r="C19" s="183" t="s">
        <v>2049</v>
      </c>
      <c r="D19" s="183" t="s">
        <v>5172</v>
      </c>
      <c r="E19" s="183" t="s">
        <v>5308</v>
      </c>
      <c r="F19" s="183" t="s">
        <v>5298</v>
      </c>
      <c r="G19" s="183" t="s">
        <v>29</v>
      </c>
      <c r="H19" s="183" t="s">
        <v>5299</v>
      </c>
      <c r="I19" s="183" t="s">
        <v>5300</v>
      </c>
      <c r="J19" s="183" t="s">
        <v>5287</v>
      </c>
      <c r="K19" s="183" t="s">
        <v>29</v>
      </c>
      <c r="L19" s="183" t="s">
        <v>5302</v>
      </c>
      <c r="M19" s="183" t="s">
        <v>5309</v>
      </c>
      <c r="N19" s="183" t="s">
        <v>5310</v>
      </c>
      <c r="O19" s="183" t="s">
        <v>29</v>
      </c>
      <c r="P19" s="183" t="b">
        <v>0</v>
      </c>
      <c r="Q19" s="183" t="s">
        <v>29</v>
      </c>
      <c r="R19" s="183" t="s">
        <v>29</v>
      </c>
      <c r="S19" s="183" t="s">
        <v>29</v>
      </c>
      <c r="T19" s="183" t="s">
        <v>5305</v>
      </c>
      <c r="U19" s="183" t="s">
        <v>5311</v>
      </c>
      <c r="V19" s="183" t="s">
        <v>29</v>
      </c>
      <c r="W19" s="183" t="s">
        <v>29</v>
      </c>
      <c r="X19" s="183" t="s">
        <v>29</v>
      </c>
      <c r="Y19" s="183" t="s">
        <v>29</v>
      </c>
      <c r="Z19" s="183" t="s">
        <v>29</v>
      </c>
      <c r="AA19" s="183">
        <v>16.0</v>
      </c>
      <c r="AB19" s="183" t="s">
        <v>29</v>
      </c>
      <c r="AC19" s="183" t="s">
        <v>29</v>
      </c>
    </row>
    <row r="20">
      <c r="A20" s="183" t="s">
        <v>5312</v>
      </c>
      <c r="B20" s="183" t="s">
        <v>4143</v>
      </c>
      <c r="C20" s="183" t="s">
        <v>2049</v>
      </c>
      <c r="D20" s="183" t="s">
        <v>5172</v>
      </c>
      <c r="E20" s="183" t="s">
        <v>5313</v>
      </c>
      <c r="F20" s="183" t="s">
        <v>5298</v>
      </c>
      <c r="G20" s="183" t="s">
        <v>29</v>
      </c>
      <c r="H20" s="183" t="s">
        <v>5299</v>
      </c>
      <c r="I20" s="183" t="s">
        <v>5300</v>
      </c>
      <c r="J20" s="183" t="s">
        <v>5287</v>
      </c>
      <c r="K20" s="183" t="s">
        <v>29</v>
      </c>
      <c r="L20" s="183" t="s">
        <v>5302</v>
      </c>
      <c r="M20" s="183" t="s">
        <v>5314</v>
      </c>
      <c r="N20" s="183" t="s">
        <v>5315</v>
      </c>
      <c r="O20" s="183" t="s">
        <v>29</v>
      </c>
      <c r="P20" s="183" t="b">
        <v>0</v>
      </c>
      <c r="Q20" s="183" t="s">
        <v>29</v>
      </c>
      <c r="R20" s="183" t="s">
        <v>29</v>
      </c>
      <c r="S20" s="183" t="s">
        <v>29</v>
      </c>
      <c r="T20" s="183" t="s">
        <v>5305</v>
      </c>
      <c r="U20" s="183" t="s">
        <v>5316</v>
      </c>
      <c r="V20" s="183" t="s">
        <v>29</v>
      </c>
      <c r="W20" s="183" t="s">
        <v>29</v>
      </c>
      <c r="X20" s="183" t="s">
        <v>29</v>
      </c>
      <c r="Y20" s="183" t="s">
        <v>29</v>
      </c>
      <c r="Z20" s="183" t="s">
        <v>29</v>
      </c>
      <c r="AA20" s="183">
        <v>3.0</v>
      </c>
      <c r="AB20" s="183" t="s">
        <v>29</v>
      </c>
      <c r="AC20" s="183" t="s">
        <v>29</v>
      </c>
    </row>
    <row r="21">
      <c r="A21" s="183" t="s">
        <v>5317</v>
      </c>
      <c r="B21" s="183" t="s">
        <v>4143</v>
      </c>
      <c r="C21" s="183" t="s">
        <v>5171</v>
      </c>
      <c r="D21" s="183" t="s">
        <v>5283</v>
      </c>
      <c r="E21" s="183" t="s">
        <v>5318</v>
      </c>
      <c r="F21" s="183" t="s">
        <v>5174</v>
      </c>
      <c r="G21" s="183" t="s">
        <v>29</v>
      </c>
      <c r="H21" s="183" t="s">
        <v>5285</v>
      </c>
      <c r="I21" s="183" t="s">
        <v>5286</v>
      </c>
      <c r="J21" s="183" t="s">
        <v>5287</v>
      </c>
      <c r="K21" s="183" t="s">
        <v>29</v>
      </c>
      <c r="L21" s="183" t="s">
        <v>5288</v>
      </c>
      <c r="M21" s="183" t="s">
        <v>29</v>
      </c>
      <c r="N21" s="183" t="s">
        <v>5319</v>
      </c>
      <c r="O21" s="183">
        <v>20.0</v>
      </c>
      <c r="P21" s="183" t="b">
        <v>1</v>
      </c>
      <c r="Q21" s="183">
        <v>5.0</v>
      </c>
      <c r="R21" s="183" t="s">
        <v>29</v>
      </c>
      <c r="S21" s="183" t="s">
        <v>29</v>
      </c>
      <c r="T21" s="183" t="s">
        <v>5320</v>
      </c>
      <c r="U21" s="183" t="s">
        <v>5321</v>
      </c>
      <c r="V21" s="183" t="s">
        <v>5322</v>
      </c>
      <c r="W21" s="183" t="s">
        <v>29</v>
      </c>
      <c r="X21" s="183" t="s">
        <v>29</v>
      </c>
      <c r="Y21" s="183" t="s">
        <v>29</v>
      </c>
      <c r="Z21" s="183" t="s">
        <v>29</v>
      </c>
      <c r="AA21" s="183">
        <v>1.0</v>
      </c>
      <c r="AB21" s="183" t="s">
        <v>29</v>
      </c>
      <c r="AC21" s="183" t="s">
        <v>29</v>
      </c>
    </row>
    <row r="22">
      <c r="A22" s="183" t="s">
        <v>5323</v>
      </c>
      <c r="B22" s="183" t="s">
        <v>4143</v>
      </c>
      <c r="C22" s="183" t="s">
        <v>5171</v>
      </c>
      <c r="D22" s="183" t="s">
        <v>5283</v>
      </c>
      <c r="E22" s="183" t="s">
        <v>5324</v>
      </c>
      <c r="F22" s="183" t="s">
        <v>5174</v>
      </c>
      <c r="G22" s="183" t="s">
        <v>29</v>
      </c>
      <c r="H22" s="183" t="s">
        <v>5285</v>
      </c>
      <c r="I22" s="183" t="s">
        <v>5286</v>
      </c>
      <c r="J22" s="183" t="s">
        <v>5287</v>
      </c>
      <c r="K22" s="183" t="s">
        <v>29</v>
      </c>
      <c r="L22" s="183" t="s">
        <v>5288</v>
      </c>
      <c r="M22" s="183" t="s">
        <v>29</v>
      </c>
      <c r="N22" s="183" t="s">
        <v>5325</v>
      </c>
      <c r="O22" s="183">
        <v>20.0</v>
      </c>
      <c r="P22" s="183" t="b">
        <v>1</v>
      </c>
      <c r="Q22" s="183">
        <v>5.0</v>
      </c>
      <c r="R22" s="183" t="s">
        <v>29</v>
      </c>
      <c r="S22" s="183" t="s">
        <v>29</v>
      </c>
      <c r="T22" s="183" t="s">
        <v>5320</v>
      </c>
      <c r="U22" s="183" t="s">
        <v>5326</v>
      </c>
      <c r="V22" s="183" t="s">
        <v>5327</v>
      </c>
      <c r="W22" s="183" t="s">
        <v>29</v>
      </c>
      <c r="X22" s="183" t="s">
        <v>29</v>
      </c>
      <c r="Y22" s="183" t="s">
        <v>29</v>
      </c>
      <c r="Z22" s="183" t="s">
        <v>29</v>
      </c>
      <c r="AA22" s="183">
        <v>3.0</v>
      </c>
      <c r="AB22" s="183" t="s">
        <v>29</v>
      </c>
      <c r="AC22" s="183" t="s">
        <v>29</v>
      </c>
    </row>
    <row r="23">
      <c r="A23" s="183" t="s">
        <v>5328</v>
      </c>
      <c r="B23" s="183" t="s">
        <v>4143</v>
      </c>
      <c r="C23" s="183" t="s">
        <v>5171</v>
      </c>
      <c r="D23" s="183" t="s">
        <v>5283</v>
      </c>
      <c r="E23" s="183" t="s">
        <v>5329</v>
      </c>
      <c r="F23" s="183" t="s">
        <v>5174</v>
      </c>
      <c r="G23" s="183" t="s">
        <v>29</v>
      </c>
      <c r="H23" s="183" t="s">
        <v>5285</v>
      </c>
      <c r="I23" s="183" t="s">
        <v>5286</v>
      </c>
      <c r="J23" s="183" t="s">
        <v>5287</v>
      </c>
      <c r="K23" s="183" t="s">
        <v>29</v>
      </c>
      <c r="L23" s="183" t="s">
        <v>5288</v>
      </c>
      <c r="M23" s="183" t="s">
        <v>29</v>
      </c>
      <c r="N23" s="183" t="s">
        <v>5330</v>
      </c>
      <c r="O23" s="183">
        <v>20.0</v>
      </c>
      <c r="P23" s="183" t="b">
        <v>1</v>
      </c>
      <c r="Q23" s="183">
        <v>5.0</v>
      </c>
      <c r="R23" s="183" t="s">
        <v>29</v>
      </c>
      <c r="S23" s="183" t="s">
        <v>29</v>
      </c>
      <c r="T23" s="183" t="s">
        <v>5320</v>
      </c>
      <c r="U23" s="183" t="s">
        <v>5331</v>
      </c>
      <c r="V23" s="183" t="s">
        <v>5332</v>
      </c>
      <c r="W23" s="183" t="s">
        <v>29</v>
      </c>
      <c r="X23" s="183" t="s">
        <v>29</v>
      </c>
      <c r="Y23" s="183" t="s">
        <v>29</v>
      </c>
      <c r="Z23" s="183" t="s">
        <v>29</v>
      </c>
      <c r="AA23" s="183">
        <v>1.0</v>
      </c>
      <c r="AB23" s="183" t="s">
        <v>29</v>
      </c>
      <c r="AC23" s="183" t="s">
        <v>29</v>
      </c>
    </row>
    <row r="24">
      <c r="A24" s="183" t="s">
        <v>5333</v>
      </c>
      <c r="B24" s="183" t="s">
        <v>4143</v>
      </c>
      <c r="C24" s="183" t="s">
        <v>5171</v>
      </c>
      <c r="D24" s="183" t="s">
        <v>5283</v>
      </c>
      <c r="E24" s="183" t="s">
        <v>5334</v>
      </c>
      <c r="F24" s="183" t="s">
        <v>5174</v>
      </c>
      <c r="G24" s="183" t="s">
        <v>29</v>
      </c>
      <c r="H24" s="183" t="s">
        <v>5285</v>
      </c>
      <c r="I24" s="183" t="s">
        <v>5286</v>
      </c>
      <c r="J24" s="183" t="s">
        <v>5287</v>
      </c>
      <c r="K24" s="183" t="s">
        <v>29</v>
      </c>
      <c r="L24" s="183" t="s">
        <v>5288</v>
      </c>
      <c r="M24" s="183" t="s">
        <v>29</v>
      </c>
      <c r="N24" s="183" t="s">
        <v>29</v>
      </c>
      <c r="O24" s="183" t="s">
        <v>29</v>
      </c>
      <c r="P24" s="183" t="b">
        <v>1</v>
      </c>
      <c r="Q24" s="183">
        <v>5.0</v>
      </c>
      <c r="R24" s="183">
        <v>5.0</v>
      </c>
      <c r="S24" s="183">
        <v>3.0</v>
      </c>
      <c r="T24" s="183" t="s">
        <v>5320</v>
      </c>
      <c r="U24" s="183" t="s">
        <v>5335</v>
      </c>
      <c r="V24" s="183" t="s">
        <v>5336</v>
      </c>
      <c r="W24" s="183" t="s">
        <v>29</v>
      </c>
      <c r="X24" s="183" t="s">
        <v>29</v>
      </c>
      <c r="Y24" s="183" t="s">
        <v>29</v>
      </c>
      <c r="Z24" s="183" t="s">
        <v>29</v>
      </c>
      <c r="AA24" s="183" t="s">
        <v>29</v>
      </c>
      <c r="AB24" s="183">
        <v>20.0</v>
      </c>
      <c r="AC24" s="183">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4" t="s">
        <v>3331</v>
      </c>
      <c r="B1" s="184" t="s">
        <v>3658</v>
      </c>
      <c r="C1" s="184" t="s">
        <v>5337</v>
      </c>
      <c r="D1" s="184" t="s">
        <v>5338</v>
      </c>
      <c r="E1" s="184" t="s">
        <v>2620</v>
      </c>
      <c r="F1" s="184" t="s">
        <v>5339</v>
      </c>
      <c r="G1" s="185" t="s">
        <v>5340</v>
      </c>
      <c r="H1" s="185" t="s">
        <v>5341</v>
      </c>
      <c r="I1" s="185" t="s">
        <v>5342</v>
      </c>
      <c r="J1" s="185" t="s">
        <v>5343</v>
      </c>
      <c r="K1" s="185" t="s">
        <v>5344</v>
      </c>
      <c r="L1" s="185" t="s">
        <v>5345</v>
      </c>
      <c r="M1" s="185" t="s">
        <v>5346</v>
      </c>
      <c r="N1" s="185" t="s">
        <v>5347</v>
      </c>
    </row>
    <row r="2">
      <c r="A2" s="126" t="s">
        <v>5348</v>
      </c>
      <c r="B2" s="126" t="s">
        <v>3292</v>
      </c>
      <c r="C2" s="126" t="s">
        <v>57</v>
      </c>
      <c r="D2" s="126" t="s">
        <v>58</v>
      </c>
      <c r="E2" s="126" t="s">
        <v>5349</v>
      </c>
      <c r="F2" s="126" t="s">
        <v>4955</v>
      </c>
      <c r="G2" s="106" t="s">
        <v>5350</v>
      </c>
      <c r="H2" s="106" t="s">
        <v>5351</v>
      </c>
      <c r="I2" s="106">
        <v>40.0</v>
      </c>
      <c r="J2" s="106">
        <v>2.0</v>
      </c>
      <c r="K2" s="106">
        <v>20.0</v>
      </c>
      <c r="L2" s="106">
        <v>5.0</v>
      </c>
      <c r="M2" s="106" t="s">
        <v>5352</v>
      </c>
      <c r="N2" s="106">
        <v>3.0</v>
      </c>
    </row>
    <row r="3">
      <c r="A3" s="126" t="s">
        <v>5353</v>
      </c>
      <c r="B3" s="126" t="s">
        <v>3294</v>
      </c>
      <c r="C3" s="126" t="s">
        <v>56</v>
      </c>
      <c r="D3" s="126" t="s">
        <v>54</v>
      </c>
      <c r="E3" s="126" t="s">
        <v>5354</v>
      </c>
      <c r="F3" s="126" t="s">
        <v>4955</v>
      </c>
      <c r="G3" s="106" t="s">
        <v>5355</v>
      </c>
      <c r="H3" s="106" t="s">
        <v>5356</v>
      </c>
      <c r="I3" s="106">
        <v>40.0</v>
      </c>
      <c r="J3" s="106">
        <v>2.0</v>
      </c>
      <c r="K3" s="106">
        <v>20.0</v>
      </c>
      <c r="L3" s="106">
        <v>5.0</v>
      </c>
      <c r="M3" s="106" t="s">
        <v>5352</v>
      </c>
      <c r="N3" s="106">
        <v>3.0</v>
      </c>
    </row>
    <row r="4">
      <c r="A4" s="126" t="s">
        <v>5357</v>
      </c>
      <c r="B4" s="126" t="s">
        <v>3296</v>
      </c>
      <c r="C4" s="126" t="s">
        <v>67</v>
      </c>
      <c r="D4" s="126" t="s">
        <v>57</v>
      </c>
      <c r="E4" s="126" t="s">
        <v>5358</v>
      </c>
      <c r="F4" s="126" t="s">
        <v>4955</v>
      </c>
      <c r="G4" s="106" t="s">
        <v>5359</v>
      </c>
      <c r="H4" s="106" t="s">
        <v>5360</v>
      </c>
      <c r="I4" s="106">
        <v>40.0</v>
      </c>
      <c r="J4" s="106">
        <v>2.0</v>
      </c>
      <c r="K4" s="106">
        <v>20.0</v>
      </c>
      <c r="L4" s="106">
        <v>5.0</v>
      </c>
      <c r="M4" s="106" t="s">
        <v>5352</v>
      </c>
      <c r="N4" s="106">
        <v>3.0</v>
      </c>
    </row>
    <row r="5">
      <c r="A5" s="126" t="s">
        <v>5361</v>
      </c>
      <c r="B5" s="126" t="s">
        <v>3298</v>
      </c>
      <c r="C5" s="126" t="s">
        <v>61</v>
      </c>
      <c r="D5" s="126" t="s">
        <v>60</v>
      </c>
      <c r="E5" s="126" t="s">
        <v>5362</v>
      </c>
      <c r="F5" s="126" t="s">
        <v>4955</v>
      </c>
      <c r="G5" s="106" t="s">
        <v>5363</v>
      </c>
      <c r="H5" s="106" t="s">
        <v>5364</v>
      </c>
      <c r="I5" s="106">
        <v>40.0</v>
      </c>
      <c r="J5" s="106">
        <v>2.0</v>
      </c>
      <c r="K5" s="106">
        <v>20.0</v>
      </c>
      <c r="L5" s="106">
        <v>5.0</v>
      </c>
      <c r="M5" s="106" t="s">
        <v>5352</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6" t="s">
        <v>2561</v>
      </c>
      <c r="B1" s="186" t="s">
        <v>3318</v>
      </c>
      <c r="C1" s="186" t="s">
        <v>3659</v>
      </c>
      <c r="D1" s="187" t="s">
        <v>5365</v>
      </c>
      <c r="E1" s="186" t="s">
        <v>5366</v>
      </c>
      <c r="F1" s="186" t="s">
        <v>5367</v>
      </c>
      <c r="G1" s="186" t="s">
        <v>5368</v>
      </c>
      <c r="H1" s="186" t="s">
        <v>5369</v>
      </c>
      <c r="I1" s="186" t="s">
        <v>5370</v>
      </c>
      <c r="J1" s="186" t="s">
        <v>5371</v>
      </c>
      <c r="K1" s="186" t="s">
        <v>5372</v>
      </c>
      <c r="L1" s="186" t="s">
        <v>5373</v>
      </c>
      <c r="M1" s="188" t="s">
        <v>3227</v>
      </c>
      <c r="N1" s="188" t="s">
        <v>3228</v>
      </c>
      <c r="O1" s="123" t="s">
        <v>3339</v>
      </c>
      <c r="P1" s="123" t="s">
        <v>3340</v>
      </c>
      <c r="Q1" s="123" t="s">
        <v>5374</v>
      </c>
      <c r="R1" s="123" t="s">
        <v>5375</v>
      </c>
      <c r="S1" s="187" t="s">
        <v>5376</v>
      </c>
      <c r="T1" s="187" t="s">
        <v>5377</v>
      </c>
    </row>
    <row r="2">
      <c r="A2" s="39" t="s">
        <v>5378</v>
      </c>
      <c r="B2" s="39" t="s">
        <v>5379</v>
      </c>
      <c r="C2" s="39" t="s">
        <v>4422</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5380</v>
      </c>
      <c r="B3" s="39" t="s">
        <v>5381</v>
      </c>
      <c r="C3" s="39" t="s">
        <v>4422</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5382</v>
      </c>
      <c r="B4" s="39" t="s">
        <v>56</v>
      </c>
      <c r="C4" s="39" t="s">
        <v>4422</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5383</v>
      </c>
      <c r="B5" s="39" t="s">
        <v>5381</v>
      </c>
      <c r="C5" s="39" t="s">
        <v>4422</v>
      </c>
      <c r="D5" s="39" t="s">
        <v>2624</v>
      </c>
      <c r="E5" s="39"/>
      <c r="F5" s="39"/>
      <c r="G5" s="39"/>
      <c r="H5" s="39"/>
      <c r="I5" s="39"/>
      <c r="J5" s="39"/>
      <c r="K5" s="39"/>
      <c r="L5" s="39">
        <v>1.0</v>
      </c>
      <c r="M5" s="39" t="s">
        <v>3279</v>
      </c>
      <c r="N5" s="39">
        <v>0.0</v>
      </c>
      <c r="O5" s="39">
        <v>0.0</v>
      </c>
      <c r="P5" s="39">
        <v>28.0</v>
      </c>
      <c r="Q5" s="39">
        <v>30.0</v>
      </c>
      <c r="R5" s="39"/>
      <c r="S5" s="39">
        <v>15.0</v>
      </c>
      <c r="T5" s="39">
        <v>5.0</v>
      </c>
    </row>
    <row r="6">
      <c r="A6" s="39" t="s">
        <v>5384</v>
      </c>
      <c r="B6" s="39" t="s">
        <v>5385</v>
      </c>
      <c r="C6" s="39" t="s">
        <v>4422</v>
      </c>
      <c r="D6" s="39" t="s">
        <v>2624</v>
      </c>
      <c r="E6" s="39"/>
      <c r="F6" s="39"/>
      <c r="G6" s="39"/>
      <c r="H6" s="39"/>
      <c r="I6" s="39"/>
      <c r="J6" s="39"/>
      <c r="K6" s="39"/>
      <c r="L6" s="39">
        <v>1.0</v>
      </c>
      <c r="M6" s="39" t="s">
        <v>3279</v>
      </c>
      <c r="N6" s="39">
        <v>0.0</v>
      </c>
      <c r="O6" s="39">
        <v>10.0</v>
      </c>
      <c r="P6" s="39">
        <v>35.0</v>
      </c>
      <c r="Q6" s="39">
        <v>35.0</v>
      </c>
      <c r="R6" s="39"/>
      <c r="S6" s="39">
        <v>15.0</v>
      </c>
      <c r="T6" s="39">
        <v>5.0</v>
      </c>
    </row>
    <row r="7">
      <c r="A7" s="39" t="s">
        <v>5386</v>
      </c>
      <c r="B7" s="39" t="s">
        <v>5385</v>
      </c>
      <c r="C7" s="39" t="s">
        <v>4422</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5387</v>
      </c>
      <c r="B8" s="39" t="s">
        <v>5388</v>
      </c>
      <c r="C8" s="39" t="s">
        <v>4422</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5389</v>
      </c>
      <c r="B9" s="39" t="s">
        <v>61</v>
      </c>
      <c r="C9" s="39" t="s">
        <v>4422</v>
      </c>
      <c r="D9" s="39" t="s">
        <v>2626</v>
      </c>
      <c r="E9" s="39"/>
      <c r="F9" s="39"/>
      <c r="G9" s="39"/>
      <c r="H9" s="39"/>
      <c r="I9" s="39"/>
      <c r="J9" s="39"/>
      <c r="K9" s="39"/>
      <c r="L9" s="39">
        <v>1.0</v>
      </c>
      <c r="M9" s="39" t="s">
        <v>3279</v>
      </c>
      <c r="N9" s="39">
        <v>0.0</v>
      </c>
      <c r="O9" s="39">
        <v>-5.0</v>
      </c>
      <c r="P9" s="39">
        <v>30.0</v>
      </c>
      <c r="Q9" s="39"/>
      <c r="R9" s="39"/>
      <c r="S9" s="39">
        <v>15.0</v>
      </c>
      <c r="T9" s="39">
        <v>5.0</v>
      </c>
    </row>
    <row r="10">
      <c r="A10" s="39" t="s">
        <v>5390</v>
      </c>
      <c r="B10" s="39" t="s">
        <v>61</v>
      </c>
      <c r="C10" s="39" t="s">
        <v>4422</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5391</v>
      </c>
      <c r="B11" s="39" t="s">
        <v>5388</v>
      </c>
      <c r="C11" s="39" t="s">
        <v>4422</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5392</v>
      </c>
      <c r="B12" s="39" t="s">
        <v>5388</v>
      </c>
      <c r="C12" s="39" t="s">
        <v>4422</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5393</v>
      </c>
      <c r="C13" s="39" t="s">
        <v>4440</v>
      </c>
      <c r="D13" s="39"/>
      <c r="E13" s="39">
        <v>5.0</v>
      </c>
      <c r="F13" s="39">
        <v>1.0</v>
      </c>
      <c r="G13" s="39" t="s">
        <v>4777</v>
      </c>
      <c r="H13" s="39">
        <v>0.2</v>
      </c>
      <c r="I13" s="39" t="s">
        <v>5394</v>
      </c>
      <c r="J13" s="39"/>
      <c r="K13" s="39"/>
      <c r="L13" s="39">
        <v>1.0</v>
      </c>
      <c r="M13" s="39" t="s">
        <v>3281</v>
      </c>
      <c r="N13" s="39">
        <v>2.0</v>
      </c>
      <c r="O13" s="39"/>
      <c r="P13" s="39"/>
      <c r="Q13" s="39"/>
      <c r="R13" s="39"/>
      <c r="S13" s="39"/>
      <c r="T13" s="39"/>
    </row>
    <row r="14">
      <c r="A14" s="39" t="s">
        <v>3202</v>
      </c>
      <c r="B14" s="39" t="s">
        <v>56</v>
      </c>
      <c r="C14" s="39" t="s">
        <v>4440</v>
      </c>
      <c r="D14" s="39"/>
      <c r="E14" s="39">
        <v>5.0</v>
      </c>
      <c r="F14" s="39">
        <v>1.0</v>
      </c>
      <c r="G14" s="39" t="s">
        <v>4918</v>
      </c>
      <c r="H14" s="39">
        <v>0.2</v>
      </c>
      <c r="I14" s="39" t="s">
        <v>5394</v>
      </c>
      <c r="J14" s="39"/>
      <c r="K14" s="39"/>
      <c r="L14" s="39">
        <v>1.0</v>
      </c>
      <c r="M14" s="39" t="s">
        <v>3279</v>
      </c>
      <c r="N14" s="39">
        <v>2.0</v>
      </c>
      <c r="O14" s="39"/>
      <c r="P14" s="39"/>
      <c r="Q14" s="39"/>
      <c r="R14" s="39"/>
      <c r="S14" s="39"/>
      <c r="T14" s="39"/>
    </row>
    <row r="15">
      <c r="A15" s="39" t="s">
        <v>3203</v>
      </c>
      <c r="B15" s="39" t="s">
        <v>56</v>
      </c>
      <c r="C15" s="39" t="s">
        <v>4440</v>
      </c>
      <c r="D15" s="39"/>
      <c r="E15" s="39">
        <v>5.0</v>
      </c>
      <c r="F15" s="39">
        <v>1.0</v>
      </c>
      <c r="G15" s="39" t="s">
        <v>4918</v>
      </c>
      <c r="H15" s="39">
        <v>0.2</v>
      </c>
      <c r="I15" s="39" t="s">
        <v>5394</v>
      </c>
      <c r="J15" s="39"/>
      <c r="K15" s="39"/>
      <c r="L15" s="39">
        <v>1.0</v>
      </c>
      <c r="M15" s="39" t="s">
        <v>3279</v>
      </c>
      <c r="N15" s="39">
        <v>3.0</v>
      </c>
      <c r="O15" s="39"/>
      <c r="P15" s="39"/>
      <c r="Q15" s="39"/>
      <c r="R15" s="39"/>
      <c r="S15" s="39"/>
      <c r="T15" s="39"/>
    </row>
    <row r="16">
      <c r="A16" s="39" t="s">
        <v>3207</v>
      </c>
      <c r="B16" s="39" t="s">
        <v>5393</v>
      </c>
      <c r="C16" s="39" t="s">
        <v>4440</v>
      </c>
      <c r="D16" s="39"/>
      <c r="E16" s="39">
        <v>5.0</v>
      </c>
      <c r="F16" s="39">
        <v>1.0</v>
      </c>
      <c r="G16" s="39" t="s">
        <v>4777</v>
      </c>
      <c r="H16" s="39">
        <v>0.2</v>
      </c>
      <c r="I16" s="39" t="s">
        <v>5394</v>
      </c>
      <c r="J16" s="39"/>
      <c r="K16" s="39"/>
      <c r="L16" s="39">
        <v>1.0</v>
      </c>
      <c r="M16" s="39" t="s">
        <v>3281</v>
      </c>
      <c r="N16" s="39">
        <v>3.0</v>
      </c>
      <c r="O16" s="39"/>
      <c r="P16" s="39"/>
      <c r="Q16" s="39"/>
      <c r="R16" s="39"/>
      <c r="S16" s="39"/>
      <c r="T16" s="39"/>
    </row>
    <row r="17">
      <c r="A17" s="39" t="s">
        <v>3208</v>
      </c>
      <c r="B17" s="39" t="s">
        <v>5393</v>
      </c>
      <c r="C17" s="39" t="s">
        <v>4440</v>
      </c>
      <c r="D17" s="39"/>
      <c r="E17" s="39">
        <v>5.0</v>
      </c>
      <c r="F17" s="39">
        <v>1.0</v>
      </c>
      <c r="G17" s="39" t="s">
        <v>4777</v>
      </c>
      <c r="H17" s="39">
        <v>0.2</v>
      </c>
      <c r="I17" s="39" t="s">
        <v>5394</v>
      </c>
      <c r="J17" s="39"/>
      <c r="K17" s="39"/>
      <c r="L17" s="39">
        <v>1.0</v>
      </c>
      <c r="M17" s="39" t="s">
        <v>3281</v>
      </c>
      <c r="N17" s="39">
        <v>3.0</v>
      </c>
      <c r="O17" s="39"/>
      <c r="P17" s="39"/>
      <c r="Q17" s="39"/>
      <c r="R17" s="39"/>
      <c r="S17" s="39"/>
      <c r="T17" s="39"/>
    </row>
    <row r="18">
      <c r="A18" s="39" t="s">
        <v>3210</v>
      </c>
      <c r="B18" s="39" t="s">
        <v>5395</v>
      </c>
      <c r="C18" s="39" t="s">
        <v>4440</v>
      </c>
      <c r="D18" s="39"/>
      <c r="E18" s="39">
        <v>5.0</v>
      </c>
      <c r="F18" s="39">
        <v>1.0</v>
      </c>
      <c r="G18" s="39" t="s">
        <v>4777</v>
      </c>
      <c r="H18" s="39">
        <v>0.2</v>
      </c>
      <c r="I18" s="39" t="s">
        <v>5394</v>
      </c>
      <c r="J18" s="39"/>
      <c r="K18" s="39"/>
      <c r="L18" s="39">
        <v>1.0</v>
      </c>
      <c r="M18" s="39" t="s">
        <v>3281</v>
      </c>
      <c r="N18" s="39">
        <v>1.0</v>
      </c>
      <c r="O18" s="39"/>
      <c r="P18" s="39"/>
      <c r="Q18" s="39"/>
      <c r="R18" s="39"/>
      <c r="S18" s="39"/>
      <c r="T18" s="39"/>
    </row>
    <row r="19">
      <c r="A19" s="41" t="s">
        <v>3211</v>
      </c>
      <c r="B19" s="39" t="s">
        <v>5396</v>
      </c>
      <c r="C19" s="39" t="s">
        <v>4440</v>
      </c>
      <c r="D19" s="39"/>
      <c r="E19" s="39">
        <v>5.0</v>
      </c>
      <c r="F19" s="39">
        <v>1.0</v>
      </c>
      <c r="G19" s="39" t="s">
        <v>4777</v>
      </c>
      <c r="H19" s="39">
        <v>0.2</v>
      </c>
      <c r="I19" s="39" t="s">
        <v>5394</v>
      </c>
      <c r="J19" s="39"/>
      <c r="K19" s="39"/>
      <c r="L19" s="39">
        <v>1.0</v>
      </c>
      <c r="M19" s="39" t="s">
        <v>3281</v>
      </c>
      <c r="N19" s="39">
        <v>2.0</v>
      </c>
      <c r="O19" s="39"/>
      <c r="P19" s="39"/>
      <c r="Q19" s="39"/>
      <c r="R19" s="39"/>
      <c r="S19" s="39"/>
      <c r="T19" s="39"/>
    </row>
    <row r="20">
      <c r="A20" s="39" t="s">
        <v>48</v>
      </c>
      <c r="B20" s="39" t="s">
        <v>5397</v>
      </c>
      <c r="C20" s="39" t="s">
        <v>48</v>
      </c>
      <c r="D20" s="39"/>
      <c r="E20" s="39" t="s">
        <v>29</v>
      </c>
      <c r="F20" s="39" t="s">
        <v>29</v>
      </c>
      <c r="G20" s="39" t="s">
        <v>29</v>
      </c>
      <c r="H20" s="39" t="s">
        <v>29</v>
      </c>
      <c r="I20" s="39" t="s">
        <v>5398</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9" t="s">
        <v>2561</v>
      </c>
      <c r="B1" s="189" t="s">
        <v>6</v>
      </c>
      <c r="C1" s="189" t="s">
        <v>5399</v>
      </c>
      <c r="D1" s="189" t="s">
        <v>5400</v>
      </c>
      <c r="E1" s="189" t="s">
        <v>5401</v>
      </c>
      <c r="F1" s="189" t="s">
        <v>5402</v>
      </c>
      <c r="G1" s="189" t="s">
        <v>5403</v>
      </c>
      <c r="H1" s="189" t="s">
        <v>5404</v>
      </c>
      <c r="I1" s="189" t="s">
        <v>5405</v>
      </c>
      <c r="J1" s="189" t="s">
        <v>5406</v>
      </c>
      <c r="K1" s="189" t="s">
        <v>8</v>
      </c>
      <c r="L1" s="189" t="s">
        <v>5008</v>
      </c>
      <c r="M1" s="189" t="s">
        <v>2620</v>
      </c>
    </row>
    <row r="2">
      <c r="A2" s="142" t="s">
        <v>48</v>
      </c>
      <c r="B2" s="142">
        <v>20.0</v>
      </c>
      <c r="C2" s="142">
        <v>0.0</v>
      </c>
      <c r="D2" s="142">
        <v>5.0</v>
      </c>
      <c r="E2" s="142">
        <v>6.0</v>
      </c>
      <c r="F2" s="142">
        <v>3.0</v>
      </c>
      <c r="G2" s="142" t="s">
        <v>29</v>
      </c>
      <c r="H2" s="142" t="s">
        <v>29</v>
      </c>
      <c r="I2" s="142">
        <v>1.0</v>
      </c>
      <c r="J2" s="142">
        <v>1.0</v>
      </c>
      <c r="K2" s="142" t="s">
        <v>849</v>
      </c>
      <c r="L2" s="142">
        <v>0.0</v>
      </c>
      <c r="M2" s="142" t="s">
        <v>5407</v>
      </c>
    </row>
    <row r="3">
      <c r="A3" s="142" t="s">
        <v>50</v>
      </c>
      <c r="B3" s="142">
        <v>20.0</v>
      </c>
      <c r="C3" s="142">
        <v>20.0</v>
      </c>
      <c r="D3" s="142">
        <v>5.0</v>
      </c>
      <c r="E3" s="142">
        <v>6.0</v>
      </c>
      <c r="F3" s="142">
        <v>3.0</v>
      </c>
      <c r="G3" s="142" t="s">
        <v>5408</v>
      </c>
      <c r="H3" s="142" t="s">
        <v>4688</v>
      </c>
      <c r="I3" s="142">
        <v>1.0</v>
      </c>
      <c r="J3" s="142">
        <v>1.0</v>
      </c>
      <c r="K3" s="142" t="s">
        <v>849</v>
      </c>
      <c r="L3" s="142">
        <v>0.0</v>
      </c>
      <c r="M3" s="142" t="s">
        <v>5409</v>
      </c>
    </row>
    <row r="4">
      <c r="A4" s="142" t="s">
        <v>52</v>
      </c>
      <c r="B4" s="142">
        <v>20.0</v>
      </c>
      <c r="C4" s="142">
        <v>80.0</v>
      </c>
      <c r="D4" s="142">
        <v>0.0</v>
      </c>
      <c r="E4" s="142">
        <v>0.0</v>
      </c>
      <c r="F4" s="142">
        <v>3.0</v>
      </c>
      <c r="G4" s="142" t="s">
        <v>5410</v>
      </c>
      <c r="H4" s="142" t="s">
        <v>4691</v>
      </c>
      <c r="I4" s="142">
        <v>1.0</v>
      </c>
      <c r="J4" s="142">
        <v>1.0</v>
      </c>
      <c r="K4" s="142" t="s">
        <v>849</v>
      </c>
      <c r="L4" s="142">
        <v>0.0</v>
      </c>
      <c r="M4" s="142" t="s">
        <v>5411</v>
      </c>
    </row>
    <row r="5">
      <c r="A5" s="142" t="s">
        <v>484</v>
      </c>
      <c r="B5" s="142">
        <v>20.0</v>
      </c>
      <c r="C5" s="142">
        <v>0.0</v>
      </c>
      <c r="D5" s="142">
        <v>0.0</v>
      </c>
      <c r="E5" s="142">
        <v>0.0</v>
      </c>
      <c r="F5" s="142">
        <v>3.0</v>
      </c>
      <c r="G5" s="142" t="s">
        <v>5408</v>
      </c>
      <c r="H5" s="142" t="s">
        <v>4651</v>
      </c>
      <c r="I5" s="142">
        <v>1.0</v>
      </c>
      <c r="J5" s="142">
        <v>1.0</v>
      </c>
      <c r="K5" s="142" t="s">
        <v>1845</v>
      </c>
      <c r="L5" s="142">
        <v>0.0</v>
      </c>
      <c r="M5" s="142" t="s">
        <v>5412</v>
      </c>
    </row>
    <row r="6">
      <c r="A6" s="142" t="s">
        <v>5413</v>
      </c>
      <c r="B6" s="142">
        <v>20.0</v>
      </c>
      <c r="C6" s="142">
        <v>0.0</v>
      </c>
      <c r="D6" s="142">
        <v>0.0</v>
      </c>
      <c r="E6" s="142">
        <v>3.0</v>
      </c>
      <c r="F6" s="142">
        <v>3.0</v>
      </c>
      <c r="G6" s="142" t="s">
        <v>5414</v>
      </c>
      <c r="H6" s="142" t="s">
        <v>4643</v>
      </c>
      <c r="I6" s="142">
        <v>1.0</v>
      </c>
      <c r="J6" s="142">
        <v>1.0</v>
      </c>
      <c r="K6" s="142" t="s">
        <v>4308</v>
      </c>
      <c r="L6" s="142">
        <v>10.0</v>
      </c>
      <c r="M6" s="142" t="s">
        <v>5415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90" t="s">
        <v>13</v>
      </c>
      <c r="H1" s="166" t="s">
        <v>2620</v>
      </c>
      <c r="I1" s="167" t="s">
        <v>5416</v>
      </c>
      <c r="J1" s="167" t="s">
        <v>4476</v>
      </c>
      <c r="K1" s="167" t="s">
        <v>5417</v>
      </c>
      <c r="L1" s="168" t="s">
        <v>849</v>
      </c>
      <c r="M1" s="168" t="s">
        <v>4998</v>
      </c>
      <c r="N1" s="168" t="s">
        <v>1492</v>
      </c>
      <c r="O1" s="168" t="s">
        <v>4999</v>
      </c>
      <c r="P1" s="168" t="s">
        <v>4813</v>
      </c>
      <c r="Q1" s="168" t="s">
        <v>5000</v>
      </c>
      <c r="R1" s="168" t="s">
        <v>1452</v>
      </c>
      <c r="S1" s="168" t="s">
        <v>5113</v>
      </c>
      <c r="T1" s="168" t="s">
        <v>1782</v>
      </c>
      <c r="U1" s="168" t="s">
        <v>284</v>
      </c>
      <c r="V1" s="168" t="s">
        <v>370</v>
      </c>
      <c r="W1" s="168" t="s">
        <v>518</v>
      </c>
      <c r="X1" s="168" t="s">
        <v>644</v>
      </c>
      <c r="Y1" s="168" t="s">
        <v>783</v>
      </c>
      <c r="Z1" s="168" t="s">
        <v>716</v>
      </c>
      <c r="AA1" s="168" t="s">
        <v>5418</v>
      </c>
      <c r="AB1" s="168" t="s">
        <v>5001</v>
      </c>
      <c r="AC1" s="168" t="s">
        <v>1490</v>
      </c>
      <c r="AD1" s="168" t="s">
        <v>5002</v>
      </c>
      <c r="AE1" s="168" t="s">
        <v>5003</v>
      </c>
      <c r="AF1" s="168" t="s">
        <v>5004</v>
      </c>
      <c r="AG1" s="168" t="s">
        <v>5005</v>
      </c>
      <c r="AH1" s="168" t="s">
        <v>5006</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5419</v>
      </c>
      <c r="BU1" s="48" t="s">
        <v>5007</v>
      </c>
      <c r="BV1" s="48" t="s">
        <v>2587</v>
      </c>
      <c r="BW1" s="48" t="s">
        <v>2588</v>
      </c>
      <c r="BX1" s="48" t="s">
        <v>2589</v>
      </c>
      <c r="BY1" s="48" t="s">
        <v>2590</v>
      </c>
      <c r="BZ1" s="48" t="s">
        <v>2591</v>
      </c>
      <c r="CA1" s="48" t="s">
        <v>2592</v>
      </c>
      <c r="CB1" s="191" t="s">
        <v>1842</v>
      </c>
      <c r="CC1" s="169" t="s">
        <v>5008</v>
      </c>
      <c r="CD1" s="169" t="s">
        <v>5009</v>
      </c>
      <c r="CE1" s="169" t="s">
        <v>3099</v>
      </c>
      <c r="CF1" s="169" t="s">
        <v>5010</v>
      </c>
      <c r="CG1" s="169" t="s">
        <v>8</v>
      </c>
      <c r="CH1" s="169" t="s">
        <v>4369</v>
      </c>
      <c r="CI1" s="169" t="s">
        <v>5011</v>
      </c>
      <c r="CJ1" s="169" t="s">
        <v>5012</v>
      </c>
      <c r="CK1" s="169" t="s">
        <v>5013</v>
      </c>
      <c r="CL1" s="169" t="s">
        <v>5014</v>
      </c>
      <c r="CM1" s="169" t="s">
        <v>5015</v>
      </c>
      <c r="CN1" s="169" t="s">
        <v>5016</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5420</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5421</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5422</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5420</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5423</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5424</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5425</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5426</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5427</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5423</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5428</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5429</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5430</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5427</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5431</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5423</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5432</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5433</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5434</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5427</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5435</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5423</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5436</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5437</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5438</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5427</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4813</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4813</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4813</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4813</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4813</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4813</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4813</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4813</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4813</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4813</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4813</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4813</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4813</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4813</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5439</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4813</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5440</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4813</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5441</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4813</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5442</v>
      </c>
    </row>
    <row r="59" ht="18.75" customHeight="1" outlineLevel="1">
      <c r="A59" s="19" t="s">
        <v>5443</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4813</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5444</v>
      </c>
    </row>
    <row r="60" ht="18.75" customHeight="1" outlineLevel="1">
      <c r="A60" s="24" t="s">
        <v>5445</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4813</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5446</v>
      </c>
    </row>
    <row r="61" ht="18.75" customHeight="1" outlineLevel="1">
      <c r="A61" s="24" t="s">
        <v>5447</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4813</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5448</v>
      </c>
    </row>
    <row r="62" ht="18.75" customHeight="1" outlineLevel="1">
      <c r="A62" s="24" t="s">
        <v>5449</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4813</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5450</v>
      </c>
    </row>
    <row r="63" ht="18.75" customHeight="1" outlineLevel="1">
      <c r="A63" s="24" t="s">
        <v>5451</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4813</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5452</v>
      </c>
    </row>
    <row r="64" ht="18.75" customHeight="1" outlineLevel="1">
      <c r="A64" s="24" t="s">
        <v>5453</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4813</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5454</v>
      </c>
    </row>
    <row r="65" ht="18.75" customHeight="1" outlineLevel="1">
      <c r="A65" s="24" t="s">
        <v>5455</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4813</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5456</v>
      </c>
    </row>
    <row r="66" ht="18.75" customHeight="1" outlineLevel="1">
      <c r="A66" s="24" t="s">
        <v>5457</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4813</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5458</v>
      </c>
    </row>
    <row r="67" ht="18.75" customHeight="1" outlineLevel="1">
      <c r="A67" s="24" t="s">
        <v>5459</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4813</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5460</v>
      </c>
    </row>
    <row r="68" ht="18.75" customHeight="1" outlineLevel="1">
      <c r="A68" s="24" t="s">
        <v>5461</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4813</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5462</v>
      </c>
    </row>
    <row r="69" ht="18.75" customHeight="1" outlineLevel="1">
      <c r="A69" s="24" t="s">
        <v>5463</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4813</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5464</v>
      </c>
    </row>
    <row r="70" ht="18.75" customHeight="1" outlineLevel="1">
      <c r="A70" s="24" t="s">
        <v>5465</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4813</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5466</v>
      </c>
    </row>
    <row r="71" ht="18.75" customHeight="1" outlineLevel="1">
      <c r="A71" s="24" t="s">
        <v>5467</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4813</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5468</v>
      </c>
    </row>
    <row r="72" ht="18.75" customHeight="1" outlineLevel="1">
      <c r="A72" s="24" t="s">
        <v>5469</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4813</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5470</v>
      </c>
    </row>
    <row r="73" ht="18.75" customHeight="1" outlineLevel="1">
      <c r="A73" s="24" t="s">
        <v>5471</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4813</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5472</v>
      </c>
    </row>
    <row r="74" ht="18.75" customHeight="1" outlineLevel="1">
      <c r="A74" s="24" t="s">
        <v>5473</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4813</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5474</v>
      </c>
    </row>
    <row r="75" ht="18.75" customHeight="1" outlineLevel="1">
      <c r="A75" s="24" t="s">
        <v>5475</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4813</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5476</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2" t="s">
        <v>5477</v>
      </c>
      <c r="B1" s="192" t="s">
        <v>5478</v>
      </c>
      <c r="C1" s="192" t="s">
        <v>5479</v>
      </c>
      <c r="D1" s="192" t="s">
        <v>5480</v>
      </c>
      <c r="E1" s="192" t="s">
        <v>5481</v>
      </c>
      <c r="F1" s="192" t="s">
        <v>5482</v>
      </c>
      <c r="G1" s="192" t="s">
        <v>5483</v>
      </c>
      <c r="H1" s="192" t="s">
        <v>5484</v>
      </c>
      <c r="I1" s="192" t="s">
        <v>5485</v>
      </c>
      <c r="J1" s="192" t="s">
        <v>5486</v>
      </c>
      <c r="K1" s="192" t="s">
        <v>5487</v>
      </c>
      <c r="L1" s="192" t="s">
        <v>5488</v>
      </c>
      <c r="M1" s="192" t="s">
        <v>5489</v>
      </c>
      <c r="N1" s="192" t="s">
        <v>1921</v>
      </c>
      <c r="O1" s="192" t="s">
        <v>5490</v>
      </c>
      <c r="P1" s="192" t="s">
        <v>5491</v>
      </c>
      <c r="Q1" s="192" t="s">
        <v>5492</v>
      </c>
      <c r="R1" s="192" t="s">
        <v>5493</v>
      </c>
      <c r="S1" s="192" t="s">
        <v>5494</v>
      </c>
    </row>
    <row r="2">
      <c r="A2" s="106" t="s">
        <v>5495</v>
      </c>
      <c r="B2" s="106" t="s">
        <v>5496</v>
      </c>
      <c r="C2" s="106" t="s">
        <v>5497</v>
      </c>
      <c r="D2" s="106" t="s">
        <v>5498</v>
      </c>
      <c r="E2" s="106" t="s">
        <v>5499</v>
      </c>
      <c r="F2" s="106" t="s">
        <v>5500</v>
      </c>
      <c r="G2" s="106" t="s">
        <v>5501</v>
      </c>
      <c r="H2" s="106" t="s">
        <v>5502</v>
      </c>
      <c r="I2" s="106" t="s">
        <v>5503</v>
      </c>
      <c r="J2" s="106" t="s">
        <v>5504</v>
      </c>
      <c r="K2" s="106" t="s">
        <v>5505</v>
      </c>
      <c r="L2" s="106" t="s">
        <v>5506</v>
      </c>
      <c r="M2" s="106" t="s">
        <v>5507</v>
      </c>
      <c r="N2" s="106" t="s">
        <v>5508</v>
      </c>
      <c r="O2" s="106" t="s">
        <v>5509</v>
      </c>
      <c r="P2" s="106" t="s">
        <v>5510</v>
      </c>
      <c r="Q2" s="106" t="s">
        <v>5511</v>
      </c>
      <c r="R2" s="106" t="s">
        <v>5512</v>
      </c>
      <c r="S2" s="106" t="s">
        <v>5513</v>
      </c>
    </row>
    <row r="3">
      <c r="A3" s="106" t="s">
        <v>5514</v>
      </c>
      <c r="B3" s="106" t="s">
        <v>5496</v>
      </c>
      <c r="C3" s="106" t="s">
        <v>5515</v>
      </c>
      <c r="D3" s="106" t="s">
        <v>5516</v>
      </c>
      <c r="E3" s="106" t="s">
        <v>5517</v>
      </c>
      <c r="F3" s="106" t="s">
        <v>5518</v>
      </c>
      <c r="G3" s="106" t="s">
        <v>5519</v>
      </c>
      <c r="H3" s="106" t="s">
        <v>5520</v>
      </c>
      <c r="I3" s="106" t="s">
        <v>5521</v>
      </c>
      <c r="J3" s="106" t="s">
        <v>5522</v>
      </c>
      <c r="K3" s="106" t="s">
        <v>5523</v>
      </c>
      <c r="L3" s="106" t="s">
        <v>5524</v>
      </c>
      <c r="M3" s="106" t="s">
        <v>5525</v>
      </c>
      <c r="N3" s="106" t="s">
        <v>5526</v>
      </c>
      <c r="O3" s="106" t="s">
        <v>5527</v>
      </c>
      <c r="P3" s="106" t="s">
        <v>5528</v>
      </c>
      <c r="Q3" s="106" t="s">
        <v>5529</v>
      </c>
      <c r="R3" s="106" t="s">
        <v>5530</v>
      </c>
      <c r="S3" s="106" t="s">
        <v>5531</v>
      </c>
    </row>
    <row r="4">
      <c r="A4" s="106" t="s">
        <v>5532</v>
      </c>
      <c r="B4" s="106" t="s">
        <v>5496</v>
      </c>
      <c r="C4" s="106" t="s">
        <v>5497</v>
      </c>
      <c r="D4" s="106" t="s">
        <v>5533</v>
      </c>
      <c r="E4" s="106" t="s">
        <v>5534</v>
      </c>
      <c r="F4" s="106" t="s">
        <v>5535</v>
      </c>
      <c r="G4" s="106" t="s">
        <v>5536</v>
      </c>
      <c r="H4" s="106" t="s">
        <v>5537</v>
      </c>
      <c r="I4" s="106" t="s">
        <v>5538</v>
      </c>
      <c r="J4" s="106" t="s">
        <v>5539</v>
      </c>
      <c r="K4" s="106" t="s">
        <v>5540</v>
      </c>
      <c r="L4" s="106" t="s">
        <v>5541</v>
      </c>
      <c r="M4" s="106" t="s">
        <v>5542</v>
      </c>
      <c r="N4" s="106" t="s">
        <v>5543</v>
      </c>
      <c r="O4" s="106" t="s">
        <v>5544</v>
      </c>
      <c r="P4" s="106" t="s">
        <v>5545</v>
      </c>
      <c r="Q4" s="106" t="s">
        <v>5546</v>
      </c>
      <c r="R4" s="106" t="s">
        <v>5547</v>
      </c>
      <c r="S4" s="106" t="s">
        <v>5548</v>
      </c>
    </row>
    <row r="5">
      <c r="A5" s="106" t="s">
        <v>5549</v>
      </c>
      <c r="B5" s="106" t="s">
        <v>5550</v>
      </c>
      <c r="C5" s="106" t="s">
        <v>5551</v>
      </c>
      <c r="D5" s="106" t="s">
        <v>5552</v>
      </c>
      <c r="E5" s="106" t="s">
        <v>5553</v>
      </c>
      <c r="F5" s="106" t="s">
        <v>5554</v>
      </c>
      <c r="G5" s="106" t="s">
        <v>5555</v>
      </c>
      <c r="H5" s="106" t="s">
        <v>5556</v>
      </c>
      <c r="I5" s="106" t="s">
        <v>5557</v>
      </c>
      <c r="J5" s="106" t="s">
        <v>5558</v>
      </c>
      <c r="K5" s="106" t="s">
        <v>5559</v>
      </c>
      <c r="L5" s="106" t="s">
        <v>5560</v>
      </c>
      <c r="M5" s="106" t="s">
        <v>5561</v>
      </c>
      <c r="N5" s="106" t="s">
        <v>5562</v>
      </c>
      <c r="O5" s="106" t="s">
        <v>5563</v>
      </c>
      <c r="P5" s="106" t="s">
        <v>5564</v>
      </c>
      <c r="Q5" s="106" t="s">
        <v>5565</v>
      </c>
      <c r="R5" s="106" t="s">
        <v>5566</v>
      </c>
      <c r="S5" s="106" t="s">
        <v>5567</v>
      </c>
    </row>
    <row r="6">
      <c r="A6" s="106" t="s">
        <v>5568</v>
      </c>
      <c r="B6" s="106" t="s">
        <v>5496</v>
      </c>
      <c r="C6" s="106" t="s">
        <v>5497</v>
      </c>
      <c r="D6" s="106" t="s">
        <v>5569</v>
      </c>
      <c r="E6" s="106" t="s">
        <v>5570</v>
      </c>
      <c r="F6" s="106" t="s">
        <v>5571</v>
      </c>
      <c r="G6" s="106" t="s">
        <v>5572</v>
      </c>
      <c r="H6" s="106" t="s">
        <v>5573</v>
      </c>
      <c r="I6" s="106" t="s">
        <v>5574</v>
      </c>
      <c r="J6" s="106" t="s">
        <v>5575</v>
      </c>
      <c r="K6" s="106" t="s">
        <v>5576</v>
      </c>
      <c r="L6" s="106" t="s">
        <v>5577</v>
      </c>
      <c r="M6" s="106" t="s">
        <v>5578</v>
      </c>
      <c r="N6" s="106" t="s">
        <v>5579</v>
      </c>
      <c r="O6" s="106" t="s">
        <v>5580</v>
      </c>
      <c r="P6" s="106" t="s">
        <v>5581</v>
      </c>
      <c r="Q6" s="106" t="s">
        <v>5582</v>
      </c>
      <c r="R6" s="106" t="s">
        <v>5583</v>
      </c>
      <c r="S6" s="106" t="s">
        <v>5584</v>
      </c>
    </row>
    <row r="7">
      <c r="A7" s="106" t="s">
        <v>5585</v>
      </c>
      <c r="B7" s="106" t="s">
        <v>5586</v>
      </c>
      <c r="C7" s="106" t="s">
        <v>5497</v>
      </c>
      <c r="D7" s="106" t="s">
        <v>5587</v>
      </c>
      <c r="E7" s="106" t="s">
        <v>5588</v>
      </c>
      <c r="F7" s="106" t="s">
        <v>5589</v>
      </c>
      <c r="G7" s="106" t="s">
        <v>5590</v>
      </c>
      <c r="H7" s="106" t="s">
        <v>5591</v>
      </c>
      <c r="I7" s="106" t="s">
        <v>5592</v>
      </c>
      <c r="J7" s="106" t="s">
        <v>5593</v>
      </c>
      <c r="K7" s="106" t="s">
        <v>5594</v>
      </c>
      <c r="L7" s="106" t="s">
        <v>5595</v>
      </c>
      <c r="M7" s="106" t="s">
        <v>5596</v>
      </c>
      <c r="N7" s="106" t="s">
        <v>5597</v>
      </c>
      <c r="O7" s="106" t="s">
        <v>5598</v>
      </c>
      <c r="P7" s="106" t="s">
        <v>5599</v>
      </c>
      <c r="Q7" s="106" t="s">
        <v>5600</v>
      </c>
      <c r="R7" s="106" t="s">
        <v>5601</v>
      </c>
      <c r="S7" s="106" t="s">
        <v>5602</v>
      </c>
    </row>
    <row r="8">
      <c r="A8" s="106" t="s">
        <v>5603</v>
      </c>
      <c r="B8" s="106" t="s">
        <v>5550</v>
      </c>
      <c r="C8" s="106" t="s">
        <v>5515</v>
      </c>
      <c r="D8" s="106" t="s">
        <v>5604</v>
      </c>
      <c r="E8" s="106" t="s">
        <v>5605</v>
      </c>
      <c r="F8" s="106" t="s">
        <v>5606</v>
      </c>
      <c r="G8" s="106" t="s">
        <v>5607</v>
      </c>
      <c r="H8" s="106" t="s">
        <v>5608</v>
      </c>
      <c r="I8" s="106" t="s">
        <v>5609</v>
      </c>
      <c r="J8" s="106" t="s">
        <v>5610</v>
      </c>
      <c r="K8" s="106" t="s">
        <v>5611</v>
      </c>
      <c r="L8" s="106" t="s">
        <v>5612</v>
      </c>
      <c r="M8" s="106" t="s">
        <v>5613</v>
      </c>
      <c r="N8" s="106" t="s">
        <v>5614</v>
      </c>
      <c r="O8" s="106" t="s">
        <v>5615</v>
      </c>
      <c r="P8" s="106" t="s">
        <v>5616</v>
      </c>
      <c r="Q8" s="106" t="s">
        <v>5617</v>
      </c>
      <c r="R8" s="106" t="s">
        <v>5618</v>
      </c>
      <c r="S8" s="106" t="s">
        <v>5619</v>
      </c>
    </row>
    <row r="9">
      <c r="A9" s="106" t="s">
        <v>1263</v>
      </c>
      <c r="B9" s="106" t="s">
        <v>5496</v>
      </c>
      <c r="C9" s="106" t="s">
        <v>5497</v>
      </c>
      <c r="D9" s="106" t="s">
        <v>5620</v>
      </c>
      <c r="E9" s="106" t="s">
        <v>5621</v>
      </c>
      <c r="F9" s="106" t="s">
        <v>5622</v>
      </c>
      <c r="G9" s="106" t="s">
        <v>5623</v>
      </c>
      <c r="H9" s="106" t="s">
        <v>5624</v>
      </c>
      <c r="I9" s="106" t="s">
        <v>5625</v>
      </c>
      <c r="J9" s="106" t="s">
        <v>5626</v>
      </c>
      <c r="K9" s="106" t="s">
        <v>5627</v>
      </c>
      <c r="L9" s="106" t="s">
        <v>5628</v>
      </c>
      <c r="M9" s="106" t="s">
        <v>5629</v>
      </c>
      <c r="N9" s="106" t="s">
        <v>5630</v>
      </c>
      <c r="O9" s="106" t="s">
        <v>5631</v>
      </c>
      <c r="P9" s="106" t="s">
        <v>5632</v>
      </c>
      <c r="Q9" s="106" t="s">
        <v>5633</v>
      </c>
      <c r="R9" s="106" t="s">
        <v>5634</v>
      </c>
      <c r="S9" s="106" t="s">
        <v>5635</v>
      </c>
    </row>
    <row r="10">
      <c r="A10" s="106" t="s">
        <v>5636</v>
      </c>
      <c r="B10" s="106" t="s">
        <v>5550</v>
      </c>
      <c r="C10" s="106" t="s">
        <v>5551</v>
      </c>
      <c r="D10" s="106" t="s">
        <v>5637</v>
      </c>
      <c r="E10" s="106" t="s">
        <v>5638</v>
      </c>
      <c r="F10" s="106" t="s">
        <v>5639</v>
      </c>
      <c r="G10" s="106" t="s">
        <v>5640</v>
      </c>
      <c r="H10" s="106" t="s">
        <v>5641</v>
      </c>
      <c r="I10" s="106" t="s">
        <v>5642</v>
      </c>
      <c r="J10" s="106" t="s">
        <v>5643</v>
      </c>
      <c r="K10" s="106" t="s">
        <v>5644</v>
      </c>
      <c r="L10" s="106" t="s">
        <v>5645</v>
      </c>
      <c r="M10" s="106" t="s">
        <v>5646</v>
      </c>
      <c r="N10" s="106" t="s">
        <v>5647</v>
      </c>
      <c r="O10" s="106" t="s">
        <v>5648</v>
      </c>
      <c r="P10" s="106" t="s">
        <v>5649</v>
      </c>
      <c r="Q10" s="106" t="s">
        <v>5650</v>
      </c>
      <c r="R10" s="106" t="s">
        <v>5651</v>
      </c>
      <c r="S10" s="106" t="s">
        <v>5652</v>
      </c>
    </row>
    <row r="11">
      <c r="A11" s="106" t="s">
        <v>3321</v>
      </c>
      <c r="B11" s="106" t="s">
        <v>5550</v>
      </c>
      <c r="C11" s="106" t="s">
        <v>5551</v>
      </c>
      <c r="D11" s="106" t="s">
        <v>5653</v>
      </c>
      <c r="E11" s="106" t="s">
        <v>5654</v>
      </c>
      <c r="F11" s="106" t="s">
        <v>5655</v>
      </c>
      <c r="G11" s="106" t="s">
        <v>5656</v>
      </c>
      <c r="H11" s="106" t="s">
        <v>5657</v>
      </c>
      <c r="I11" s="106" t="s">
        <v>5658</v>
      </c>
      <c r="J11" s="106" t="s">
        <v>5659</v>
      </c>
      <c r="K11" s="106" t="s">
        <v>5660</v>
      </c>
      <c r="L11" s="106" t="s">
        <v>5661</v>
      </c>
      <c r="M11" s="106" t="s">
        <v>5662</v>
      </c>
      <c r="N11" s="106" t="s">
        <v>5663</v>
      </c>
      <c r="O11" s="106" t="s">
        <v>5664</v>
      </c>
      <c r="P11" s="106" t="s">
        <v>5665</v>
      </c>
      <c r="Q11" s="106" t="s">
        <v>5666</v>
      </c>
      <c r="R11" s="106" t="s">
        <v>5667</v>
      </c>
      <c r="S11" s="106" t="s">
        <v>5668</v>
      </c>
    </row>
    <row r="12">
      <c r="A12" s="109" t="s">
        <v>5669</v>
      </c>
      <c r="B12" s="109" t="s">
        <v>5670</v>
      </c>
      <c r="C12" s="109" t="s">
        <v>5671</v>
      </c>
      <c r="D12" s="109" t="s">
        <v>5672</v>
      </c>
      <c r="E12" s="106" t="s">
        <v>5673</v>
      </c>
      <c r="F12" s="106" t="s">
        <v>5674</v>
      </c>
      <c r="G12" s="109" t="s">
        <v>5675</v>
      </c>
      <c r="H12" s="106" t="s">
        <v>5676</v>
      </c>
      <c r="I12" s="109" t="s">
        <v>5677</v>
      </c>
      <c r="J12" s="106" t="s">
        <v>5678</v>
      </c>
      <c r="K12" s="109" t="s">
        <v>5679</v>
      </c>
      <c r="L12" s="109" t="s">
        <v>5680</v>
      </c>
      <c r="M12" s="106" t="s">
        <v>5681</v>
      </c>
      <c r="N12" s="106" t="s">
        <v>5682</v>
      </c>
      <c r="O12" s="109" t="s">
        <v>5683</v>
      </c>
      <c r="P12" s="106" t="s">
        <v>5684</v>
      </c>
      <c r="Q12" s="106" t="s">
        <v>5685</v>
      </c>
      <c r="R12" s="106" t="s">
        <v>5686</v>
      </c>
      <c r="S12" s="109" t="s">
        <v>5687</v>
      </c>
    </row>
    <row r="13">
      <c r="A13" s="109" t="s">
        <v>5688</v>
      </c>
      <c r="B13" s="109" t="s">
        <v>5689</v>
      </c>
      <c r="C13" s="109" t="s">
        <v>5671</v>
      </c>
      <c r="D13" s="106" t="s">
        <v>5690</v>
      </c>
      <c r="E13" s="109" t="s">
        <v>5691</v>
      </c>
      <c r="F13" s="106" t="s">
        <v>5692</v>
      </c>
      <c r="G13" s="106" t="s">
        <v>5693</v>
      </c>
      <c r="H13" s="106" t="s">
        <v>5694</v>
      </c>
      <c r="I13" s="106" t="s">
        <v>5695</v>
      </c>
      <c r="J13" s="109" t="s">
        <v>5696</v>
      </c>
      <c r="K13" s="106" t="s">
        <v>5697</v>
      </c>
      <c r="L13" s="109" t="s">
        <v>5698</v>
      </c>
      <c r="M13" s="106" t="s">
        <v>5699</v>
      </c>
      <c r="N13" s="106" t="s">
        <v>5700</v>
      </c>
      <c r="O13" s="106" t="s">
        <v>5701</v>
      </c>
      <c r="P13" s="106" t="s">
        <v>5702</v>
      </c>
      <c r="Q13" s="106" t="s">
        <v>5703</v>
      </c>
      <c r="R13" s="106" t="s">
        <v>5704</v>
      </c>
      <c r="S13" s="106" t="s">
        <v>5705</v>
      </c>
    </row>
    <row r="14">
      <c r="A14" s="109" t="s">
        <v>5706</v>
      </c>
      <c r="B14" s="109" t="s">
        <v>5496</v>
      </c>
      <c r="C14" s="109" t="s">
        <v>5551</v>
      </c>
      <c r="D14" s="109" t="s">
        <v>5707</v>
      </c>
      <c r="E14" s="109" t="s">
        <v>5708</v>
      </c>
      <c r="F14" s="109" t="s">
        <v>5709</v>
      </c>
      <c r="G14" s="109" t="s">
        <v>5710</v>
      </c>
      <c r="H14" s="109" t="s">
        <v>5711</v>
      </c>
      <c r="I14" s="109" t="s">
        <v>5712</v>
      </c>
      <c r="J14" s="109" t="s">
        <v>5713</v>
      </c>
      <c r="K14" s="109" t="s">
        <v>5714</v>
      </c>
      <c r="L14" s="109" t="s">
        <v>5715</v>
      </c>
      <c r="M14" s="109" t="s">
        <v>5716</v>
      </c>
      <c r="N14" s="109" t="s">
        <v>5717</v>
      </c>
      <c r="O14" s="109" t="s">
        <v>5718</v>
      </c>
      <c r="P14" s="109" t="s">
        <v>5719</v>
      </c>
      <c r="Q14" s="109" t="s">
        <v>5720</v>
      </c>
      <c r="R14" s="109" t="s">
        <v>5721</v>
      </c>
      <c r="S14" s="109" t="s">
        <v>5722</v>
      </c>
    </row>
    <row r="15">
      <c r="A15" s="109" t="s">
        <v>5723</v>
      </c>
      <c r="B15" s="109" t="s">
        <v>5670</v>
      </c>
      <c r="C15" s="109" t="s">
        <v>5724</v>
      </c>
      <c r="D15" s="109" t="s">
        <v>5725</v>
      </c>
      <c r="E15" s="109" t="s">
        <v>5726</v>
      </c>
      <c r="F15" s="109" t="s">
        <v>5727</v>
      </c>
      <c r="G15" s="109" t="s">
        <v>5728</v>
      </c>
      <c r="H15" s="109" t="s">
        <v>5729</v>
      </c>
      <c r="I15" s="109" t="s">
        <v>5730</v>
      </c>
      <c r="J15" s="109" t="s">
        <v>5731</v>
      </c>
      <c r="K15" s="109" t="s">
        <v>5732</v>
      </c>
      <c r="L15" s="109" t="s">
        <v>5733</v>
      </c>
      <c r="M15" s="109" t="s">
        <v>5734</v>
      </c>
      <c r="N15" s="106" t="s">
        <v>5735</v>
      </c>
      <c r="O15" s="106" t="s">
        <v>5736</v>
      </c>
      <c r="P15" s="109" t="s">
        <v>5737</v>
      </c>
      <c r="Q15" s="109" t="s">
        <v>5738</v>
      </c>
      <c r="R15" s="109" t="s">
        <v>5739</v>
      </c>
      <c r="S15" s="109" t="s">
        <v>5740</v>
      </c>
    </row>
    <row r="16">
      <c r="A16" s="109" t="s">
        <v>5741</v>
      </c>
      <c r="B16" s="109" t="s">
        <v>5742</v>
      </c>
      <c r="C16" s="109" t="s">
        <v>5743</v>
      </c>
      <c r="D16" s="109" t="s">
        <v>5744</v>
      </c>
      <c r="E16" s="109" t="s">
        <v>5745</v>
      </c>
      <c r="F16" s="109" t="s">
        <v>5746</v>
      </c>
      <c r="G16" s="109" t="s">
        <v>5747</v>
      </c>
      <c r="H16" s="106" t="s">
        <v>5748</v>
      </c>
      <c r="I16" s="109" t="s">
        <v>5749</v>
      </c>
      <c r="J16" s="109" t="s">
        <v>5750</v>
      </c>
      <c r="K16" s="109" t="s">
        <v>5751</v>
      </c>
      <c r="L16" s="109" t="s">
        <v>5752</v>
      </c>
      <c r="M16" s="109" t="s">
        <v>5753</v>
      </c>
      <c r="N16" s="106" t="s">
        <v>5754</v>
      </c>
      <c r="O16" s="106" t="s">
        <v>5755</v>
      </c>
      <c r="P16" s="109" t="s">
        <v>5756</v>
      </c>
      <c r="Q16" s="109" t="s">
        <v>5757</v>
      </c>
      <c r="R16" s="109" t="s">
        <v>5758</v>
      </c>
      <c r="S16" s="109" t="s">
        <v>5759</v>
      </c>
    </row>
    <row r="17">
      <c r="A17" s="109" t="s">
        <v>5760</v>
      </c>
      <c r="B17" s="109" t="s">
        <v>5550</v>
      </c>
      <c r="C17" s="109" t="s">
        <v>5671</v>
      </c>
      <c r="D17" s="106" t="s">
        <v>5761</v>
      </c>
      <c r="E17" s="109" t="s">
        <v>5762</v>
      </c>
      <c r="F17" s="106" t="s">
        <v>5763</v>
      </c>
      <c r="G17" s="106" t="s">
        <v>5764</v>
      </c>
      <c r="H17" s="106" t="s">
        <v>5765</v>
      </c>
      <c r="I17" s="109" t="s">
        <v>5766</v>
      </c>
      <c r="J17" s="106" t="s">
        <v>5767</v>
      </c>
      <c r="K17" s="106" t="s">
        <v>5768</v>
      </c>
      <c r="L17" s="106" t="s">
        <v>5769</v>
      </c>
      <c r="M17" s="106" t="s">
        <v>5770</v>
      </c>
      <c r="N17" s="106" t="s">
        <v>5771</v>
      </c>
      <c r="O17" s="109" t="s">
        <v>5772</v>
      </c>
      <c r="P17" s="109" t="s">
        <v>5773</v>
      </c>
      <c r="Q17" s="106" t="s">
        <v>5774</v>
      </c>
      <c r="R17" s="106" t="s">
        <v>5775</v>
      </c>
      <c r="S17" s="106" t="s">
        <v>5776</v>
      </c>
    </row>
    <row r="18">
      <c r="A18" s="109" t="s">
        <v>5777</v>
      </c>
      <c r="B18" s="109" t="s">
        <v>5586</v>
      </c>
      <c r="C18" s="109" t="s">
        <v>5515</v>
      </c>
      <c r="D18" s="109" t="s">
        <v>5778</v>
      </c>
      <c r="E18" s="109" t="s">
        <v>5779</v>
      </c>
      <c r="F18" s="109" t="s">
        <v>5780</v>
      </c>
      <c r="G18" s="109" t="s">
        <v>5781</v>
      </c>
      <c r="H18" s="109" t="s">
        <v>5782</v>
      </c>
      <c r="I18" s="109" t="s">
        <v>5783</v>
      </c>
      <c r="J18" s="109" t="s">
        <v>5784</v>
      </c>
      <c r="K18" s="109" t="s">
        <v>5785</v>
      </c>
      <c r="L18" s="109" t="s">
        <v>5786</v>
      </c>
      <c r="M18" s="109" t="s">
        <v>5787</v>
      </c>
      <c r="N18" s="109" t="s">
        <v>5788</v>
      </c>
      <c r="O18" s="106" t="s">
        <v>5789</v>
      </c>
      <c r="P18" s="109" t="s">
        <v>5790</v>
      </c>
      <c r="Q18" s="109" t="s">
        <v>5791</v>
      </c>
      <c r="R18" s="106" t="s">
        <v>5792</v>
      </c>
      <c r="S18" s="109" t="s">
        <v>5793</v>
      </c>
    </row>
    <row r="19">
      <c r="A19" s="109" t="s">
        <v>5794</v>
      </c>
      <c r="B19" s="109" t="s">
        <v>5496</v>
      </c>
      <c r="C19" s="109" t="s">
        <v>5010</v>
      </c>
      <c r="D19" s="109" t="s">
        <v>5795</v>
      </c>
      <c r="E19" s="109" t="s">
        <v>5796</v>
      </c>
      <c r="F19" s="109" t="s">
        <v>5797</v>
      </c>
      <c r="G19" s="109" t="s">
        <v>5798</v>
      </c>
      <c r="H19" s="109" t="s">
        <v>5799</v>
      </c>
      <c r="I19" s="109" t="s">
        <v>5800</v>
      </c>
      <c r="J19" s="109" t="s">
        <v>5801</v>
      </c>
      <c r="K19" s="109" t="s">
        <v>5802</v>
      </c>
      <c r="L19" s="109" t="s">
        <v>5803</v>
      </c>
      <c r="M19" s="109" t="s">
        <v>5804</v>
      </c>
      <c r="N19" s="106" t="s">
        <v>5805</v>
      </c>
      <c r="O19" s="109" t="s">
        <v>5806</v>
      </c>
      <c r="P19" s="109" t="s">
        <v>5807</v>
      </c>
      <c r="Q19" s="109" t="s">
        <v>5808</v>
      </c>
      <c r="R19" s="109" t="s">
        <v>5809</v>
      </c>
      <c r="S19" s="109" t="s">
        <v>5810</v>
      </c>
    </row>
  </sheetData>
  <drawing r:id="rId1"/>
</worksheet>
</file>