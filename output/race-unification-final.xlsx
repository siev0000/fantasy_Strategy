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<sst xmlns="http://schemas.openxmlformats.org/spreadsheetml/2006/main" count="17660" uniqueCount="5684">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</sst>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0" t="b">
        <v>0</v>
      </c>
      <c r="D12" s="100" t="s">
        <v>2984</v>
      </c>
      <c r="E12" s="100" t="s">
        <v>2985</v>
      </c>
      <c r="F12" s="100" t="s">
        <v>2986</v>
      </c>
      <c r="G12" s="100" t="s">
        <v>2987</v>
      </c>
      <c r="H12" s="100" t="s">
        <v>2988</v>
      </c>
      <c r="I12" s="100" t="s">
        <v>2989</v>
      </c>
      <c r="J12" s="100" t="s">
        <v>2990</v>
      </c>
      <c r="K12" s="100">
        <v>10.0</v>
      </c>
      <c r="L12" s="100" t="s">
        <v>29</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1" t="s">
        <v>2993</v>
      </c>
      <c r="B1" s="102" t="s">
        <v>2994</v>
      </c>
      <c r="D1" s="101" t="s">
        <v>2995</v>
      </c>
      <c r="E1" s="102" t="s">
        <v>2994</v>
      </c>
      <c r="G1" s="101" t="s">
        <v>2996</v>
      </c>
      <c r="H1" s="102" t="s">
        <v>2994</v>
      </c>
      <c r="I1" s="101" t="s">
        <v>2997</v>
      </c>
    </row>
    <row r="2">
      <c r="A2" s="103" t="s">
        <v>2998</v>
      </c>
      <c r="B2" s="104" t="s">
        <v>2999</v>
      </c>
      <c r="C2" s="103"/>
      <c r="D2" s="103" t="s">
        <v>2593</v>
      </c>
      <c r="E2" s="104" t="s">
        <v>2642</v>
      </c>
      <c r="F2" s="103"/>
      <c r="G2" s="103" t="s">
        <v>3000</v>
      </c>
      <c r="H2" s="104" t="s">
        <v>3001</v>
      </c>
      <c r="I2" s="103" t="s">
        <v>3002</v>
      </c>
    </row>
    <row r="3">
      <c r="A3" s="103" t="s">
        <v>3003</v>
      </c>
      <c r="B3" s="104" t="s">
        <v>3004</v>
      </c>
      <c r="C3" s="103"/>
      <c r="D3" s="103" t="s">
        <v>1921</v>
      </c>
      <c r="E3" s="104" t="s">
        <v>2643</v>
      </c>
      <c r="F3" s="103"/>
      <c r="G3" s="103" t="s">
        <v>3005</v>
      </c>
      <c r="H3" s="104" t="s">
        <v>3006</v>
      </c>
      <c r="I3" s="103" t="s">
        <v>3007</v>
      </c>
    </row>
    <row r="4">
      <c r="A4" s="103" t="s">
        <v>3008</v>
      </c>
      <c r="B4" s="104" t="s">
        <v>3009</v>
      </c>
      <c r="C4" s="103"/>
      <c r="D4" s="103" t="s">
        <v>2594</v>
      </c>
      <c r="E4" s="104" t="s">
        <v>2644</v>
      </c>
      <c r="F4" s="103"/>
      <c r="G4" s="103" t="s">
        <v>3010</v>
      </c>
      <c r="H4" s="104" t="s">
        <v>3011</v>
      </c>
      <c r="I4" s="103" t="s">
        <v>3012</v>
      </c>
    </row>
    <row r="5">
      <c r="A5" s="103" t="s">
        <v>3013</v>
      </c>
      <c r="B5" s="104" t="s">
        <v>3014</v>
      </c>
      <c r="C5" s="103"/>
      <c r="D5" s="103" t="s">
        <v>2595</v>
      </c>
      <c r="E5" s="104" t="s">
        <v>2645</v>
      </c>
      <c r="F5" s="103"/>
      <c r="G5" s="103" t="s">
        <v>3015</v>
      </c>
      <c r="H5" s="104" t="s">
        <v>3016</v>
      </c>
      <c r="I5" s="103" t="s">
        <v>3017</v>
      </c>
    </row>
    <row r="6">
      <c r="A6" s="103" t="s">
        <v>3018</v>
      </c>
      <c r="B6" s="104" t="s">
        <v>3019</v>
      </c>
      <c r="C6" s="103"/>
      <c r="D6" s="103" t="s">
        <v>2596</v>
      </c>
      <c r="E6" s="104" t="s">
        <v>2646</v>
      </c>
      <c r="F6" s="103"/>
      <c r="G6" s="103" t="s">
        <v>3020</v>
      </c>
      <c r="H6" s="104" t="s">
        <v>3021</v>
      </c>
      <c r="I6" s="103" t="s">
        <v>3022</v>
      </c>
    </row>
    <row r="7">
      <c r="A7" s="103" t="s">
        <v>3023</v>
      </c>
      <c r="B7" s="104" t="s">
        <v>3024</v>
      </c>
      <c r="C7" s="103"/>
      <c r="D7" s="103" t="s">
        <v>1139</v>
      </c>
      <c r="E7" s="104" t="s">
        <v>2647</v>
      </c>
      <c r="F7" s="103"/>
      <c r="G7" s="103" t="s">
        <v>3025</v>
      </c>
      <c r="H7" s="104" t="s">
        <v>3026</v>
      </c>
      <c r="I7" s="103" t="s">
        <v>3027</v>
      </c>
    </row>
    <row r="8">
      <c r="A8" s="103" t="s">
        <v>3028</v>
      </c>
      <c r="B8" s="104" t="s">
        <v>3029</v>
      </c>
      <c r="C8" s="103"/>
      <c r="D8" s="103" t="s">
        <v>2598</v>
      </c>
      <c r="E8" s="104" t="s">
        <v>2648</v>
      </c>
      <c r="F8" s="103"/>
      <c r="G8" s="103" t="s">
        <v>3030</v>
      </c>
      <c r="H8" s="104" t="s">
        <v>3031</v>
      </c>
      <c r="I8" s="103" t="s">
        <v>3007</v>
      </c>
    </row>
    <row r="9">
      <c r="A9" s="103" t="s">
        <v>3032</v>
      </c>
      <c r="B9" s="104" t="s">
        <v>3033</v>
      </c>
      <c r="C9" s="103"/>
      <c r="D9" s="103" t="s">
        <v>2599</v>
      </c>
      <c r="E9" s="104" t="s">
        <v>2649</v>
      </c>
      <c r="F9" s="103"/>
      <c r="G9" s="103" t="s">
        <v>3034</v>
      </c>
      <c r="H9" s="104" t="s">
        <v>3035</v>
      </c>
      <c r="I9" s="103" t="s">
        <v>3036</v>
      </c>
    </row>
    <row r="10">
      <c r="A10" s="103" t="s">
        <v>3037</v>
      </c>
      <c r="B10" s="104" t="s">
        <v>3038</v>
      </c>
      <c r="C10" s="103"/>
      <c r="D10" s="103" t="s">
        <v>2600</v>
      </c>
      <c r="E10" s="104" t="s">
        <v>2650</v>
      </c>
      <c r="F10" s="103"/>
      <c r="G10" s="103"/>
      <c r="H10" s="104"/>
      <c r="I10" s="103"/>
    </row>
    <row r="11">
      <c r="A11" s="103" t="s">
        <v>3039</v>
      </c>
      <c r="B11" s="104" t="s">
        <v>3040</v>
      </c>
      <c r="C11" s="103"/>
      <c r="D11" s="103" t="s">
        <v>2601</v>
      </c>
      <c r="E11" s="104" t="s">
        <v>2651</v>
      </c>
      <c r="F11" s="103"/>
      <c r="G11" s="103" t="s">
        <v>3041</v>
      </c>
      <c r="H11" s="104"/>
      <c r="I11" s="103" t="s">
        <v>3036</v>
      </c>
    </row>
    <row r="12">
      <c r="A12" s="103" t="s">
        <v>3042</v>
      </c>
      <c r="B12" s="104" t="s">
        <v>3043</v>
      </c>
      <c r="C12" s="103"/>
      <c r="D12" s="103" t="s">
        <v>2602</v>
      </c>
      <c r="E12" s="104" t="s">
        <v>2652</v>
      </c>
      <c r="F12" s="103"/>
      <c r="G12" s="103" t="s">
        <v>3044</v>
      </c>
      <c r="H12" s="104"/>
      <c r="I12" s="103" t="s">
        <v>3036</v>
      </c>
    </row>
    <row r="13">
      <c r="A13" s="103" t="s">
        <v>3045</v>
      </c>
      <c r="B13" s="104" t="s">
        <v>3046</v>
      </c>
      <c r="C13" s="103"/>
      <c r="D13" s="103" t="s">
        <v>2603</v>
      </c>
      <c r="E13" s="104" t="s">
        <v>2653</v>
      </c>
      <c r="F13" s="103"/>
      <c r="G13" s="103" t="s">
        <v>3047</v>
      </c>
      <c r="H13" s="104"/>
      <c r="I13" s="103" t="s">
        <v>3036</v>
      </c>
    </row>
    <row r="14">
      <c r="A14" s="103" t="s">
        <v>3048</v>
      </c>
      <c r="B14" s="104" t="s">
        <v>3049</v>
      </c>
      <c r="C14" s="103"/>
      <c r="D14" s="103" t="s">
        <v>2604</v>
      </c>
      <c r="E14" s="104" t="s">
        <v>2654</v>
      </c>
      <c r="F14" s="103"/>
      <c r="G14" s="103" t="s">
        <v>3050</v>
      </c>
      <c r="H14" s="104"/>
      <c r="I14" s="103" t="s">
        <v>3036</v>
      </c>
    </row>
    <row r="15">
      <c r="A15" s="103" t="s">
        <v>3051</v>
      </c>
      <c r="B15" s="104" t="s">
        <v>3052</v>
      </c>
      <c r="C15" s="103"/>
      <c r="D15" s="103" t="s">
        <v>2429</v>
      </c>
      <c r="E15" s="104" t="s">
        <v>3053</v>
      </c>
      <c r="F15" s="103"/>
      <c r="G15" s="103" t="s">
        <v>3054</v>
      </c>
      <c r="H15" s="104" t="s">
        <v>3055</v>
      </c>
      <c r="I15" s="103" t="s">
        <v>3012</v>
      </c>
    </row>
    <row r="16">
      <c r="A16" s="103" t="s">
        <v>398</v>
      </c>
      <c r="B16" s="104" t="s">
        <v>3056</v>
      </c>
      <c r="C16" s="103"/>
      <c r="D16" s="103" t="s">
        <v>1179</v>
      </c>
      <c r="E16" s="104" t="s">
        <v>3057</v>
      </c>
      <c r="F16" s="103"/>
      <c r="G16" s="103" t="s">
        <v>3058</v>
      </c>
      <c r="H16" s="104" t="s">
        <v>3059</v>
      </c>
      <c r="I16" s="103" t="s">
        <v>3012</v>
      </c>
    </row>
    <row r="17">
      <c r="A17" s="103" t="s">
        <v>3060</v>
      </c>
      <c r="B17" s="104" t="s">
        <v>3061</v>
      </c>
      <c r="C17" s="103"/>
      <c r="D17" s="103"/>
      <c r="E17" s="103"/>
      <c r="F17" s="103"/>
      <c r="G17" s="103" t="s">
        <v>3062</v>
      </c>
      <c r="H17" s="104" t="s">
        <v>3063</v>
      </c>
      <c r="I17" s="103" t="s">
        <v>3007</v>
      </c>
    </row>
    <row r="18">
      <c r="A18" s="103" t="s">
        <v>1779</v>
      </c>
      <c r="B18" s="104" t="s">
        <v>3064</v>
      </c>
      <c r="C18" s="103"/>
      <c r="D18" s="103"/>
      <c r="E18" s="103"/>
      <c r="F18" s="103"/>
      <c r="G18" s="103" t="s">
        <v>3065</v>
      </c>
      <c r="H18" s="104" t="s">
        <v>3066</v>
      </c>
      <c r="I18" s="103" t="s">
        <v>3017</v>
      </c>
    </row>
    <row r="19">
      <c r="A19" s="103" t="s">
        <v>3067</v>
      </c>
      <c r="B19" s="104" t="s">
        <v>3068</v>
      </c>
      <c r="C19" s="103"/>
      <c r="D19" s="103"/>
      <c r="E19" s="103"/>
      <c r="F19" s="103"/>
      <c r="G19" s="103" t="s">
        <v>3069</v>
      </c>
      <c r="H19" s="104" t="s">
        <v>3070</v>
      </c>
      <c r="I19" s="103" t="s">
        <v>3017</v>
      </c>
    </row>
    <row r="20">
      <c r="A20" s="103" t="s">
        <v>3071</v>
      </c>
      <c r="B20" s="104" t="s">
        <v>3072</v>
      </c>
      <c r="C20" s="103"/>
      <c r="D20" s="103"/>
      <c r="E20" s="103"/>
      <c r="F20" s="103"/>
      <c r="G20" s="100" t="s">
        <v>3073</v>
      </c>
      <c r="H20" s="105" t="s">
        <v>3074</v>
      </c>
      <c r="I20" s="103"/>
    </row>
    <row r="21">
      <c r="A21" s="103" t="s">
        <v>1222</v>
      </c>
      <c r="B21" s="104" t="s">
        <v>3075</v>
      </c>
      <c r="C21" s="103"/>
      <c r="D21" s="103"/>
      <c r="E21" s="103"/>
      <c r="F21" s="103"/>
      <c r="G21" s="100" t="s">
        <v>3076</v>
      </c>
      <c r="H21" s="105" t="s">
        <v>3077</v>
      </c>
      <c r="I21" s="103"/>
    </row>
    <row r="22">
      <c r="A22" s="103" t="s">
        <v>3078</v>
      </c>
      <c r="B22" s="104" t="s">
        <v>3079</v>
      </c>
      <c r="C22" s="103"/>
      <c r="D22" s="103"/>
      <c r="E22" s="103"/>
      <c r="F22" s="103"/>
      <c r="G22" s="100" t="s">
        <v>3080</v>
      </c>
      <c r="H22" s="105" t="s">
        <v>3081</v>
      </c>
      <c r="I22" s="103"/>
    </row>
    <row r="23">
      <c r="A23" s="103" t="s">
        <v>3082</v>
      </c>
      <c r="B23" s="104" t="s">
        <v>3083</v>
      </c>
      <c r="C23" s="103"/>
      <c r="D23" s="103"/>
      <c r="E23" s="103"/>
      <c r="F23" s="103"/>
      <c r="G23" s="100" t="s">
        <v>3084</v>
      </c>
      <c r="H23" s="105" t="s">
        <v>3085</v>
      </c>
      <c r="I23" s="103"/>
    </row>
    <row r="24">
      <c r="A24" s="103" t="s">
        <v>1303</v>
      </c>
      <c r="B24" s="104" t="s">
        <v>3086</v>
      </c>
      <c r="C24" s="103"/>
      <c r="D24" s="103"/>
      <c r="E24" s="103"/>
      <c r="F24" s="103"/>
      <c r="G24" s="100" t="s">
        <v>3087</v>
      </c>
      <c r="H24" s="105" t="s">
        <v>3088</v>
      </c>
      <c r="I24" s="103"/>
    </row>
    <row r="25">
      <c r="A25" s="103" t="s">
        <v>3089</v>
      </c>
      <c r="B25" s="104" t="s">
        <v>3090</v>
      </c>
      <c r="C25" s="103"/>
      <c r="D25" s="103"/>
      <c r="E25" s="103"/>
      <c r="F25" s="103"/>
      <c r="G25" s="100" t="s">
        <v>3091</v>
      </c>
      <c r="H25" s="105" t="s">
        <v>3092</v>
      </c>
      <c r="I25" s="100" t="s">
        <v>3017</v>
      </c>
    </row>
    <row r="26">
      <c r="A26" s="103" t="s">
        <v>3093</v>
      </c>
      <c r="B26" s="104" t="s">
        <v>3094</v>
      </c>
      <c r="C26" s="103"/>
      <c r="D26" s="103"/>
      <c r="E26" s="103"/>
      <c r="F26" s="103"/>
      <c r="G26" s="103"/>
      <c r="H26" s="103"/>
      <c r="I26" s="103"/>
    </row>
    <row r="27">
      <c r="A27" s="103" t="s">
        <v>3095</v>
      </c>
      <c r="B27" s="104" t="s">
        <v>3096</v>
      </c>
      <c r="C27" s="103"/>
      <c r="D27" s="103"/>
      <c r="E27" s="103"/>
      <c r="F27" s="103"/>
      <c r="G27" s="103"/>
      <c r="H27" s="103"/>
      <c r="I27" s="103"/>
    </row>
    <row r="28">
      <c r="A28" s="103" t="s">
        <v>3097</v>
      </c>
      <c r="B28" s="104" t="s">
        <v>3098</v>
      </c>
      <c r="C28" s="103"/>
      <c r="D28" s="103"/>
      <c r="E28" s="103"/>
      <c r="F28" s="103"/>
      <c r="G28" s="103"/>
      <c r="H28" s="103"/>
      <c r="I28" s="103"/>
    </row>
    <row r="29">
      <c r="A29" s="103"/>
      <c r="B29" s="104"/>
      <c r="C29" s="103"/>
      <c r="D29" s="103"/>
      <c r="E29" s="103"/>
      <c r="F29" s="103"/>
      <c r="G29" s="103"/>
      <c r="H29" s="103"/>
      <c r="I29" s="103"/>
    </row>
    <row r="30">
      <c r="A30" s="103" t="s">
        <v>1249</v>
      </c>
      <c r="B30" s="104" t="s">
        <v>3099</v>
      </c>
      <c r="C30" s="103"/>
      <c r="D30" s="103"/>
      <c r="E30" s="103"/>
      <c r="F30" s="103"/>
      <c r="G30" s="103"/>
      <c r="H30" s="103"/>
      <c r="I30" s="103"/>
    </row>
    <row r="31">
      <c r="A31" s="103" t="s">
        <v>3100</v>
      </c>
      <c r="B31" s="104" t="s">
        <v>3101</v>
      </c>
      <c r="C31" s="103"/>
      <c r="D31" s="103"/>
      <c r="E31" s="103"/>
      <c r="F31" s="103"/>
      <c r="G31" s="103"/>
      <c r="H31" s="103"/>
      <c r="I31" s="103"/>
    </row>
    <row r="32">
      <c r="A32" s="103" t="s">
        <v>3102</v>
      </c>
      <c r="B32" s="104" t="s">
        <v>3103</v>
      </c>
      <c r="C32" s="103"/>
      <c r="D32" s="103"/>
      <c r="E32" s="103"/>
      <c r="F32" s="103"/>
      <c r="G32" s="103"/>
      <c r="H32" s="103"/>
      <c r="I32" s="103"/>
    </row>
    <row r="33">
      <c r="A33" s="103" t="s">
        <v>3104</v>
      </c>
      <c r="B33" s="104" t="s">
        <v>3105</v>
      </c>
      <c r="C33" s="103"/>
      <c r="D33" s="103"/>
      <c r="E33" s="103"/>
      <c r="F33" s="103"/>
      <c r="G33" s="103"/>
      <c r="H33" s="103"/>
      <c r="I33" s="103"/>
    </row>
    <row r="34">
      <c r="A34" s="103" t="s">
        <v>1296</v>
      </c>
      <c r="B34" s="104" t="s">
        <v>3106</v>
      </c>
      <c r="C34" s="103"/>
      <c r="D34" s="103"/>
      <c r="E34" s="103"/>
      <c r="F34" s="103"/>
      <c r="G34" s="103"/>
      <c r="H34" s="103"/>
      <c r="I34" s="103"/>
    </row>
    <row r="35">
      <c r="A35" s="103" t="s">
        <v>3107</v>
      </c>
      <c r="B35" s="104" t="s">
        <v>3108</v>
      </c>
      <c r="C35" s="103"/>
      <c r="D35" s="103"/>
      <c r="E35" s="103"/>
      <c r="F35" s="103"/>
      <c r="G35" s="103"/>
      <c r="H35" s="103"/>
      <c r="I35" s="103"/>
    </row>
    <row r="36">
      <c r="A36" s="103"/>
      <c r="B36" s="104"/>
      <c r="C36" s="103"/>
      <c r="D36" s="103"/>
      <c r="E36" s="103"/>
      <c r="F36" s="103"/>
      <c r="G36" s="103"/>
      <c r="H36" s="103"/>
      <c r="I36" s="103"/>
    </row>
    <row r="37">
      <c r="A37" s="103" t="s">
        <v>3109</v>
      </c>
      <c r="B37" s="104" t="s">
        <v>3110</v>
      </c>
      <c r="C37" s="103"/>
      <c r="D37" s="103"/>
      <c r="E37" s="103"/>
      <c r="F37" s="103"/>
      <c r="G37" s="103"/>
      <c r="H37" s="103"/>
      <c r="I37" s="103"/>
    </row>
    <row r="38">
      <c r="A38" s="103" t="s">
        <v>1330</v>
      </c>
      <c r="B38" s="104" t="s">
        <v>3111</v>
      </c>
      <c r="C38" s="103"/>
      <c r="D38" s="103"/>
      <c r="E38" s="103"/>
      <c r="F38" s="103"/>
      <c r="G38" s="103"/>
      <c r="H38" s="103"/>
      <c r="I38" s="103"/>
    </row>
    <row r="39">
      <c r="A39" s="103" t="s">
        <v>3112</v>
      </c>
      <c r="B39" s="104" t="s">
        <v>3113</v>
      </c>
      <c r="C39" s="103"/>
      <c r="D39" s="103"/>
      <c r="E39" s="103"/>
      <c r="F39" s="103"/>
      <c r="G39" s="103"/>
      <c r="H39" s="103"/>
      <c r="I39" s="103"/>
    </row>
    <row r="40">
      <c r="A40" s="103"/>
      <c r="B40" s="104"/>
      <c r="C40" s="103"/>
      <c r="D40" s="103"/>
      <c r="E40" s="103"/>
      <c r="F40" s="103"/>
      <c r="G40" s="103"/>
      <c r="H40" s="103"/>
      <c r="I40" s="103"/>
    </row>
    <row r="41">
      <c r="A41" s="103" t="s">
        <v>3114</v>
      </c>
      <c r="B41" s="104" t="s">
        <v>3115</v>
      </c>
      <c r="C41" s="103"/>
      <c r="D41" s="103"/>
      <c r="E41" s="103"/>
      <c r="F41" s="103"/>
      <c r="G41" s="103"/>
      <c r="H41" s="103"/>
      <c r="I41" s="103"/>
    </row>
    <row r="42">
      <c r="A42" s="103" t="s">
        <v>3116</v>
      </c>
      <c r="B42" s="104" t="s">
        <v>3117</v>
      </c>
      <c r="C42" s="103"/>
      <c r="D42" s="103"/>
      <c r="E42" s="103"/>
      <c r="F42" s="103"/>
      <c r="G42" s="103"/>
      <c r="H42" s="103"/>
      <c r="I42" s="103"/>
    </row>
    <row r="43">
      <c r="A43" s="103"/>
      <c r="B43" s="104"/>
      <c r="C43" s="103"/>
      <c r="D43" s="103"/>
      <c r="E43" s="103"/>
      <c r="F43" s="103"/>
      <c r="G43" s="103"/>
      <c r="H43" s="103"/>
      <c r="I43" s="103"/>
    </row>
    <row r="44">
      <c r="A44" s="103"/>
      <c r="B44" s="104"/>
      <c r="C44" s="103"/>
      <c r="D44" s="103"/>
      <c r="E44" s="103"/>
      <c r="F44" s="103"/>
      <c r="G44" s="103"/>
      <c r="H44" s="103"/>
      <c r="I44" s="103"/>
    </row>
    <row r="45">
      <c r="A45" s="103"/>
      <c r="B45" s="104"/>
      <c r="C45" s="103"/>
      <c r="D45" s="103"/>
      <c r="E45" s="103"/>
      <c r="F45" s="103"/>
      <c r="G45" s="103"/>
      <c r="H45" s="103"/>
      <c r="I45" s="103"/>
    </row>
    <row r="46">
      <c r="A46" s="103" t="s">
        <v>3118</v>
      </c>
      <c r="B46" s="104" t="s">
        <v>3119</v>
      </c>
      <c r="C46" s="103"/>
      <c r="D46" s="103"/>
      <c r="E46" s="103"/>
      <c r="F46" s="103"/>
      <c r="G46" s="103"/>
      <c r="H46" s="103"/>
      <c r="I46" s="103"/>
    </row>
    <row r="47">
      <c r="A47" s="103" t="s">
        <v>3120</v>
      </c>
      <c r="B47" s="104" t="s">
        <v>3121</v>
      </c>
      <c r="C47" s="103"/>
      <c r="D47" s="103"/>
      <c r="E47" s="103"/>
      <c r="F47" s="103"/>
      <c r="G47" s="103"/>
      <c r="H47" s="103"/>
      <c r="I47" s="103"/>
    </row>
    <row r="48">
      <c r="A48" s="103" t="s">
        <v>3122</v>
      </c>
      <c r="B48" s="104" t="s">
        <v>3123</v>
      </c>
      <c r="C48" s="103"/>
      <c r="D48" s="103"/>
      <c r="E48" s="103"/>
      <c r="F48" s="103"/>
      <c r="G48" s="103"/>
      <c r="H48" s="103"/>
      <c r="I48" s="103"/>
    </row>
    <row r="49">
      <c r="A49" s="103" t="s">
        <v>3124</v>
      </c>
      <c r="B49" s="104" t="s">
        <v>3125</v>
      </c>
      <c r="C49" s="103"/>
      <c r="D49" s="103"/>
      <c r="E49" s="103"/>
      <c r="F49" s="103"/>
      <c r="G49" s="103"/>
      <c r="H49" s="103"/>
      <c r="I49" s="103"/>
    </row>
    <row r="50">
      <c r="A50" s="103" t="s">
        <v>3126</v>
      </c>
      <c r="B50" s="104" t="s">
        <v>3127</v>
      </c>
      <c r="C50" s="103"/>
      <c r="D50" s="103"/>
      <c r="E50" s="103"/>
      <c r="F50" s="103"/>
      <c r="G50" s="103"/>
      <c r="H50" s="103"/>
      <c r="I50" s="103"/>
    </row>
    <row r="51">
      <c r="A51" s="103" t="s">
        <v>3128</v>
      </c>
      <c r="B51" s="104" t="s">
        <v>3129</v>
      </c>
      <c r="C51" s="103"/>
      <c r="D51" s="103"/>
      <c r="E51" s="103"/>
      <c r="F51" s="103"/>
      <c r="G51" s="103"/>
      <c r="H51" s="103"/>
      <c r="I51" s="103"/>
    </row>
    <row r="52">
      <c r="A52" s="103" t="s">
        <v>3130</v>
      </c>
      <c r="B52" s="104" t="s">
        <v>3131</v>
      </c>
      <c r="C52" s="103"/>
      <c r="D52" s="103"/>
      <c r="E52" s="103"/>
      <c r="F52" s="103"/>
      <c r="G52" s="103"/>
      <c r="H52" s="103"/>
      <c r="I52" s="103"/>
    </row>
    <row r="53">
      <c r="A53" s="103" t="s">
        <v>3132</v>
      </c>
      <c r="B53" s="104" t="s">
        <v>3133</v>
      </c>
      <c r="C53" s="103"/>
      <c r="D53" s="103"/>
      <c r="E53" s="103"/>
      <c r="F53" s="103"/>
      <c r="G53" s="103"/>
      <c r="H53" s="103"/>
      <c r="I53" s="103"/>
    </row>
    <row r="54">
      <c r="A54" s="103" t="s">
        <v>3134</v>
      </c>
      <c r="B54" s="104" t="s">
        <v>3135</v>
      </c>
      <c r="C54" s="103"/>
      <c r="D54" s="103"/>
      <c r="E54" s="103"/>
      <c r="F54" s="103"/>
      <c r="G54" s="103"/>
      <c r="H54" s="103"/>
      <c r="I54" s="103"/>
    </row>
    <row r="55">
      <c r="A55" s="103" t="s">
        <v>3136</v>
      </c>
      <c r="B55" s="104" t="s">
        <v>3137</v>
      </c>
      <c r="C55" s="103"/>
      <c r="D55" s="103"/>
      <c r="E55" s="103"/>
      <c r="F55" s="103"/>
      <c r="G55" s="103"/>
      <c r="H55" s="103"/>
      <c r="I55" s="103"/>
    </row>
    <row r="56">
      <c r="A56" s="103" t="s">
        <v>3138</v>
      </c>
      <c r="B56" s="104" t="s">
        <v>3139</v>
      </c>
      <c r="C56" s="103"/>
      <c r="D56" s="103"/>
      <c r="E56" s="103"/>
      <c r="F56" s="103"/>
      <c r="G56" s="103"/>
      <c r="H56" s="103"/>
      <c r="I56" s="103"/>
    </row>
    <row r="57">
      <c r="A57" s="103" t="s">
        <v>3140</v>
      </c>
      <c r="B57" s="104" t="s">
        <v>3141</v>
      </c>
      <c r="C57" s="103"/>
      <c r="D57" s="103"/>
      <c r="E57" s="103"/>
      <c r="F57" s="103"/>
      <c r="G57" s="103"/>
      <c r="H57" s="103"/>
      <c r="I57" s="103"/>
    </row>
    <row r="58">
      <c r="A58" s="103" t="s">
        <v>3142</v>
      </c>
      <c r="B58" s="104" t="s">
        <v>3143</v>
      </c>
      <c r="C58" s="103"/>
      <c r="D58" s="103"/>
      <c r="E58" s="103"/>
      <c r="F58" s="103"/>
      <c r="G58" s="103"/>
      <c r="H58" s="103"/>
      <c r="I58" s="103"/>
    </row>
    <row r="59">
      <c r="A59" s="103" t="s">
        <v>3144</v>
      </c>
      <c r="B59" s="104" t="s">
        <v>3145</v>
      </c>
      <c r="C59" s="103"/>
      <c r="D59" s="103"/>
      <c r="E59" s="103"/>
      <c r="F59" s="103"/>
      <c r="G59" s="103"/>
      <c r="H59" s="103"/>
      <c r="I59" s="103"/>
    </row>
    <row r="60">
      <c r="A60" s="103" t="s">
        <v>3146</v>
      </c>
      <c r="B60" s="104" t="s">
        <v>3147</v>
      </c>
      <c r="C60" s="103"/>
      <c r="D60" s="103"/>
      <c r="E60" s="103"/>
      <c r="F60" s="103"/>
      <c r="G60" s="103"/>
      <c r="H60" s="103"/>
      <c r="I60" s="103"/>
    </row>
    <row r="61">
      <c r="A61" s="103" t="s">
        <v>3148</v>
      </c>
      <c r="B61" s="104" t="s">
        <v>3149</v>
      </c>
      <c r="C61" s="103"/>
      <c r="D61" s="103"/>
      <c r="E61" s="103"/>
      <c r="F61" s="103"/>
      <c r="G61" s="103"/>
      <c r="H61" s="103"/>
      <c r="I61" s="103"/>
    </row>
    <row r="62">
      <c r="A62" s="103" t="s">
        <v>3150</v>
      </c>
      <c r="B62" s="104" t="s">
        <v>3151</v>
      </c>
      <c r="C62" s="103"/>
      <c r="D62" s="103"/>
      <c r="E62" s="103"/>
      <c r="F62" s="103"/>
      <c r="G62" s="103"/>
      <c r="H62" s="103"/>
      <c r="I62" s="103"/>
    </row>
    <row r="63">
      <c r="A63" s="103" t="s">
        <v>3152</v>
      </c>
      <c r="B63" s="104" t="s">
        <v>3153</v>
      </c>
      <c r="C63" s="103"/>
      <c r="D63" s="103"/>
      <c r="E63" s="103"/>
      <c r="F63" s="103"/>
      <c r="G63" s="103"/>
      <c r="H63" s="103"/>
      <c r="I63" s="103"/>
    </row>
    <row r="64">
      <c r="A64" s="103" t="s">
        <v>3154</v>
      </c>
      <c r="B64" s="104" t="s">
        <v>3155</v>
      </c>
      <c r="C64" s="103"/>
      <c r="D64" s="103"/>
      <c r="E64" s="103"/>
      <c r="F64" s="103"/>
      <c r="G64" s="103"/>
      <c r="H64" s="103"/>
      <c r="I64" s="103"/>
    </row>
    <row r="65">
      <c r="A65" s="103" t="s">
        <v>3156</v>
      </c>
      <c r="B65" s="104" t="s">
        <v>3157</v>
      </c>
      <c r="C65" s="103"/>
      <c r="D65" s="103"/>
      <c r="E65" s="103"/>
      <c r="F65" s="103"/>
      <c r="G65" s="103"/>
      <c r="H65" s="103"/>
      <c r="I65" s="103"/>
    </row>
    <row r="66">
      <c r="A66" s="103" t="s">
        <v>3158</v>
      </c>
      <c r="B66" s="104" t="s">
        <v>3159</v>
      </c>
      <c r="C66" s="103"/>
      <c r="D66" s="103"/>
      <c r="E66" s="103"/>
      <c r="F66" s="103"/>
      <c r="G66" s="103"/>
      <c r="H66" s="103"/>
      <c r="I66" s="103"/>
    </row>
    <row r="67">
      <c r="A67" s="103" t="s">
        <v>3160</v>
      </c>
      <c r="B67" s="104" t="s">
        <v>3161</v>
      </c>
      <c r="C67" s="103"/>
      <c r="D67" s="103"/>
      <c r="E67" s="103"/>
      <c r="F67" s="103"/>
      <c r="G67" s="103"/>
      <c r="H67" s="103"/>
      <c r="I67" s="103"/>
    </row>
    <row r="68">
      <c r="A68" s="103" t="s">
        <v>3162</v>
      </c>
      <c r="B68" s="104" t="s">
        <v>3163</v>
      </c>
      <c r="C68" s="103"/>
      <c r="D68" s="103"/>
      <c r="E68" s="103"/>
      <c r="F68" s="103"/>
      <c r="G68" s="103"/>
      <c r="H68" s="103"/>
      <c r="I68" s="103"/>
    </row>
    <row r="69">
      <c r="A69" s="103"/>
      <c r="B69" s="104"/>
      <c r="C69" s="103"/>
      <c r="D69" s="103"/>
      <c r="E69" s="103"/>
      <c r="F69" s="103"/>
      <c r="G69" s="103"/>
      <c r="H69" s="103"/>
      <c r="I69" s="103"/>
    </row>
    <row r="70">
      <c r="A70" s="103" t="s">
        <v>3164</v>
      </c>
      <c r="B70" s="104" t="s">
        <v>3165</v>
      </c>
      <c r="C70" s="103"/>
      <c r="D70" s="103"/>
      <c r="E70" s="103"/>
      <c r="F70" s="103"/>
      <c r="G70" s="103"/>
      <c r="H70" s="103"/>
      <c r="I70" s="103"/>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6" t="s">
        <v>3166</v>
      </c>
      <c r="B1" s="106" t="s">
        <v>2620</v>
      </c>
      <c r="C1" s="11" t="s">
        <v>3167</v>
      </c>
      <c r="D1" s="11" t="s">
        <v>3168</v>
      </c>
      <c r="E1" s="11" t="s">
        <v>3169</v>
      </c>
      <c r="F1" s="11" t="s">
        <v>3170</v>
      </c>
      <c r="G1" s="11" t="s">
        <v>2623</v>
      </c>
      <c r="H1" s="11" t="s">
        <v>2624</v>
      </c>
      <c r="I1" s="11" t="s">
        <v>2625</v>
      </c>
      <c r="J1" s="11" t="s">
        <v>2626</v>
      </c>
      <c r="K1" s="11" t="s">
        <v>3171</v>
      </c>
      <c r="L1" s="11" t="s">
        <v>3172</v>
      </c>
      <c r="M1" s="11" t="s">
        <v>3173</v>
      </c>
      <c r="N1" s="11" t="s">
        <v>3174</v>
      </c>
      <c r="O1" s="11" t="s">
        <v>3175</v>
      </c>
      <c r="P1" s="11" t="s">
        <v>3176</v>
      </c>
      <c r="Q1" s="11" t="s">
        <v>3177</v>
      </c>
      <c r="R1" s="11" t="s">
        <v>3178</v>
      </c>
      <c r="S1" s="11" t="s">
        <v>3179</v>
      </c>
      <c r="T1" s="11" t="s">
        <v>3180</v>
      </c>
      <c r="U1" s="11" t="s">
        <v>3181</v>
      </c>
      <c r="V1" s="11" t="s">
        <v>3182</v>
      </c>
      <c r="W1" s="11" t="s">
        <v>944</v>
      </c>
      <c r="X1" s="11" t="s">
        <v>425</v>
      </c>
      <c r="Y1" s="11" t="s">
        <v>336</v>
      </c>
      <c r="Z1" s="11" t="s">
        <v>1018</v>
      </c>
      <c r="AA1" s="11" t="s">
        <v>3183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3184</v>
      </c>
      <c r="BE1" s="64" t="s">
        <v>1845</v>
      </c>
      <c r="BF1" s="64" t="s">
        <v>3185</v>
      </c>
      <c r="BG1" s="64" t="s">
        <v>849</v>
      </c>
      <c r="BH1" s="37" t="s">
        <v>2917</v>
      </c>
      <c r="BI1" s="37" t="s">
        <v>2918</v>
      </c>
      <c r="BJ1" s="106" t="s">
        <v>3186</v>
      </c>
      <c r="BK1" s="106" t="s">
        <v>3187</v>
      </c>
      <c r="BL1" s="106" t="s">
        <v>3188</v>
      </c>
      <c r="BM1" s="106" t="s">
        <v>3189</v>
      </c>
      <c r="BN1" s="106" t="s">
        <v>3190</v>
      </c>
      <c r="BO1" s="106" t="s">
        <v>3191</v>
      </c>
      <c r="BP1" s="106" t="s">
        <v>3192</v>
      </c>
      <c r="BQ1" s="106" t="s">
        <v>3193</v>
      </c>
      <c r="BR1" s="106" t="s">
        <v>3194</v>
      </c>
      <c r="BS1" s="106" t="s">
        <v>3195</v>
      </c>
      <c r="BT1" s="31" t="s">
        <v>3196</v>
      </c>
      <c r="BU1" s="31" t="s">
        <v>3197</v>
      </c>
      <c r="BV1" s="31" t="s">
        <v>3198</v>
      </c>
      <c r="BW1" s="31" t="s">
        <v>3199</v>
      </c>
    </row>
    <row r="2" ht="18.75" customHeight="1">
      <c r="A2" s="19" t="s">
        <v>54</v>
      </c>
      <c r="B2" s="106" t="s">
        <v>3200</v>
      </c>
      <c r="C2" s="107">
        <v>0.2</v>
      </c>
      <c r="D2" s="37">
        <v>1.0</v>
      </c>
      <c r="E2" s="37">
        <v>1.0</v>
      </c>
      <c r="F2" s="37" t="s">
        <v>3201</v>
      </c>
      <c r="G2" s="37">
        <v>60.0</v>
      </c>
      <c r="H2" s="37">
        <v>40.0</v>
      </c>
      <c r="I2" s="37">
        <v>20.0</v>
      </c>
      <c r="J2" s="37">
        <v>0.0</v>
      </c>
      <c r="K2" s="37">
        <v>25.0</v>
      </c>
      <c r="L2" s="37">
        <v>0.0</v>
      </c>
      <c r="M2" s="37">
        <v>0.0</v>
      </c>
      <c r="N2" s="37">
        <v>25.0</v>
      </c>
      <c r="O2" s="37">
        <v>10.0</v>
      </c>
      <c r="P2" s="37">
        <v>0.0</v>
      </c>
      <c r="Q2" s="37">
        <v>0.0</v>
      </c>
      <c r="R2" s="37">
        <v>0.0</v>
      </c>
      <c r="S2" s="37">
        <v>0.0</v>
      </c>
      <c r="T2" s="37">
        <v>0.0</v>
      </c>
      <c r="U2" s="37">
        <v>0.0</v>
      </c>
      <c r="V2" s="107">
        <v>0.0</v>
      </c>
      <c r="W2" s="107">
        <v>0.1</v>
      </c>
      <c r="X2" s="107">
        <v>0.0</v>
      </c>
      <c r="Y2" s="107">
        <v>0.0</v>
      </c>
      <c r="Z2" s="107">
        <v>0.0</v>
      </c>
      <c r="AA2" s="107">
        <v>0.05</v>
      </c>
      <c r="AB2" s="107">
        <v>-0.05</v>
      </c>
      <c r="AC2" s="107">
        <v>0.05</v>
      </c>
      <c r="AK2" s="64"/>
      <c r="AL2" s="64"/>
      <c r="BJ2" s="37" t="b">
        <f t="shared" ref="BJ2:BJ7" si="1">TRUE()</f>
        <v>1</v>
      </c>
      <c r="BK2" s="37">
        <v>1.0</v>
      </c>
      <c r="BL2" s="37" t="s">
        <v>3202</v>
      </c>
      <c r="BM2" s="37">
        <v>26.0</v>
      </c>
      <c r="BN2" s="37" t="s">
        <v>3203</v>
      </c>
      <c r="BO2" s="37" t="s">
        <v>3204</v>
      </c>
      <c r="BT2" s="108" t="s">
        <v>3204</v>
      </c>
      <c r="BU2" s="108"/>
      <c r="BV2" s="108"/>
      <c r="BW2" s="108"/>
    </row>
    <row r="3" ht="18.75" customHeight="1">
      <c r="A3" s="19" t="s">
        <v>56</v>
      </c>
      <c r="B3" s="106" t="s">
        <v>3205</v>
      </c>
      <c r="C3" s="107">
        <v>0.6</v>
      </c>
      <c r="D3" s="37">
        <v>3.0</v>
      </c>
      <c r="E3" s="37">
        <v>2.0</v>
      </c>
      <c r="F3" s="37" t="s">
        <v>3201</v>
      </c>
      <c r="G3" s="37">
        <v>25.0</v>
      </c>
      <c r="H3" s="37">
        <v>60.0</v>
      </c>
      <c r="I3" s="37">
        <v>35.0</v>
      </c>
      <c r="J3" s="37">
        <v>0.0</v>
      </c>
      <c r="K3" s="37">
        <v>100.0</v>
      </c>
      <c r="L3" s="39">
        <v>0.0</v>
      </c>
      <c r="M3" s="39">
        <v>0.0</v>
      </c>
      <c r="N3" s="37">
        <v>25.0</v>
      </c>
      <c r="O3" s="37">
        <v>0.0</v>
      </c>
      <c r="P3" s="37">
        <v>0.0</v>
      </c>
      <c r="Q3" s="37">
        <v>0.0</v>
      </c>
      <c r="R3" s="37">
        <v>0.0</v>
      </c>
      <c r="S3" s="37">
        <v>0.0</v>
      </c>
      <c r="T3" s="39">
        <v>0.0</v>
      </c>
      <c r="U3" s="39">
        <v>0.0</v>
      </c>
      <c r="V3" s="107">
        <v>-0.05</v>
      </c>
      <c r="W3" s="107">
        <v>-0.05</v>
      </c>
      <c r="X3" s="107">
        <v>0.05</v>
      </c>
      <c r="Y3" s="107">
        <v>0.0</v>
      </c>
      <c r="Z3" s="107">
        <v>0.0</v>
      </c>
      <c r="AA3" s="107">
        <v>0.05</v>
      </c>
      <c r="AB3" s="107">
        <v>0.05</v>
      </c>
      <c r="AC3" s="107">
        <v>0.1</v>
      </c>
      <c r="AK3" s="64">
        <v>-10.0</v>
      </c>
      <c r="AL3" s="64">
        <v>-5.0</v>
      </c>
      <c r="AS3" s="37">
        <v>35.0</v>
      </c>
      <c r="BB3" s="37">
        <v>15.0</v>
      </c>
      <c r="BJ3" s="37" t="b">
        <f t="shared" si="1"/>
        <v>1</v>
      </c>
      <c r="BK3" s="37">
        <v>3.0</v>
      </c>
      <c r="BL3" s="37" t="s">
        <v>3206</v>
      </c>
      <c r="BM3" s="37">
        <v>18.0</v>
      </c>
      <c r="BN3" s="37" t="s">
        <v>56</v>
      </c>
      <c r="BO3" s="37" t="s">
        <v>3204</v>
      </c>
      <c r="BT3" s="108" t="s">
        <v>3204</v>
      </c>
      <c r="BU3" s="108"/>
      <c r="BV3" s="108"/>
      <c r="BW3" s="108"/>
    </row>
    <row r="4" ht="18.75" customHeight="1">
      <c r="A4" s="19" t="s">
        <v>58</v>
      </c>
      <c r="B4" s="106" t="s">
        <v>3207</v>
      </c>
      <c r="C4" s="107">
        <v>0.5</v>
      </c>
      <c r="D4" s="37">
        <v>3.0</v>
      </c>
      <c r="E4" s="37">
        <v>2.0</v>
      </c>
      <c r="F4" s="37" t="s">
        <v>3201</v>
      </c>
      <c r="G4" s="37">
        <v>20.0</v>
      </c>
      <c r="H4" s="37">
        <v>20.0</v>
      </c>
      <c r="I4" s="37">
        <v>60.0</v>
      </c>
      <c r="J4" s="37">
        <v>10.0</v>
      </c>
      <c r="K4" s="37">
        <v>40.0</v>
      </c>
      <c r="L4" s="39">
        <v>0.0</v>
      </c>
      <c r="M4" s="39">
        <v>0.0</v>
      </c>
      <c r="N4" s="37">
        <v>100.0</v>
      </c>
      <c r="O4" s="37">
        <v>80.0</v>
      </c>
      <c r="P4" s="39">
        <v>0.0</v>
      </c>
      <c r="Q4" s="39">
        <v>0.0</v>
      </c>
      <c r="R4" s="39">
        <v>0.0</v>
      </c>
      <c r="S4" s="37">
        <v>10.0</v>
      </c>
      <c r="T4" s="39">
        <v>0.0</v>
      </c>
      <c r="U4" s="39">
        <v>0.0</v>
      </c>
      <c r="V4" s="107">
        <v>-0.05</v>
      </c>
      <c r="W4" s="107">
        <v>-0.05</v>
      </c>
      <c r="X4" s="107">
        <v>0.1</v>
      </c>
      <c r="Y4" s="107">
        <v>0.1</v>
      </c>
      <c r="Z4" s="107">
        <v>0.0</v>
      </c>
      <c r="AA4" s="107">
        <v>-0.05</v>
      </c>
      <c r="AB4" s="107">
        <v>0.15</v>
      </c>
      <c r="AC4" s="107">
        <v>0.1</v>
      </c>
      <c r="AK4" s="64"/>
      <c r="AL4" s="64"/>
      <c r="AS4" s="37">
        <v>-10.0</v>
      </c>
      <c r="BJ4" s="37" t="b">
        <f t="shared" si="1"/>
        <v>1</v>
      </c>
      <c r="BK4" s="37">
        <v>4.0</v>
      </c>
      <c r="BL4" s="37" t="s">
        <v>3208</v>
      </c>
      <c r="BM4" s="37">
        <v>12.0</v>
      </c>
      <c r="BN4" s="37" t="s">
        <v>3209</v>
      </c>
      <c r="BO4" s="37" t="s">
        <v>3204</v>
      </c>
      <c r="BQ4" s="37" t="s">
        <v>3209</v>
      </c>
    </row>
    <row r="5" ht="18.75" customHeight="1">
      <c r="A5" s="19" t="s">
        <v>57</v>
      </c>
      <c r="B5" s="106" t="s">
        <v>3210</v>
      </c>
      <c r="C5" s="107">
        <v>0.8</v>
      </c>
      <c r="D5" s="37">
        <v>5.0</v>
      </c>
      <c r="E5" s="37">
        <v>2.0</v>
      </c>
      <c r="F5" s="37" t="s">
        <v>3201</v>
      </c>
      <c r="G5" s="37">
        <v>10.0</v>
      </c>
      <c r="H5" s="37">
        <v>10.0</v>
      </c>
      <c r="I5" s="37">
        <v>20.0</v>
      </c>
      <c r="J5" s="37">
        <v>10.0</v>
      </c>
      <c r="K5" s="37">
        <v>30.0</v>
      </c>
      <c r="L5" s="39">
        <v>0.0</v>
      </c>
      <c r="M5" s="37">
        <v>0.0</v>
      </c>
      <c r="N5" s="37">
        <v>150.0</v>
      </c>
      <c r="O5" s="37">
        <v>200.0</v>
      </c>
      <c r="P5" s="39">
        <v>0.0</v>
      </c>
      <c r="Q5" s="39">
        <v>0.0</v>
      </c>
      <c r="R5" s="39">
        <v>0.0</v>
      </c>
      <c r="S5" s="37">
        <v>30.0</v>
      </c>
      <c r="T5" s="39">
        <v>0.0</v>
      </c>
      <c r="U5" s="39">
        <v>0.0</v>
      </c>
      <c r="V5" s="107">
        <v>-0.1</v>
      </c>
      <c r="W5" s="107">
        <v>-0.05</v>
      </c>
      <c r="X5" s="107">
        <v>0.15</v>
      </c>
      <c r="Y5" s="107">
        <v>0.2</v>
      </c>
      <c r="Z5" s="107">
        <v>0.0</v>
      </c>
      <c r="AA5" s="107">
        <v>-0.05</v>
      </c>
      <c r="AB5" s="107">
        <v>0.2</v>
      </c>
      <c r="AC5" s="107">
        <v>0.1</v>
      </c>
      <c r="AK5" s="64">
        <v>-15.0</v>
      </c>
      <c r="AL5" s="64">
        <v>-10.0</v>
      </c>
      <c r="BB5" s="37">
        <v>25.0</v>
      </c>
      <c r="BJ5" s="37" t="b">
        <f t="shared" si="1"/>
        <v>1</v>
      </c>
      <c r="BK5" s="37">
        <v>5.0</v>
      </c>
      <c r="BL5" s="37" t="s">
        <v>3211</v>
      </c>
      <c r="BM5" s="37">
        <v>10.0</v>
      </c>
      <c r="BN5" s="37" t="s">
        <v>3212</v>
      </c>
      <c r="BO5" s="37" t="s">
        <v>3204</v>
      </c>
      <c r="BP5" s="37">
        <v>0.2</v>
      </c>
      <c r="BQ5" s="37" t="s">
        <v>3212</v>
      </c>
    </row>
    <row r="6" ht="18.75" customHeight="1">
      <c r="A6" s="19" t="s">
        <v>60</v>
      </c>
      <c r="B6" s="106" t="s">
        <v>3213</v>
      </c>
      <c r="C6" s="107">
        <v>0.5</v>
      </c>
      <c r="D6" s="37">
        <v>2.0</v>
      </c>
      <c r="E6" s="37">
        <v>1.0</v>
      </c>
      <c r="F6" s="37" t="s">
        <v>3214</v>
      </c>
      <c r="G6" s="37">
        <v>10.0</v>
      </c>
      <c r="H6" s="37">
        <v>10.0</v>
      </c>
      <c r="I6" s="37">
        <v>0.0</v>
      </c>
      <c r="J6" s="37">
        <v>90.0</v>
      </c>
      <c r="K6" s="37">
        <v>0.0</v>
      </c>
      <c r="L6" s="37">
        <v>0.0</v>
      </c>
      <c r="M6" s="37">
        <v>0.0</v>
      </c>
      <c r="N6" s="37">
        <v>0.0</v>
      </c>
      <c r="O6" s="37">
        <v>35.0</v>
      </c>
      <c r="P6" s="39">
        <v>0.0</v>
      </c>
      <c r="Q6" s="37">
        <v>0.0</v>
      </c>
      <c r="R6" s="37">
        <v>0.0</v>
      </c>
      <c r="S6" s="37">
        <v>8.0</v>
      </c>
      <c r="T6" s="39">
        <v>0.0</v>
      </c>
      <c r="U6" s="39">
        <v>0.0</v>
      </c>
      <c r="V6" s="107">
        <v>0.1</v>
      </c>
      <c r="W6" s="107">
        <v>-0.1</v>
      </c>
      <c r="X6" s="107">
        <v>-0.05</v>
      </c>
      <c r="Y6" s="107">
        <v>0.0</v>
      </c>
      <c r="Z6" s="107">
        <v>0.0</v>
      </c>
      <c r="AA6" s="107">
        <v>0.2</v>
      </c>
      <c r="AB6" s="107">
        <v>-0.1</v>
      </c>
      <c r="AC6" s="107">
        <v>0.05</v>
      </c>
      <c r="AK6" s="64"/>
      <c r="AL6" s="64"/>
      <c r="BB6" s="37">
        <v>35.0</v>
      </c>
      <c r="BJ6" s="37" t="b">
        <f t="shared" si="1"/>
        <v>1</v>
      </c>
      <c r="BK6" s="37">
        <v>9.0</v>
      </c>
      <c r="BL6" s="37" t="s">
        <v>3215</v>
      </c>
      <c r="BM6" s="37">
        <v>8.0</v>
      </c>
      <c r="BN6" s="37" t="s">
        <v>60</v>
      </c>
      <c r="BO6" s="37" t="s">
        <v>3204</v>
      </c>
    </row>
    <row r="7" ht="18.75" customHeight="1">
      <c r="A7" s="19" t="s">
        <v>59</v>
      </c>
      <c r="B7" s="106" t="s">
        <v>3216</v>
      </c>
      <c r="C7" s="107">
        <v>0.4</v>
      </c>
      <c r="D7" s="37">
        <v>2.0</v>
      </c>
      <c r="E7" s="37">
        <v>1.0</v>
      </c>
      <c r="F7" s="37" t="s">
        <v>3201</v>
      </c>
      <c r="G7" s="37">
        <v>20.0</v>
      </c>
      <c r="H7" s="37">
        <v>15.0</v>
      </c>
      <c r="I7" s="37">
        <v>5.0</v>
      </c>
      <c r="J7" s="37">
        <v>35.0</v>
      </c>
      <c r="K7" s="37">
        <v>0.0</v>
      </c>
      <c r="L7" s="37">
        <v>0.0</v>
      </c>
      <c r="M7" s="37">
        <v>0.0</v>
      </c>
      <c r="N7" s="37">
        <v>0.0</v>
      </c>
      <c r="O7" s="37">
        <v>0.0</v>
      </c>
      <c r="P7" s="37">
        <v>0.0</v>
      </c>
      <c r="Q7" s="37">
        <v>0.0</v>
      </c>
      <c r="R7" s="37">
        <v>0.0</v>
      </c>
      <c r="S7" s="37">
        <v>5.0</v>
      </c>
      <c r="T7" s="39">
        <v>0.0</v>
      </c>
      <c r="U7" s="39">
        <v>0.0</v>
      </c>
      <c r="V7" s="107">
        <v>0.2</v>
      </c>
      <c r="W7" s="107">
        <v>-0.05</v>
      </c>
      <c r="X7" s="107">
        <v>-0.05</v>
      </c>
      <c r="Y7" s="107">
        <v>0.0</v>
      </c>
      <c r="Z7" s="107">
        <v>0.0</v>
      </c>
      <c r="AA7" s="107">
        <v>0.2</v>
      </c>
      <c r="AB7" s="107">
        <v>-0.05</v>
      </c>
      <c r="AC7" s="107">
        <v>0.05</v>
      </c>
      <c r="AK7" s="64"/>
      <c r="AL7" s="64"/>
      <c r="BJ7" s="37" t="b">
        <f t="shared" si="1"/>
        <v>1</v>
      </c>
      <c r="BK7" s="37">
        <v>8.0</v>
      </c>
      <c r="BL7" s="37" t="s">
        <v>3217</v>
      </c>
      <c r="BM7" s="37">
        <v>10.0</v>
      </c>
      <c r="BN7" s="37" t="s">
        <v>3218</v>
      </c>
      <c r="BO7" s="37" t="s">
        <v>3204</v>
      </c>
      <c r="BQ7" s="37" t="s">
        <v>3219</v>
      </c>
    </row>
    <row r="8" ht="18.75" customHeight="1">
      <c r="A8" s="19" t="s">
        <v>3220</v>
      </c>
      <c r="B8" s="106" t="s">
        <v>3221</v>
      </c>
      <c r="C8" s="107">
        <v>0.4</v>
      </c>
      <c r="D8" s="37">
        <v>2.0</v>
      </c>
      <c r="E8" s="37">
        <v>4.0</v>
      </c>
      <c r="F8" s="37" t="s">
        <v>3201</v>
      </c>
      <c r="G8" s="37">
        <v>25.0</v>
      </c>
      <c r="H8" s="37">
        <v>35.0</v>
      </c>
      <c r="I8" s="37">
        <v>10.0</v>
      </c>
      <c r="J8" s="37">
        <v>60.0</v>
      </c>
      <c r="K8" s="37">
        <v>0.0</v>
      </c>
      <c r="L8" s="37">
        <v>0.0</v>
      </c>
      <c r="M8" s="37">
        <v>0.0</v>
      </c>
      <c r="N8" s="37">
        <v>0.0</v>
      </c>
      <c r="O8" s="37">
        <v>0.0</v>
      </c>
      <c r="P8" s="37">
        <v>0.0</v>
      </c>
      <c r="Q8" s="37">
        <v>0.0</v>
      </c>
      <c r="R8" s="37">
        <v>0.0</v>
      </c>
      <c r="S8" s="37">
        <v>5.0</v>
      </c>
      <c r="T8" s="39">
        <v>0.0</v>
      </c>
      <c r="U8" s="39">
        <v>0.0</v>
      </c>
      <c r="V8" s="107">
        <v>0.2</v>
      </c>
      <c r="W8" s="107">
        <v>-0.05</v>
      </c>
      <c r="X8" s="107">
        <v>-0.05</v>
      </c>
      <c r="Y8" s="107">
        <v>0.0</v>
      </c>
      <c r="Z8" s="107">
        <v>0.0</v>
      </c>
      <c r="AA8" s="107">
        <v>0.2</v>
      </c>
      <c r="AB8" s="107">
        <v>-0.05</v>
      </c>
      <c r="AC8" s="107">
        <v>0.05</v>
      </c>
      <c r="AK8" s="64"/>
      <c r="AL8" s="64"/>
    </row>
    <row r="9" ht="18.75" customHeight="1">
      <c r="A9" s="19" t="s">
        <v>61</v>
      </c>
      <c r="B9" s="106" t="s">
        <v>3222</v>
      </c>
      <c r="C9" s="107">
        <v>0.75</v>
      </c>
      <c r="D9" s="37">
        <v>4.0</v>
      </c>
      <c r="E9" s="37">
        <v>2.0</v>
      </c>
      <c r="F9" s="37" t="s">
        <v>3214</v>
      </c>
      <c r="G9" s="37">
        <v>10.0</v>
      </c>
      <c r="H9" s="37">
        <v>10.0</v>
      </c>
      <c r="I9" s="37">
        <v>0.0</v>
      </c>
      <c r="J9" s="37">
        <v>110.0</v>
      </c>
      <c r="K9" s="37">
        <v>0.0</v>
      </c>
      <c r="L9" s="37">
        <v>0.0</v>
      </c>
      <c r="M9" s="37">
        <v>0.0</v>
      </c>
      <c r="N9" s="37">
        <v>0.0</v>
      </c>
      <c r="O9" s="37">
        <v>35.0</v>
      </c>
      <c r="P9" s="39">
        <v>0.0</v>
      </c>
      <c r="Q9" s="37">
        <v>0.0</v>
      </c>
      <c r="R9" s="37">
        <v>0.0</v>
      </c>
      <c r="S9" s="37">
        <v>20.0</v>
      </c>
      <c r="T9" s="39">
        <v>0.0</v>
      </c>
      <c r="U9" s="39">
        <v>0.0</v>
      </c>
      <c r="V9" s="107">
        <v>0.35</v>
      </c>
      <c r="W9" s="107">
        <v>-0.1</v>
      </c>
      <c r="X9" s="107">
        <v>-0.05</v>
      </c>
      <c r="Y9" s="107">
        <v>0.0</v>
      </c>
      <c r="Z9" s="107">
        <v>0.0</v>
      </c>
      <c r="AA9" s="107">
        <v>0.35</v>
      </c>
      <c r="AB9" s="107">
        <v>-0.1</v>
      </c>
      <c r="AC9" s="107">
        <v>0.05</v>
      </c>
      <c r="AK9" s="64"/>
      <c r="AL9" s="64"/>
      <c r="BJ9" s="37" t="b">
        <f t="shared" ref="BJ9:BJ11" si="2">TRUE()</f>
        <v>1</v>
      </c>
      <c r="BK9" s="37">
        <v>10.0</v>
      </c>
      <c r="BL9" s="37" t="s">
        <v>3223</v>
      </c>
      <c r="BM9" s="37">
        <v>7.0</v>
      </c>
      <c r="BN9" s="37" t="s">
        <v>61</v>
      </c>
    </row>
    <row r="10" ht="18.75" customHeight="1">
      <c r="A10" s="19" t="s">
        <v>3224</v>
      </c>
      <c r="B10" s="106" t="s">
        <v>3200</v>
      </c>
      <c r="C10" s="107">
        <v>0.3</v>
      </c>
      <c r="D10" s="37">
        <v>1.0</v>
      </c>
      <c r="E10" s="37">
        <v>1.0</v>
      </c>
      <c r="F10" s="37" t="s">
        <v>3201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07">
        <v>0.0</v>
      </c>
      <c r="W10" s="107">
        <v>0.1</v>
      </c>
      <c r="X10" s="107">
        <v>0.0</v>
      </c>
      <c r="Y10" s="107">
        <v>0.0</v>
      </c>
      <c r="Z10" s="107">
        <v>0.1</v>
      </c>
      <c r="AA10" s="107">
        <v>0.0</v>
      </c>
      <c r="AB10" s="107">
        <v>0.1</v>
      </c>
      <c r="AC10" s="107">
        <v>0.0</v>
      </c>
      <c r="AK10" s="64"/>
      <c r="AL10" s="64"/>
      <c r="BJ10" s="37" t="b">
        <f t="shared" si="2"/>
        <v>1</v>
      </c>
      <c r="BK10" s="37">
        <v>2.0</v>
      </c>
      <c r="BL10" s="37" t="s">
        <v>3225</v>
      </c>
      <c r="BM10" s="37">
        <v>12.0</v>
      </c>
      <c r="BN10" s="37" t="s">
        <v>3226</v>
      </c>
      <c r="BO10" s="37" t="s">
        <v>3204</v>
      </c>
      <c r="BQ10" s="37" t="s">
        <v>3226</v>
      </c>
      <c r="BT10" s="108" t="s">
        <v>3204</v>
      </c>
      <c r="BU10" s="108"/>
      <c r="BV10" s="108"/>
      <c r="BW10" s="108"/>
    </row>
    <row r="11" ht="18.75" customHeight="1">
      <c r="A11" s="19" t="s">
        <v>62</v>
      </c>
      <c r="B11" s="106" t="s">
        <v>3227</v>
      </c>
      <c r="C11" s="107">
        <v>0.5</v>
      </c>
      <c r="D11" s="37">
        <v>4.0</v>
      </c>
      <c r="E11" s="37">
        <v>2.0</v>
      </c>
      <c r="F11" s="37" t="s">
        <v>3201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07">
        <v>-0.05</v>
      </c>
      <c r="W11" s="107">
        <v>0.05</v>
      </c>
      <c r="X11" s="107">
        <v>-0.1</v>
      </c>
      <c r="Y11" s="107">
        <v>0.0</v>
      </c>
      <c r="Z11" s="107">
        <v>0.3</v>
      </c>
      <c r="AA11" s="107">
        <v>-0.05</v>
      </c>
      <c r="AB11" s="107">
        <v>0.05</v>
      </c>
      <c r="AC11" s="107">
        <v>0.05</v>
      </c>
      <c r="AK11" s="64">
        <v>-10.0</v>
      </c>
      <c r="AL11" s="64">
        <v>-10.0</v>
      </c>
      <c r="AS11" s="37">
        <v>-10.0</v>
      </c>
      <c r="BJ11" s="37" t="b">
        <f t="shared" si="2"/>
        <v>1</v>
      </c>
      <c r="BK11" s="37">
        <v>11.0</v>
      </c>
      <c r="BL11" s="37" t="s">
        <v>3228</v>
      </c>
      <c r="BM11" s="37">
        <v>7.0</v>
      </c>
      <c r="BN11" s="37" t="s">
        <v>3229</v>
      </c>
      <c r="BO11" s="37" t="s">
        <v>3204</v>
      </c>
      <c r="BT11" s="108" t="s">
        <v>3204</v>
      </c>
      <c r="BU11" s="108"/>
      <c r="BV11" s="108"/>
      <c r="BW11" s="108"/>
    </row>
    <row r="12" ht="18.75" customHeight="1">
      <c r="A12" s="19" t="s">
        <v>63</v>
      </c>
      <c r="B12" s="106" t="s">
        <v>3230</v>
      </c>
      <c r="C12" s="107">
        <v>0.65</v>
      </c>
      <c r="D12" s="37">
        <v>4.0</v>
      </c>
      <c r="E12" s="37">
        <v>3.0</v>
      </c>
      <c r="F12" s="37" t="s">
        <v>3201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07">
        <v>0.1</v>
      </c>
      <c r="W12" s="107">
        <v>0.0</v>
      </c>
      <c r="X12" s="107">
        <v>0.0</v>
      </c>
      <c r="Y12" s="107">
        <v>0.0</v>
      </c>
      <c r="Z12" s="107">
        <v>0.0</v>
      </c>
      <c r="AA12" s="107">
        <v>0.3</v>
      </c>
      <c r="AB12" s="107">
        <v>0.0</v>
      </c>
      <c r="AC12" s="107">
        <v>0.1</v>
      </c>
      <c r="AK12" s="64">
        <v>-25.0</v>
      </c>
      <c r="AL12" s="64">
        <v>-15.0</v>
      </c>
      <c r="AS12" s="37">
        <v>10.0</v>
      </c>
      <c r="BO12" s="37" t="s">
        <v>3231</v>
      </c>
      <c r="BQ12" s="37" t="s">
        <v>3232</v>
      </c>
      <c r="BT12" s="108" t="s">
        <v>3231</v>
      </c>
      <c r="BU12" s="108"/>
      <c r="BV12" s="108"/>
      <c r="BW12" s="108"/>
    </row>
    <row r="13" ht="18.75" customHeight="1">
      <c r="A13" s="19" t="s">
        <v>3233</v>
      </c>
      <c r="B13" s="106" t="s">
        <v>3230</v>
      </c>
      <c r="C13" s="107">
        <v>0.65</v>
      </c>
      <c r="D13" s="37">
        <v>4.0</v>
      </c>
      <c r="E13" s="37">
        <v>3.0</v>
      </c>
      <c r="F13" s="37" t="s">
        <v>3201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07">
        <v>0.1</v>
      </c>
      <c r="W13" s="107">
        <v>0.0</v>
      </c>
      <c r="X13" s="107">
        <v>0.0</v>
      </c>
      <c r="Y13" s="107">
        <v>0.0</v>
      </c>
      <c r="Z13" s="107">
        <v>0.0</v>
      </c>
      <c r="AA13" s="107">
        <v>0.3</v>
      </c>
      <c r="AB13" s="107">
        <v>0.0</v>
      </c>
      <c r="AC13" s="107">
        <v>0.1</v>
      </c>
      <c r="AK13" s="64">
        <v>-25.0</v>
      </c>
      <c r="AL13" s="64">
        <v>-15.0</v>
      </c>
      <c r="AS13" s="37">
        <v>10.0</v>
      </c>
      <c r="BT13" s="108" t="s">
        <v>3231</v>
      </c>
      <c r="BU13" s="108"/>
      <c r="BV13" s="108"/>
      <c r="BW13" s="108"/>
    </row>
    <row r="14" ht="18.75" customHeight="1">
      <c r="A14" s="19" t="s">
        <v>64</v>
      </c>
      <c r="B14" s="106" t="s">
        <v>3234</v>
      </c>
      <c r="C14" s="107">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07">
        <v>-0.1</v>
      </c>
      <c r="W14" s="107">
        <v>-0.05</v>
      </c>
      <c r="X14" s="107">
        <v>0.05</v>
      </c>
      <c r="Y14" s="107">
        <v>0.1</v>
      </c>
      <c r="Z14" s="107">
        <v>0.05</v>
      </c>
      <c r="AA14" s="107">
        <v>-0.2</v>
      </c>
      <c r="AB14" s="107">
        <v>0.3</v>
      </c>
      <c r="AC14" s="107">
        <v>0.05</v>
      </c>
      <c r="AK14" s="64"/>
      <c r="AL14" s="64"/>
      <c r="AS14" s="37">
        <v>15.0</v>
      </c>
      <c r="BO14" s="37" t="s">
        <v>3231</v>
      </c>
      <c r="BQ14" s="37" t="s">
        <v>3235</v>
      </c>
    </row>
    <row r="15" ht="18.75" customHeight="1">
      <c r="A15" s="19" t="s">
        <v>65</v>
      </c>
      <c r="B15" s="106" t="s">
        <v>3236</v>
      </c>
      <c r="C15" s="107">
        <v>0.9</v>
      </c>
      <c r="D15" s="37">
        <v>6.0</v>
      </c>
      <c r="E15" s="37">
        <v>1.0</v>
      </c>
      <c r="F15" s="37" t="s">
        <v>3201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07">
        <v>0.0</v>
      </c>
      <c r="W15" s="107">
        <v>0.0</v>
      </c>
      <c r="X15" s="107">
        <v>0.0</v>
      </c>
      <c r="Y15" s="107">
        <v>0.0</v>
      </c>
      <c r="Z15" s="107">
        <v>0.0</v>
      </c>
      <c r="AA15" s="107">
        <v>-0.3</v>
      </c>
      <c r="AB15" s="107">
        <v>0.25</v>
      </c>
      <c r="AC15" s="107">
        <v>0.0</v>
      </c>
      <c r="AK15" s="64"/>
      <c r="AL15" s="64"/>
      <c r="AS15" s="64">
        <v>45.0</v>
      </c>
      <c r="BO15" s="37" t="s">
        <v>3231</v>
      </c>
      <c r="BQ15" s="37" t="s">
        <v>3237</v>
      </c>
      <c r="BU15" s="39" t="s">
        <v>3238</v>
      </c>
      <c r="BV15" s="39">
        <v>1.0</v>
      </c>
      <c r="BW15" s="39"/>
    </row>
    <row r="16" ht="18.75" customHeight="1">
      <c r="A16" s="19" t="s">
        <v>66</v>
      </c>
      <c r="B16" s="106" t="s">
        <v>3239</v>
      </c>
      <c r="C16" s="107">
        <v>0.65</v>
      </c>
      <c r="D16" s="37">
        <v>3.0</v>
      </c>
      <c r="E16" s="37">
        <v>1.0</v>
      </c>
      <c r="F16" s="37" t="s">
        <v>3201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07">
        <v>-0.05</v>
      </c>
      <c r="W16" s="107">
        <v>0.05</v>
      </c>
      <c r="X16" s="107">
        <v>0.25</v>
      </c>
      <c r="Y16" s="107">
        <v>0.0</v>
      </c>
      <c r="Z16" s="107">
        <v>0.0</v>
      </c>
      <c r="AA16" s="107">
        <v>-0.05</v>
      </c>
      <c r="AB16" s="107">
        <v>0.1</v>
      </c>
      <c r="AC16" s="107">
        <v>0.1</v>
      </c>
      <c r="AK16" s="64">
        <v>-15.0</v>
      </c>
      <c r="AL16" s="64">
        <v>-10.0</v>
      </c>
      <c r="BJ16" s="37" t="b">
        <f t="shared" ref="BJ16:BJ17" si="3">TRUE()</f>
        <v>1</v>
      </c>
      <c r="BK16" s="37">
        <v>6.0</v>
      </c>
      <c r="BL16" s="37" t="s">
        <v>3240</v>
      </c>
      <c r="BM16" s="37">
        <v>6.0</v>
      </c>
      <c r="BN16" s="37" t="s">
        <v>3241</v>
      </c>
      <c r="BO16" s="37" t="s">
        <v>3204</v>
      </c>
      <c r="BQ16" s="37" t="s">
        <v>3241</v>
      </c>
      <c r="BT16" s="108" t="s">
        <v>3204</v>
      </c>
      <c r="BU16" s="108"/>
      <c r="BV16" s="108"/>
      <c r="BW16" s="108"/>
    </row>
    <row r="17" ht="18.75" customHeight="1">
      <c r="A17" s="19" t="s">
        <v>67</v>
      </c>
      <c r="B17" s="106" t="s">
        <v>3242</v>
      </c>
      <c r="C17" s="107">
        <v>0.95</v>
      </c>
      <c r="D17" s="37">
        <v>6.0</v>
      </c>
      <c r="E17" s="37">
        <v>2.0</v>
      </c>
      <c r="F17" s="37" t="s">
        <v>3201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07">
        <v>0.0</v>
      </c>
      <c r="W17" s="107">
        <v>0.0</v>
      </c>
      <c r="X17" s="107">
        <v>0.0</v>
      </c>
      <c r="Y17" s="107">
        <v>0.4</v>
      </c>
      <c r="Z17" s="107">
        <v>0.1</v>
      </c>
      <c r="AA17" s="107">
        <v>-0.3</v>
      </c>
      <c r="AB17" s="107">
        <v>0.3</v>
      </c>
      <c r="AC17" s="107">
        <v>0.15</v>
      </c>
      <c r="AK17" s="64"/>
      <c r="AL17" s="64"/>
      <c r="BB17" s="37">
        <v>50.0</v>
      </c>
      <c r="BJ17" s="37" t="b">
        <f t="shared" si="3"/>
        <v>1</v>
      </c>
      <c r="BK17" s="37">
        <v>7.0</v>
      </c>
      <c r="BL17" s="37" t="s">
        <v>3243</v>
      </c>
      <c r="BM17" s="37">
        <v>4.0</v>
      </c>
      <c r="BN17" s="37" t="s">
        <v>3244</v>
      </c>
      <c r="BO17" s="37" t="s">
        <v>3204</v>
      </c>
    </row>
    <row r="18" ht="18.75" customHeight="1">
      <c r="A18" s="19" t="s">
        <v>68</v>
      </c>
      <c r="B18" s="106" t="s">
        <v>3245</v>
      </c>
      <c r="C18" s="107">
        <v>0.9</v>
      </c>
      <c r="D18" s="37">
        <v>3.0</v>
      </c>
      <c r="E18" s="37">
        <v>2.0</v>
      </c>
      <c r="F18" s="37" t="s">
        <v>3246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07">
        <v>0.0</v>
      </c>
      <c r="W18" s="107">
        <v>0.0</v>
      </c>
      <c r="X18" s="107">
        <v>0.0</v>
      </c>
      <c r="Y18" s="107">
        <v>0.0</v>
      </c>
      <c r="Z18" s="107">
        <v>0.0</v>
      </c>
      <c r="AA18" s="107">
        <v>0.0</v>
      </c>
      <c r="AB18" s="107">
        <v>0.0</v>
      </c>
      <c r="AC18" s="107">
        <v>0.0</v>
      </c>
      <c r="AK18" s="64">
        <v>-30.0</v>
      </c>
      <c r="AL18" s="64">
        <v>-30.0</v>
      </c>
      <c r="BR18" s="37">
        <v>0.1</v>
      </c>
      <c r="BS18" s="37" t="s">
        <v>2580</v>
      </c>
    </row>
    <row r="19" ht="18.75" customHeight="1">
      <c r="A19" s="19" t="s">
        <v>69</v>
      </c>
      <c r="B19" s="106" t="s">
        <v>3247</v>
      </c>
      <c r="C19" s="107">
        <v>0.9</v>
      </c>
      <c r="D19" s="37">
        <v>4.0</v>
      </c>
      <c r="E19" s="37">
        <v>0.0</v>
      </c>
      <c r="F19" s="37" t="s">
        <v>3201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07">
        <v>0.0</v>
      </c>
      <c r="W19" s="107">
        <v>0.0</v>
      </c>
      <c r="X19" s="107">
        <v>0.0</v>
      </c>
      <c r="Y19" s="107">
        <v>0.0</v>
      </c>
      <c r="Z19" s="107">
        <v>0.0</v>
      </c>
      <c r="AA19" s="107">
        <v>0.0</v>
      </c>
      <c r="AB19" s="107">
        <v>0.0</v>
      </c>
      <c r="AC19" s="107">
        <v>0.0</v>
      </c>
      <c r="AK19" s="64"/>
      <c r="AL19" s="64">
        <v>-15.0</v>
      </c>
      <c r="AS19" s="64">
        <v>20.0</v>
      </c>
      <c r="BF19" s="37">
        <v>50.0</v>
      </c>
      <c r="BT19" s="108" t="s">
        <v>3231</v>
      </c>
      <c r="BU19" s="108"/>
      <c r="BV19" s="108"/>
      <c r="BW19" s="108"/>
    </row>
    <row r="20" ht="18.75" customHeight="1">
      <c r="A20" s="19"/>
      <c r="B20" s="106"/>
      <c r="C20" s="107"/>
      <c r="V20" s="107"/>
      <c r="W20" s="107"/>
      <c r="X20" s="107"/>
      <c r="Y20" s="107"/>
      <c r="Z20" s="107"/>
      <c r="AA20" s="107"/>
      <c r="AB20" s="107"/>
      <c r="AC20" s="107"/>
      <c r="AK20" s="64"/>
      <c r="AL20" s="64"/>
      <c r="AS20" s="64"/>
    </row>
    <row r="21" ht="18.75" customHeight="1">
      <c r="A21" s="19" t="s">
        <v>3248</v>
      </c>
      <c r="B21" s="106"/>
      <c r="C21" s="107"/>
      <c r="G21" s="37">
        <v>15.0</v>
      </c>
      <c r="H21" s="37">
        <v>15.0</v>
      </c>
      <c r="V21" s="107"/>
      <c r="W21" s="107"/>
      <c r="X21" s="107"/>
      <c r="Y21" s="107"/>
      <c r="Z21" s="107"/>
      <c r="AA21" s="107"/>
      <c r="AB21" s="107"/>
      <c r="AC21" s="107"/>
      <c r="AK21" s="64"/>
      <c r="AL21" s="64"/>
      <c r="AS21" s="64"/>
      <c r="BE21" s="37">
        <v>5.0</v>
      </c>
      <c r="BG21" s="37">
        <v>10.0</v>
      </c>
      <c r="BT21" s="108" t="s">
        <v>3231</v>
      </c>
      <c r="BU21" s="108" t="s">
        <v>3249</v>
      </c>
      <c r="BV21" s="108">
        <v>1.0</v>
      </c>
      <c r="BW21" s="108"/>
    </row>
    <row r="22" ht="18.75" customHeight="1">
      <c r="A22" s="19" t="s">
        <v>3250</v>
      </c>
      <c r="B22" s="106"/>
      <c r="C22" s="107">
        <v>0.3</v>
      </c>
      <c r="S22" s="37">
        <v>40.0</v>
      </c>
      <c r="V22" s="107"/>
      <c r="W22" s="107"/>
      <c r="X22" s="107"/>
      <c r="Y22" s="107"/>
      <c r="Z22" s="107"/>
      <c r="AA22" s="107"/>
      <c r="AB22" s="107"/>
      <c r="AC22" s="107"/>
      <c r="AK22" s="64"/>
      <c r="AL22" s="64"/>
      <c r="AS22" s="64"/>
      <c r="BU22" s="39" t="s">
        <v>3251</v>
      </c>
      <c r="BV22" s="39">
        <v>1.0</v>
      </c>
      <c r="BW22" s="39"/>
    </row>
    <row r="23" ht="18.75" customHeight="1">
      <c r="A23" s="19" t="s">
        <v>3252</v>
      </c>
      <c r="B23" s="106"/>
      <c r="C23" s="107">
        <v>0.15</v>
      </c>
      <c r="T23" s="39">
        <v>0.0</v>
      </c>
      <c r="V23" s="107"/>
      <c r="W23" s="107"/>
      <c r="X23" s="107"/>
      <c r="Y23" s="107"/>
      <c r="Z23" s="107"/>
      <c r="AA23" s="107"/>
      <c r="AB23" s="107"/>
      <c r="AC23" s="107"/>
      <c r="AK23" s="64"/>
      <c r="AL23" s="64"/>
      <c r="AS23" s="64"/>
      <c r="BU23" s="39" t="s">
        <v>3251</v>
      </c>
      <c r="BV23" s="39">
        <v>1.0</v>
      </c>
      <c r="BW23" s="39"/>
    </row>
    <row r="24" ht="18.75" customHeight="1">
      <c r="A24" s="19" t="s">
        <v>3253</v>
      </c>
      <c r="B24" s="106"/>
      <c r="C24" s="107">
        <v>0.15</v>
      </c>
      <c r="U24" s="39">
        <v>0.0</v>
      </c>
      <c r="V24" s="107"/>
      <c r="W24" s="107"/>
      <c r="X24" s="107"/>
      <c r="Y24" s="107"/>
      <c r="Z24" s="107"/>
      <c r="AA24" s="107"/>
      <c r="AB24" s="107"/>
      <c r="AC24" s="107"/>
      <c r="AK24" s="64"/>
      <c r="AL24" s="64"/>
      <c r="AS24" s="64"/>
      <c r="BU24" s="39" t="s">
        <v>3251</v>
      </c>
      <c r="BV24" s="39">
        <v>2.0</v>
      </c>
      <c r="BW24" s="39"/>
    </row>
    <row r="25" ht="18.75" customHeight="1">
      <c r="A25" s="19" t="s">
        <v>3254</v>
      </c>
      <c r="B25" s="106"/>
      <c r="C25" s="107">
        <v>0.1</v>
      </c>
      <c r="G25" s="37">
        <v>20.0</v>
      </c>
      <c r="J25" s="37">
        <v>10.0</v>
      </c>
      <c r="V25" s="107"/>
      <c r="W25" s="107"/>
      <c r="X25" s="107"/>
      <c r="Y25" s="107"/>
      <c r="Z25" s="107"/>
      <c r="AA25" s="107">
        <v>0.25</v>
      </c>
      <c r="AB25" s="107">
        <v>0.25</v>
      </c>
      <c r="AC25" s="107"/>
      <c r="AK25" s="64"/>
      <c r="AL25" s="64"/>
      <c r="AS25" s="64"/>
      <c r="BG25" s="37">
        <v>5.0</v>
      </c>
    </row>
    <row r="26" ht="18.75" customHeight="1">
      <c r="A26" s="19" t="s">
        <v>3255</v>
      </c>
      <c r="B26" s="106"/>
      <c r="C26" s="107"/>
      <c r="G26" s="37">
        <v>-15.0</v>
      </c>
      <c r="H26" s="37">
        <v>-15.0</v>
      </c>
      <c r="I26" s="37">
        <v>-15.0</v>
      </c>
      <c r="J26" s="37">
        <v>-15.0</v>
      </c>
      <c r="K26" s="37">
        <v>-15.0</v>
      </c>
      <c r="L26" s="39">
        <v>0.0</v>
      </c>
      <c r="M26" s="39">
        <v>0.0</v>
      </c>
      <c r="N26" s="37">
        <v>-15.0</v>
      </c>
      <c r="O26" s="37">
        <v>-15.0</v>
      </c>
      <c r="P26" s="39">
        <v>0.0</v>
      </c>
      <c r="Q26" s="39">
        <v>0.0</v>
      </c>
      <c r="R26" s="39">
        <v>0.0</v>
      </c>
      <c r="S26" s="37">
        <v>-15.0</v>
      </c>
      <c r="T26" s="39">
        <v>0.0</v>
      </c>
      <c r="V26" s="107"/>
      <c r="W26" s="107"/>
      <c r="X26" s="107"/>
      <c r="Y26" s="107"/>
      <c r="Z26" s="107"/>
      <c r="AA26" s="107"/>
      <c r="AB26" s="107"/>
      <c r="AC26" s="107"/>
      <c r="AK26" s="64"/>
      <c r="AL26" s="64"/>
      <c r="AS26" s="64"/>
      <c r="BF26" s="37">
        <v>20.0</v>
      </c>
    </row>
    <row r="27" ht="18.75" customHeight="1">
      <c r="A27" s="19"/>
      <c r="B27" s="106"/>
      <c r="C27" s="107"/>
      <c r="V27" s="107"/>
      <c r="W27" s="107"/>
      <c r="X27" s="107"/>
      <c r="Y27" s="107"/>
      <c r="Z27" s="107"/>
      <c r="AA27" s="107"/>
      <c r="AB27" s="107"/>
      <c r="AC27" s="107"/>
      <c r="AK27" s="64"/>
      <c r="AL27" s="64"/>
      <c r="AS27" s="64"/>
    </row>
    <row r="28" ht="18.75" customHeight="1">
      <c r="A28" s="24"/>
      <c r="B28" s="109"/>
    </row>
    <row r="29" ht="18.75" customHeight="1">
      <c r="A29" s="24" t="s">
        <v>3256</v>
      </c>
      <c r="B29" s="109" t="s">
        <v>3257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3258</v>
      </c>
      <c r="B30" s="106" t="s">
        <v>3259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3260</v>
      </c>
      <c r="B31" s="106" t="s">
        <v>3261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3262</v>
      </c>
      <c r="B32" s="110" t="s">
        <v>3263</v>
      </c>
    </row>
    <row r="33" ht="18.75" customHeight="1">
      <c r="A33" s="28" t="s">
        <v>3264</v>
      </c>
      <c r="B33" s="110" t="s">
        <v>3265</v>
      </c>
    </row>
    <row r="34" ht="18.75" customHeight="1">
      <c r="A34" s="28" t="s">
        <v>3266</v>
      </c>
      <c r="B34" s="110" t="s">
        <v>3267</v>
      </c>
    </row>
    <row r="35" ht="18.75" customHeight="1">
      <c r="A35" s="28" t="s">
        <v>3268</v>
      </c>
      <c r="B35" s="110" t="s">
        <v>3269</v>
      </c>
    </row>
    <row r="36" ht="18.75" customHeight="1">
      <c r="A36" s="28" t="s">
        <v>3270</v>
      </c>
      <c r="B36" s="110" t="s">
        <v>3271</v>
      </c>
      <c r="BJ36" s="39" t="b">
        <v>0</v>
      </c>
      <c r="BM36" s="39">
        <v>0.0</v>
      </c>
      <c r="BT36" s="39" t="s">
        <v>2630</v>
      </c>
      <c r="BV36" s="39">
        <v>0.0</v>
      </c>
      <c r="BW36" s="39" t="s">
        <v>3272</v>
      </c>
    </row>
    <row r="37" ht="18.75" customHeight="1">
      <c r="A37" s="28" t="s">
        <v>3273</v>
      </c>
      <c r="B37" s="110" t="s">
        <v>3274</v>
      </c>
      <c r="BJ37" s="39" t="b">
        <v>0</v>
      </c>
      <c r="BM37" s="39">
        <v>0.0</v>
      </c>
      <c r="BT37" s="39" t="s">
        <v>2630</v>
      </c>
      <c r="BV37" s="39">
        <v>0.0</v>
      </c>
      <c r="BW37" s="39" t="s">
        <v>3275</v>
      </c>
    </row>
    <row r="38" ht="18.75" customHeight="1">
      <c r="A38" s="28" t="s">
        <v>3276</v>
      </c>
      <c r="B38" s="110" t="s">
        <v>3277</v>
      </c>
      <c r="BJ38" s="39" t="b">
        <v>0</v>
      </c>
      <c r="BM38" s="39">
        <v>0.0</v>
      </c>
      <c r="BT38" s="39" t="s">
        <v>2630</v>
      </c>
      <c r="BV38" s="39">
        <v>0.0</v>
      </c>
      <c r="BW38" s="39" t="s">
        <v>3278</v>
      </c>
    </row>
    <row r="39" ht="18.75" customHeight="1">
      <c r="A39" s="28" t="s">
        <v>3279</v>
      </c>
      <c r="B39" s="110" t="s">
        <v>3280</v>
      </c>
      <c r="BJ39" s="39" t="b">
        <v>0</v>
      </c>
      <c r="BM39" s="39">
        <v>0.0</v>
      </c>
      <c r="BT39" s="39" t="s">
        <v>2630</v>
      </c>
      <c r="BV39" s="39">
        <v>0.0</v>
      </c>
      <c r="BW39" s="39" t="s">
        <v>3281</v>
      </c>
    </row>
    <row r="40" ht="18.75" customHeight="1">
      <c r="A40" s="28" t="s">
        <v>3282</v>
      </c>
      <c r="B40" s="110" t="s">
        <v>3283</v>
      </c>
      <c r="BJ40" s="39" t="b">
        <v>0</v>
      </c>
      <c r="BM40" s="39">
        <v>0.0</v>
      </c>
      <c r="BT40" s="39" t="s">
        <v>2630</v>
      </c>
      <c r="BV40" s="39">
        <v>0.0</v>
      </c>
      <c r="BW40" s="39" t="s">
        <v>3284</v>
      </c>
    </row>
    <row r="41" ht="18.75" customHeight="1">
      <c r="A41" s="28" t="s">
        <v>3285</v>
      </c>
      <c r="B41" s="110" t="s">
        <v>3286</v>
      </c>
      <c r="BJ41" s="39" t="b">
        <v>0</v>
      </c>
      <c r="BM41" s="39">
        <v>0.0</v>
      </c>
      <c r="BT41" s="39" t="s">
        <v>2630</v>
      </c>
      <c r="BV41" s="39">
        <v>0.0</v>
      </c>
      <c r="BW41" s="39" t="s">
        <v>3287</v>
      </c>
    </row>
    <row r="42" ht="18.75" customHeight="1">
      <c r="A42" s="24"/>
      <c r="B42" s="109"/>
    </row>
    <row r="43" ht="18.75" customHeight="1">
      <c r="A43" s="24"/>
      <c r="B43" s="109"/>
    </row>
    <row r="44" ht="18.75" customHeight="1">
      <c r="A44" s="24"/>
      <c r="B44" s="109"/>
    </row>
    <row r="45" ht="18.75" customHeight="1">
      <c r="A45" s="24"/>
      <c r="B45" s="109"/>
    </row>
    <row r="46" ht="18.75" customHeight="1">
      <c r="A46" s="24"/>
      <c r="B46" s="109"/>
    </row>
    <row r="47" ht="18.75" customHeight="1">
      <c r="A47" s="24"/>
      <c r="B47" s="109"/>
    </row>
    <row r="48" ht="18.75" customHeight="1">
      <c r="A48" s="24"/>
      <c r="B48" s="109"/>
    </row>
    <row r="49" ht="18.75" customHeight="1">
      <c r="A49" s="24"/>
      <c r="B49" s="109"/>
    </row>
    <row r="50" ht="18.75" customHeight="1">
      <c r="A50" s="24"/>
      <c r="B50" s="109"/>
    </row>
    <row r="51" ht="18.75" customHeight="1">
      <c r="A51" s="24"/>
      <c r="B51" s="109"/>
    </row>
    <row r="52" ht="18.75" customHeight="1">
      <c r="A52" s="24"/>
      <c r="B52" s="109"/>
    </row>
    <row r="53" ht="18.75" customHeight="1">
      <c r="A53" s="24"/>
      <c r="B53" s="109"/>
    </row>
    <row r="54" ht="18.75" customHeight="1">
      <c r="A54" s="24"/>
      <c r="B54" s="109"/>
    </row>
    <row r="55" ht="18.75" customHeight="1">
      <c r="A55" s="24"/>
      <c r="B55" s="109"/>
    </row>
    <row r="56" ht="18.75" customHeight="1">
      <c r="A56" s="24"/>
      <c r="B56" s="109"/>
    </row>
    <row r="57" ht="18.75" customHeight="1">
      <c r="A57" s="24"/>
      <c r="B57" s="109"/>
    </row>
    <row r="58" ht="18.75" customHeight="1">
      <c r="A58" s="24"/>
      <c r="B58" s="109"/>
    </row>
    <row r="59" ht="18.75" customHeight="1">
      <c r="A59" s="24"/>
      <c r="B59" s="109"/>
    </row>
    <row r="60" ht="18.75" customHeight="1">
      <c r="A60" s="24"/>
      <c r="B60" s="109"/>
    </row>
    <row r="61" ht="18.75" customHeight="1">
      <c r="A61" s="24"/>
      <c r="B61" s="109"/>
    </row>
    <row r="62" ht="18.75" customHeight="1">
      <c r="A62" s="24"/>
      <c r="B62" s="109"/>
    </row>
    <row r="63" ht="18.75" customHeight="1">
      <c r="A63" s="24"/>
      <c r="B63" s="109"/>
    </row>
    <row r="64" ht="18.75" customHeight="1">
      <c r="A64" s="24"/>
      <c r="B64" s="109"/>
    </row>
    <row r="65" ht="18.75" customHeight="1">
      <c r="A65" s="24"/>
      <c r="B65" s="109"/>
    </row>
    <row r="66" ht="18.75" customHeight="1">
      <c r="A66" s="24"/>
      <c r="B66" s="109"/>
    </row>
    <row r="67" ht="18.75" customHeight="1">
      <c r="A67" s="24"/>
      <c r="B67" s="109"/>
    </row>
    <row r="68" ht="18.75" customHeight="1">
      <c r="A68" s="24"/>
      <c r="B68" s="109"/>
    </row>
    <row r="69" ht="18.75" customHeight="1">
      <c r="A69" s="24"/>
      <c r="B69" s="109"/>
    </row>
    <row r="70" ht="18.75" customHeight="1">
      <c r="A70" s="24"/>
      <c r="B70" s="109"/>
    </row>
    <row r="71" ht="18.75" customHeight="1">
      <c r="A71" s="24"/>
      <c r="B71" s="109"/>
    </row>
    <row r="72" ht="18.75" customHeight="1">
      <c r="A72" s="24"/>
      <c r="B72" s="109"/>
    </row>
    <row r="73" ht="18.75" customHeight="1">
      <c r="A73" s="24"/>
      <c r="B73" s="109"/>
    </row>
    <row r="74" ht="18.75" customHeight="1">
      <c r="A74" s="24"/>
      <c r="B74" s="109"/>
    </row>
    <row r="75" ht="18.75" customHeight="1">
      <c r="A75" s="24"/>
      <c r="B75" s="109"/>
    </row>
    <row r="76" ht="18.75" customHeight="1">
      <c r="A76" s="24"/>
      <c r="B76" s="109"/>
    </row>
    <row r="77" ht="18.75" customHeight="1">
      <c r="A77" s="24"/>
      <c r="B77" s="109"/>
    </row>
    <row r="78" ht="18.75" customHeight="1">
      <c r="A78" s="24"/>
      <c r="B78" s="109"/>
    </row>
    <row r="79" ht="18.75" customHeight="1">
      <c r="A79" s="24"/>
      <c r="B79" s="109"/>
    </row>
    <row r="80" ht="18.75" customHeight="1">
      <c r="A80" s="24"/>
      <c r="B80" s="109"/>
    </row>
    <row r="81" ht="18.75" customHeight="1">
      <c r="A81" s="24"/>
      <c r="B81" s="109"/>
    </row>
    <row r="82" ht="18.75" customHeight="1">
      <c r="A82" s="24"/>
      <c r="B82" s="109"/>
    </row>
    <row r="83" ht="18.75" customHeight="1">
      <c r="A83" s="24"/>
      <c r="B83" s="109"/>
    </row>
    <row r="84" ht="18.75" customHeight="1">
      <c r="A84" s="24"/>
      <c r="B84" s="109"/>
    </row>
    <row r="85" ht="18.75" customHeight="1">
      <c r="A85" s="24"/>
      <c r="B85" s="109"/>
    </row>
    <row r="86" ht="18.75" customHeight="1">
      <c r="A86" s="24"/>
      <c r="B86" s="109"/>
    </row>
    <row r="87" ht="18.75" customHeight="1">
      <c r="A87" s="24"/>
      <c r="B87" s="109"/>
    </row>
    <row r="88" ht="18.75" customHeight="1">
      <c r="A88" s="24"/>
      <c r="B88" s="109"/>
    </row>
    <row r="89" ht="18.75" customHeight="1">
      <c r="A89" s="24"/>
      <c r="B89" s="109"/>
    </row>
    <row r="90" ht="18.75" customHeight="1">
      <c r="A90" s="24"/>
      <c r="B90" s="109"/>
    </row>
    <row r="91" ht="18.75" customHeight="1">
      <c r="A91" s="24"/>
      <c r="B91" s="109"/>
    </row>
    <row r="92" ht="18.75" customHeight="1">
      <c r="A92" s="24"/>
      <c r="B92" s="109"/>
    </row>
    <row r="93" ht="18.75" customHeight="1">
      <c r="A93" s="24"/>
      <c r="B93" s="109"/>
    </row>
    <row r="94" ht="18.75" customHeight="1">
      <c r="A94" s="24"/>
      <c r="B94" s="109"/>
    </row>
    <row r="95" ht="18.75" customHeight="1">
      <c r="A95" s="24"/>
      <c r="B95" s="109"/>
    </row>
    <row r="96" ht="18.75" customHeight="1">
      <c r="A96" s="24"/>
      <c r="B96" s="109"/>
    </row>
    <row r="97" ht="18.75" customHeight="1">
      <c r="A97" s="24"/>
      <c r="B97" s="109"/>
    </row>
    <row r="98" ht="18.75" customHeight="1">
      <c r="A98" s="24"/>
      <c r="B98" s="109"/>
    </row>
    <row r="99" ht="18.75" customHeight="1">
      <c r="A99" s="24"/>
      <c r="B99" s="109"/>
    </row>
    <row r="100" ht="18.75" customHeight="1">
      <c r="A100" s="24"/>
      <c r="B100" s="109"/>
    </row>
    <row r="101" ht="18.75" customHeight="1">
      <c r="A101" s="24"/>
      <c r="B101" s="109"/>
    </row>
    <row r="102" ht="18.75" customHeight="1">
      <c r="A102" s="24"/>
      <c r="B102" s="109"/>
    </row>
    <row r="103" ht="18.75" customHeight="1">
      <c r="A103" s="24"/>
      <c r="B103" s="109"/>
    </row>
    <row r="104" ht="18.75" customHeight="1">
      <c r="A104" s="24"/>
      <c r="B104" s="109"/>
    </row>
    <row r="105" ht="18.75" customHeight="1">
      <c r="A105" s="24"/>
      <c r="B105" s="109"/>
    </row>
    <row r="106" ht="18.75" customHeight="1">
      <c r="A106" s="24"/>
      <c r="B106" s="109"/>
    </row>
    <row r="107" ht="18.75" customHeight="1">
      <c r="A107" s="24"/>
      <c r="B107" s="109"/>
    </row>
    <row r="108" ht="18.75" customHeight="1">
      <c r="A108" s="24"/>
      <c r="B108" s="109"/>
    </row>
    <row r="109" ht="18.75" customHeight="1">
      <c r="A109" s="24"/>
      <c r="B109" s="109"/>
    </row>
    <row r="110" ht="18.75" customHeight="1">
      <c r="A110" s="24"/>
      <c r="B110" s="109"/>
    </row>
    <row r="111" ht="18.75" customHeight="1">
      <c r="A111" s="24"/>
      <c r="B111" s="109"/>
    </row>
    <row r="112" ht="18.75" customHeight="1">
      <c r="A112" s="24"/>
      <c r="B112" s="109"/>
    </row>
    <row r="113" ht="18.75" customHeight="1">
      <c r="A113" s="24"/>
      <c r="B113" s="109"/>
    </row>
    <row r="114" ht="18.75" customHeight="1">
      <c r="A114" s="24"/>
      <c r="B114" s="109"/>
    </row>
    <row r="115" ht="18.75" customHeight="1">
      <c r="A115" s="24"/>
      <c r="B115" s="109"/>
    </row>
    <row r="116" ht="18.75" customHeight="1">
      <c r="A116" s="24"/>
      <c r="B116" s="109"/>
    </row>
    <row r="117" ht="18.75" customHeight="1">
      <c r="A117" s="24"/>
      <c r="B117" s="109"/>
    </row>
    <row r="118" ht="18.75" customHeight="1">
      <c r="A118" s="24"/>
      <c r="B118" s="109"/>
    </row>
    <row r="119" ht="18.75" customHeight="1">
      <c r="A119" s="24"/>
      <c r="B119" s="109"/>
    </row>
    <row r="120" ht="18.75" customHeight="1">
      <c r="A120" s="24"/>
      <c r="B120" s="109"/>
    </row>
    <row r="121" ht="18.75" customHeight="1">
      <c r="A121" s="24"/>
      <c r="B121" s="109"/>
    </row>
    <row r="122" ht="18.75" customHeight="1">
      <c r="A122" s="24"/>
      <c r="B122" s="109"/>
    </row>
    <row r="123" ht="18.75" customHeight="1">
      <c r="A123" s="24"/>
      <c r="B123" s="109"/>
    </row>
    <row r="124" ht="18.75" customHeight="1">
      <c r="A124" s="24"/>
      <c r="B124" s="109"/>
    </row>
    <row r="125" ht="18.75" customHeight="1">
      <c r="A125" s="24"/>
      <c r="B125" s="109"/>
    </row>
    <row r="126" ht="18.75" customHeight="1">
      <c r="A126" s="24"/>
      <c r="B126" s="109"/>
    </row>
    <row r="127" ht="18.75" customHeight="1">
      <c r="A127" s="24"/>
      <c r="B127" s="109"/>
    </row>
    <row r="128" ht="18.75" customHeight="1">
      <c r="A128" s="24"/>
      <c r="B128" s="109"/>
    </row>
    <row r="129" ht="18.75" customHeight="1">
      <c r="A129" s="24"/>
      <c r="B129" s="109"/>
    </row>
    <row r="130" ht="18.75" customHeight="1">
      <c r="A130" s="24"/>
      <c r="B130" s="109"/>
    </row>
    <row r="131" ht="18.75" customHeight="1">
      <c r="A131" s="24"/>
      <c r="B131" s="109"/>
    </row>
    <row r="132" ht="18.75" customHeight="1">
      <c r="A132" s="24"/>
      <c r="B132" s="109"/>
    </row>
    <row r="133" ht="18.75" customHeight="1">
      <c r="A133" s="24"/>
      <c r="B133" s="109"/>
    </row>
    <row r="134" ht="18.75" customHeight="1">
      <c r="A134" s="24"/>
      <c r="B134" s="109"/>
    </row>
    <row r="135" ht="18.75" customHeight="1">
      <c r="A135" s="24"/>
      <c r="B135" s="109"/>
    </row>
    <row r="136" ht="18.75" customHeight="1">
      <c r="A136" s="24"/>
      <c r="B136" s="109"/>
    </row>
    <row r="137" ht="18.75" customHeight="1">
      <c r="A137" s="24"/>
      <c r="B137" s="109"/>
    </row>
    <row r="138" ht="18.75" customHeight="1">
      <c r="A138" s="24"/>
      <c r="B138" s="109"/>
    </row>
    <row r="139" ht="18.75" customHeight="1">
      <c r="A139" s="24"/>
      <c r="B139" s="109"/>
    </row>
    <row r="140" ht="18.75" customHeight="1">
      <c r="A140" s="24"/>
      <c r="B140" s="109"/>
    </row>
    <row r="141" ht="18.75" customHeight="1">
      <c r="A141" s="24"/>
      <c r="B141" s="109"/>
    </row>
    <row r="142" ht="18.75" customHeight="1">
      <c r="A142" s="24"/>
      <c r="B142" s="109"/>
    </row>
    <row r="143" ht="18.75" customHeight="1">
      <c r="A143" s="24"/>
      <c r="B143" s="109"/>
    </row>
    <row r="144" ht="18.75" customHeight="1">
      <c r="A144" s="24"/>
      <c r="B144" s="109"/>
    </row>
    <row r="145" ht="18.75" customHeight="1">
      <c r="A145" s="24"/>
      <c r="B145" s="109"/>
    </row>
    <row r="146" ht="18.75" customHeight="1">
      <c r="A146" s="24"/>
      <c r="B146" s="109"/>
    </row>
    <row r="147" ht="18.75" customHeight="1">
      <c r="A147" s="24"/>
      <c r="B147" s="109"/>
    </row>
    <row r="148" ht="18.75" customHeight="1">
      <c r="A148" s="24"/>
      <c r="B148" s="109"/>
    </row>
    <row r="149" ht="18.75" customHeight="1">
      <c r="A149" s="24"/>
      <c r="B149" s="109"/>
    </row>
    <row r="150" ht="18.75" customHeight="1">
      <c r="A150" s="24"/>
      <c r="B150" s="109"/>
    </row>
    <row r="151" ht="18.75" customHeight="1">
      <c r="A151" s="24"/>
      <c r="B151" s="109"/>
    </row>
    <row r="152" ht="18.75" customHeight="1">
      <c r="A152" s="24"/>
      <c r="B152" s="109"/>
    </row>
    <row r="153" ht="18.75" customHeight="1">
      <c r="A153" s="24"/>
      <c r="B153" s="109"/>
    </row>
    <row r="154" ht="18.75" customHeight="1">
      <c r="A154" s="24"/>
      <c r="B154" s="109"/>
    </row>
    <row r="155" ht="18.75" customHeight="1">
      <c r="A155" s="24"/>
      <c r="B155" s="109"/>
    </row>
    <row r="156" ht="18.75" customHeight="1">
      <c r="A156" s="24"/>
      <c r="B156" s="109"/>
    </row>
    <row r="157" ht="18.75" customHeight="1">
      <c r="A157" s="24"/>
      <c r="B157" s="109"/>
    </row>
    <row r="158" ht="18.75" customHeight="1">
      <c r="A158" s="24"/>
      <c r="B158" s="109"/>
    </row>
    <row r="159" ht="18.75" customHeight="1">
      <c r="A159" s="24"/>
      <c r="B159" s="109"/>
    </row>
    <row r="160" ht="18.75" customHeight="1">
      <c r="A160" s="24"/>
      <c r="B160" s="109"/>
    </row>
    <row r="161" ht="18.75" customHeight="1">
      <c r="A161" s="24"/>
      <c r="B161" s="109"/>
    </row>
    <row r="162" ht="18.75" customHeight="1">
      <c r="A162" s="24"/>
      <c r="B162" s="109"/>
    </row>
    <row r="163" ht="18.75" customHeight="1">
      <c r="A163" s="24"/>
      <c r="B163" s="109"/>
    </row>
    <row r="164" ht="18.75" customHeight="1">
      <c r="A164" s="24"/>
      <c r="B164" s="109"/>
    </row>
    <row r="165" ht="18.75" customHeight="1">
      <c r="A165" s="24"/>
      <c r="B165" s="109"/>
    </row>
    <row r="166" ht="18.75" customHeight="1">
      <c r="A166" s="24"/>
      <c r="B166" s="109"/>
    </row>
    <row r="167" ht="18.75" customHeight="1">
      <c r="A167" s="24"/>
      <c r="B167" s="109"/>
    </row>
    <row r="168" ht="18.75" customHeight="1">
      <c r="A168" s="24"/>
      <c r="B168" s="109"/>
    </row>
    <row r="169" ht="18.75" customHeight="1">
      <c r="A169" s="24"/>
      <c r="B169" s="109"/>
    </row>
    <row r="170" ht="18.75" customHeight="1">
      <c r="A170" s="24"/>
      <c r="B170" s="109"/>
    </row>
    <row r="171" ht="18.75" customHeight="1">
      <c r="A171" s="24"/>
      <c r="B171" s="109"/>
    </row>
    <row r="172" ht="18.75" customHeight="1">
      <c r="A172" s="24"/>
      <c r="B172" s="109"/>
    </row>
    <row r="173" ht="18.75" customHeight="1">
      <c r="A173" s="24"/>
      <c r="B173" s="109"/>
    </row>
    <row r="174" ht="18.75" customHeight="1">
      <c r="A174" s="24"/>
      <c r="B174" s="109"/>
    </row>
    <row r="175" ht="18.75" customHeight="1">
      <c r="A175" s="24"/>
      <c r="B175" s="109"/>
    </row>
    <row r="176" ht="18.75" customHeight="1">
      <c r="A176" s="24"/>
      <c r="B176" s="109"/>
    </row>
    <row r="177" ht="18.75" customHeight="1">
      <c r="A177" s="24"/>
      <c r="B177" s="109"/>
    </row>
    <row r="178" ht="18.75" customHeight="1">
      <c r="A178" s="24"/>
      <c r="B178" s="109"/>
    </row>
    <row r="179" ht="18.75" customHeight="1">
      <c r="A179" s="24"/>
      <c r="B179" s="109"/>
    </row>
    <row r="180" ht="18.75" customHeight="1">
      <c r="A180" s="24"/>
      <c r="B180" s="109"/>
    </row>
    <row r="181" ht="18.75" customHeight="1">
      <c r="A181" s="24"/>
      <c r="B181" s="109"/>
    </row>
    <row r="182" ht="18.75" customHeight="1">
      <c r="A182" s="24"/>
      <c r="B182" s="109"/>
    </row>
    <row r="183" ht="18.75" customHeight="1">
      <c r="A183" s="24"/>
      <c r="B183" s="109"/>
    </row>
    <row r="184" ht="18.75" customHeight="1">
      <c r="A184" s="24"/>
      <c r="B184" s="109"/>
    </row>
    <row r="185" ht="18.75" customHeight="1">
      <c r="A185" s="24"/>
      <c r="B185" s="109"/>
    </row>
    <row r="186" ht="18.75" customHeight="1">
      <c r="A186" s="24"/>
      <c r="B186" s="109"/>
    </row>
    <row r="187" ht="18.75" customHeight="1">
      <c r="A187" s="24"/>
      <c r="B187" s="109"/>
    </row>
    <row r="188" ht="18.75" customHeight="1">
      <c r="A188" s="24"/>
      <c r="B188" s="109"/>
    </row>
    <row r="189" ht="18.75" customHeight="1">
      <c r="A189" s="24"/>
      <c r="B189" s="109"/>
    </row>
    <row r="190" ht="18.75" customHeight="1">
      <c r="A190" s="24"/>
      <c r="B190" s="109"/>
    </row>
    <row r="191" ht="18.75" customHeight="1">
      <c r="A191" s="24"/>
      <c r="B191" s="109"/>
    </row>
    <row r="192" ht="18.75" customHeight="1">
      <c r="A192" s="24"/>
      <c r="B192" s="109"/>
    </row>
    <row r="193" ht="18.75" customHeight="1">
      <c r="A193" s="24"/>
      <c r="B193" s="109"/>
    </row>
    <row r="194" ht="18.75" customHeight="1">
      <c r="A194" s="24"/>
      <c r="B194" s="109"/>
    </row>
    <row r="195" ht="18.75" customHeight="1">
      <c r="A195" s="24"/>
      <c r="B195" s="109"/>
    </row>
    <row r="196" ht="18.75" customHeight="1">
      <c r="A196" s="24"/>
      <c r="B196" s="109"/>
    </row>
    <row r="197" ht="18.75" customHeight="1">
      <c r="A197" s="24"/>
      <c r="B197" s="109"/>
    </row>
    <row r="198" ht="18.75" customHeight="1">
      <c r="A198" s="24"/>
      <c r="B198" s="109"/>
    </row>
    <row r="199" ht="18.75" customHeight="1">
      <c r="A199" s="24"/>
      <c r="B199" s="109"/>
    </row>
    <row r="200" ht="18.75" customHeight="1">
      <c r="A200" s="24"/>
      <c r="B200" s="109"/>
    </row>
    <row r="201" ht="18.75" customHeight="1">
      <c r="A201" s="24"/>
      <c r="B201" s="109"/>
    </row>
    <row r="202" ht="18.75" customHeight="1">
      <c r="A202" s="24"/>
      <c r="B202" s="109"/>
    </row>
    <row r="203" ht="18.75" customHeight="1">
      <c r="A203" s="24"/>
      <c r="B203" s="109"/>
    </row>
    <row r="204" ht="18.75" customHeight="1">
      <c r="A204" s="24"/>
      <c r="B204" s="109"/>
    </row>
    <row r="205" ht="18.75" customHeight="1">
      <c r="A205" s="24"/>
      <c r="B205" s="109"/>
    </row>
    <row r="206" ht="18.75" customHeight="1">
      <c r="A206" s="24"/>
      <c r="B206" s="109"/>
    </row>
    <row r="207" ht="18.75" customHeight="1">
      <c r="A207" s="24"/>
      <c r="B207" s="109"/>
    </row>
    <row r="208" ht="18.75" customHeight="1">
      <c r="A208" s="24"/>
      <c r="B208" s="109"/>
    </row>
    <row r="209" ht="18.75" customHeight="1">
      <c r="A209" s="24"/>
      <c r="B209" s="109"/>
    </row>
    <row r="210" ht="18.75" customHeight="1">
      <c r="A210" s="24"/>
      <c r="B210" s="109"/>
    </row>
    <row r="211" ht="18.75" customHeight="1">
      <c r="A211" s="24"/>
      <c r="B211" s="109"/>
    </row>
    <row r="212" ht="18.75" customHeight="1">
      <c r="A212" s="24"/>
      <c r="B212" s="109"/>
    </row>
    <row r="213" ht="18.75" customHeight="1">
      <c r="A213" s="24"/>
      <c r="B213" s="109"/>
    </row>
    <row r="214" ht="18.75" customHeight="1">
      <c r="A214" s="24"/>
      <c r="B214" s="109"/>
    </row>
    <row r="215" ht="18.75" customHeight="1">
      <c r="A215" s="24"/>
      <c r="B215" s="109"/>
    </row>
    <row r="216" ht="18.75" customHeight="1">
      <c r="A216" s="24"/>
      <c r="B216" s="109"/>
    </row>
    <row r="217" ht="18.75" customHeight="1">
      <c r="A217" s="24"/>
      <c r="B217" s="109"/>
    </row>
    <row r="218" ht="18.75" customHeight="1">
      <c r="A218" s="24"/>
      <c r="B218" s="109"/>
    </row>
    <row r="219" ht="18.75" customHeight="1">
      <c r="A219" s="24"/>
      <c r="B219" s="109"/>
    </row>
    <row r="220" ht="18.75" customHeight="1">
      <c r="A220" s="24"/>
      <c r="B220" s="109"/>
    </row>
    <row r="221" ht="18.75" customHeight="1">
      <c r="A221" s="24"/>
      <c r="B221" s="109"/>
    </row>
    <row r="222" ht="18.75" customHeight="1">
      <c r="A222" s="24"/>
      <c r="B222" s="109"/>
    </row>
    <row r="223" ht="18.75" customHeight="1">
      <c r="A223" s="24"/>
      <c r="B223" s="109"/>
    </row>
    <row r="224" ht="18.75" customHeight="1">
      <c r="A224" s="24"/>
      <c r="B224" s="109"/>
    </row>
    <row r="225" ht="18.75" customHeight="1">
      <c r="A225" s="24"/>
      <c r="B225" s="109"/>
    </row>
    <row r="226" ht="18.75" customHeight="1">
      <c r="A226" s="24"/>
      <c r="B226" s="109"/>
    </row>
    <row r="227" ht="18.75" customHeight="1">
      <c r="A227" s="24"/>
      <c r="B227" s="109"/>
    </row>
    <row r="228" ht="18.75" customHeight="1">
      <c r="A228" s="24"/>
      <c r="B228" s="109"/>
    </row>
    <row r="229" ht="18.75" customHeight="1">
      <c r="A229" s="24"/>
      <c r="B229" s="109"/>
    </row>
    <row r="230" ht="18.75" customHeight="1">
      <c r="A230" s="24"/>
      <c r="B230" s="109"/>
    </row>
    <row r="231" ht="18.75" customHeight="1">
      <c r="A231" s="24"/>
      <c r="B231" s="109"/>
    </row>
    <row r="232" ht="18.75" customHeight="1">
      <c r="A232" s="24"/>
      <c r="B232" s="109"/>
    </row>
    <row r="233" ht="18.75" customHeight="1">
      <c r="A233" s="24"/>
      <c r="B233" s="109"/>
    </row>
    <row r="234" ht="18.75" customHeight="1">
      <c r="A234" s="24"/>
      <c r="B234" s="109"/>
    </row>
    <row r="235" ht="18.75" customHeight="1">
      <c r="A235" s="24"/>
      <c r="B235" s="109"/>
    </row>
    <row r="236" ht="18.75" customHeight="1">
      <c r="A236" s="24"/>
      <c r="B236" s="109"/>
    </row>
    <row r="237" ht="18.75" customHeight="1">
      <c r="A237" s="24"/>
      <c r="B237" s="109"/>
    </row>
    <row r="238" ht="18.75" customHeight="1">
      <c r="A238" s="24"/>
      <c r="B238" s="109"/>
    </row>
    <row r="239" ht="18.75" customHeight="1">
      <c r="A239" s="24"/>
      <c r="B239" s="109"/>
    </row>
    <row r="240" ht="18.75" customHeight="1">
      <c r="A240" s="24"/>
      <c r="B240" s="109"/>
    </row>
    <row r="241" ht="18.75" customHeight="1">
      <c r="A241" s="24"/>
      <c r="B241" s="109"/>
    </row>
    <row r="242" ht="18.75" customHeight="1">
      <c r="A242" s="24"/>
      <c r="B242" s="109"/>
    </row>
    <row r="243" ht="18.75" customHeight="1">
      <c r="A243" s="24"/>
      <c r="B243" s="109"/>
    </row>
    <row r="244" ht="18.75" customHeight="1">
      <c r="A244" s="24"/>
      <c r="B244" s="109"/>
    </row>
    <row r="245" ht="18.75" customHeight="1">
      <c r="A245" s="24"/>
      <c r="B245" s="109"/>
    </row>
    <row r="246" ht="18.75" customHeight="1">
      <c r="A246" s="24"/>
      <c r="B246" s="109"/>
    </row>
    <row r="247" ht="18.75" customHeight="1">
      <c r="A247" s="24"/>
      <c r="B247" s="109"/>
    </row>
    <row r="248" ht="18.75" customHeight="1">
      <c r="A248" s="24"/>
      <c r="B248" s="109"/>
    </row>
    <row r="249" ht="18.75" customHeight="1">
      <c r="A249" s="24"/>
      <c r="B249" s="109"/>
    </row>
    <row r="250" ht="18.75" customHeight="1">
      <c r="A250" s="24"/>
      <c r="B250" s="109"/>
    </row>
    <row r="251" ht="18.75" customHeight="1">
      <c r="A251" s="24"/>
      <c r="B251" s="109"/>
    </row>
    <row r="252" ht="18.75" customHeight="1">
      <c r="A252" s="24"/>
      <c r="B252" s="109"/>
    </row>
    <row r="253" ht="18.75" customHeight="1">
      <c r="A253" s="24"/>
      <c r="B253" s="109"/>
    </row>
    <row r="254" ht="18.75" customHeight="1">
      <c r="A254" s="24"/>
      <c r="B254" s="109"/>
    </row>
    <row r="255" ht="18.75" customHeight="1">
      <c r="A255" s="24"/>
      <c r="B255" s="109"/>
    </row>
    <row r="256" ht="18.75" customHeight="1">
      <c r="A256" s="24"/>
      <c r="B256" s="109"/>
    </row>
    <row r="257" ht="18.75" customHeight="1">
      <c r="A257" s="24"/>
      <c r="B257" s="109"/>
    </row>
    <row r="258" ht="18.75" customHeight="1">
      <c r="A258" s="24"/>
      <c r="B258" s="109"/>
    </row>
    <row r="259" ht="18.75" customHeight="1">
      <c r="A259" s="24"/>
      <c r="B259" s="109"/>
    </row>
    <row r="260" ht="18.75" customHeight="1">
      <c r="A260" s="24"/>
      <c r="B260" s="109"/>
    </row>
    <row r="261" ht="18.75" customHeight="1">
      <c r="A261" s="24"/>
      <c r="B261" s="109"/>
    </row>
    <row r="262" ht="18.75" customHeight="1">
      <c r="A262" s="24"/>
      <c r="B262" s="109"/>
    </row>
    <row r="263" ht="18.75" customHeight="1">
      <c r="A263" s="24"/>
      <c r="B263" s="109"/>
    </row>
    <row r="264" ht="18.75" customHeight="1">
      <c r="A264" s="24"/>
      <c r="B264" s="109"/>
    </row>
    <row r="265" ht="18.75" customHeight="1">
      <c r="A265" s="24"/>
      <c r="B265" s="109"/>
    </row>
    <row r="266" ht="18.75" customHeight="1">
      <c r="A266" s="24"/>
      <c r="B266" s="109"/>
    </row>
    <row r="267" ht="18.75" customHeight="1">
      <c r="A267" s="24"/>
      <c r="B267" s="109"/>
    </row>
    <row r="268" ht="18.75" customHeight="1">
      <c r="A268" s="24"/>
      <c r="B268" s="109"/>
    </row>
    <row r="269" ht="18.75" customHeight="1">
      <c r="A269" s="24"/>
      <c r="B269" s="109"/>
    </row>
    <row r="270" ht="18.75" customHeight="1">
      <c r="A270" s="24"/>
      <c r="B270" s="109"/>
    </row>
    <row r="271" ht="18.75" customHeight="1">
      <c r="A271" s="24"/>
      <c r="B271" s="109"/>
    </row>
    <row r="272" ht="18.75" customHeight="1">
      <c r="A272" s="24"/>
      <c r="B272" s="109"/>
    </row>
    <row r="273" ht="18.75" customHeight="1">
      <c r="A273" s="24"/>
      <c r="B273" s="109"/>
    </row>
    <row r="274" ht="18.75" customHeight="1">
      <c r="A274" s="24"/>
      <c r="B274" s="109"/>
    </row>
    <row r="275" ht="18.75" customHeight="1">
      <c r="A275" s="24"/>
      <c r="B275" s="109"/>
    </row>
    <row r="276" ht="18.75" customHeight="1">
      <c r="A276" s="24"/>
      <c r="B276" s="109"/>
    </row>
    <row r="277" ht="18.75" customHeight="1">
      <c r="A277" s="24"/>
      <c r="B277" s="109"/>
    </row>
    <row r="278" ht="18.75" customHeight="1">
      <c r="A278" s="24"/>
      <c r="B278" s="109"/>
    </row>
    <row r="279" ht="18.75" customHeight="1">
      <c r="A279" s="24"/>
      <c r="B279" s="109"/>
    </row>
    <row r="280" ht="18.75" customHeight="1">
      <c r="A280" s="24"/>
      <c r="B280" s="109"/>
    </row>
    <row r="281" ht="18.75" customHeight="1">
      <c r="A281" s="24"/>
      <c r="B281" s="109"/>
    </row>
    <row r="282" ht="18.75" customHeight="1">
      <c r="A282" s="24"/>
      <c r="B282" s="109"/>
    </row>
    <row r="283" ht="18.75" customHeight="1">
      <c r="A283" s="24"/>
      <c r="B283" s="109"/>
    </row>
    <row r="284" ht="18.75" customHeight="1">
      <c r="A284" s="24"/>
      <c r="B284" s="109"/>
    </row>
    <row r="285" ht="18.75" customHeight="1">
      <c r="A285" s="24"/>
      <c r="B285" s="109"/>
    </row>
    <row r="286" ht="18.75" customHeight="1">
      <c r="A286" s="24"/>
      <c r="B286" s="109"/>
    </row>
    <row r="287" ht="18.75" customHeight="1">
      <c r="A287" s="24"/>
      <c r="B287" s="109"/>
    </row>
    <row r="288" ht="18.75" customHeight="1">
      <c r="A288" s="24"/>
      <c r="B288" s="109"/>
    </row>
    <row r="289" ht="18.75" customHeight="1">
      <c r="A289" s="24"/>
      <c r="B289" s="109"/>
    </row>
    <row r="290" ht="18.75" customHeight="1">
      <c r="A290" s="24"/>
      <c r="B290" s="109"/>
    </row>
    <row r="291" ht="18.75" customHeight="1">
      <c r="A291" s="24"/>
      <c r="B291" s="109"/>
    </row>
    <row r="292" ht="18.75" customHeight="1">
      <c r="A292" s="24"/>
      <c r="B292" s="109"/>
    </row>
    <row r="293" ht="18.75" customHeight="1">
      <c r="A293" s="24"/>
      <c r="B293" s="109"/>
    </row>
    <row r="294" ht="18.75" customHeight="1">
      <c r="A294" s="24"/>
      <c r="B294" s="109"/>
    </row>
    <row r="295" ht="18.75" customHeight="1">
      <c r="A295" s="24"/>
      <c r="B295" s="109"/>
    </row>
    <row r="296" ht="18.75" customHeight="1">
      <c r="A296" s="24"/>
      <c r="B296" s="109"/>
    </row>
    <row r="297" ht="18.75" customHeight="1">
      <c r="A297" s="24"/>
      <c r="B297" s="109"/>
    </row>
    <row r="298" ht="18.75" customHeight="1">
      <c r="A298" s="24"/>
      <c r="B298" s="109"/>
    </row>
    <row r="299" ht="18.75" customHeight="1">
      <c r="A299" s="24"/>
      <c r="B299" s="109"/>
    </row>
    <row r="300" ht="18.75" customHeight="1">
      <c r="A300" s="24"/>
      <c r="B300" s="109"/>
    </row>
    <row r="301" ht="18.75" customHeight="1">
      <c r="A301" s="24"/>
      <c r="B301" s="109"/>
    </row>
    <row r="302" ht="18.75" customHeight="1">
      <c r="A302" s="24"/>
      <c r="B302" s="109"/>
    </row>
    <row r="303" ht="18.75" customHeight="1">
      <c r="A303" s="24"/>
      <c r="B303" s="109"/>
    </row>
    <row r="304" ht="18.75" customHeight="1">
      <c r="A304" s="24"/>
      <c r="B304" s="109"/>
    </row>
    <row r="305" ht="18.75" customHeight="1">
      <c r="A305" s="24"/>
      <c r="B305" s="109"/>
    </row>
    <row r="306" ht="18.75" customHeight="1">
      <c r="A306" s="24"/>
      <c r="B306" s="109"/>
    </row>
    <row r="307" ht="18.75" customHeight="1">
      <c r="A307" s="24"/>
      <c r="B307" s="109"/>
    </row>
    <row r="308" ht="18.75" customHeight="1">
      <c r="A308" s="24"/>
      <c r="B308" s="109"/>
    </row>
    <row r="309" ht="18.75" customHeight="1">
      <c r="A309" s="24"/>
      <c r="B309" s="109"/>
    </row>
    <row r="310" ht="18.75" customHeight="1">
      <c r="A310" s="24"/>
      <c r="B310" s="109"/>
    </row>
    <row r="311" ht="18.75" customHeight="1">
      <c r="A311" s="24"/>
      <c r="B311" s="109"/>
    </row>
    <row r="312" ht="18.75" customHeight="1">
      <c r="A312" s="24"/>
      <c r="B312" s="109"/>
    </row>
    <row r="313" ht="18.75" customHeight="1">
      <c r="A313" s="24"/>
      <c r="B313" s="109"/>
    </row>
    <row r="314" ht="18.75" customHeight="1">
      <c r="A314" s="24"/>
      <c r="B314" s="109"/>
    </row>
    <row r="315" ht="18.75" customHeight="1">
      <c r="A315" s="24"/>
      <c r="B315" s="109"/>
    </row>
    <row r="316" ht="18.75" customHeight="1">
      <c r="A316" s="24"/>
      <c r="B316" s="109"/>
    </row>
    <row r="317" ht="18.75" customHeight="1">
      <c r="A317" s="24"/>
      <c r="B317" s="109"/>
    </row>
    <row r="318" ht="18.75" customHeight="1">
      <c r="A318" s="24"/>
      <c r="B318" s="109"/>
    </row>
    <row r="319" ht="18.75" customHeight="1">
      <c r="A319" s="24"/>
      <c r="B319" s="109"/>
    </row>
    <row r="320" ht="18.75" customHeight="1">
      <c r="A320" s="24"/>
      <c r="B320" s="109"/>
    </row>
    <row r="321" ht="18.75" customHeight="1">
      <c r="A321" s="24"/>
      <c r="B321" s="109"/>
    </row>
    <row r="322" ht="18.75" customHeight="1">
      <c r="A322" s="24"/>
      <c r="B322" s="109"/>
    </row>
    <row r="323" ht="18.75" customHeight="1">
      <c r="A323" s="24"/>
      <c r="B323" s="109"/>
    </row>
    <row r="324" ht="18.75" customHeight="1">
      <c r="A324" s="24"/>
      <c r="B324" s="109"/>
    </row>
    <row r="325" ht="18.75" customHeight="1">
      <c r="A325" s="24"/>
      <c r="B325" s="109"/>
    </row>
    <row r="326" ht="18.75" customHeight="1">
      <c r="A326" s="24"/>
      <c r="B326" s="109"/>
    </row>
    <row r="327" ht="18.75" customHeight="1">
      <c r="A327" s="24"/>
      <c r="B327" s="109"/>
    </row>
    <row r="328" ht="18.75" customHeight="1">
      <c r="A328" s="24"/>
      <c r="B328" s="109"/>
    </row>
    <row r="329" ht="18.75" customHeight="1">
      <c r="A329" s="24"/>
      <c r="B329" s="109"/>
    </row>
    <row r="330" ht="18.75" customHeight="1">
      <c r="A330" s="24"/>
      <c r="B330" s="109"/>
    </row>
    <row r="331" ht="18.75" customHeight="1">
      <c r="A331" s="24"/>
      <c r="B331" s="109"/>
    </row>
    <row r="332" ht="18.75" customHeight="1">
      <c r="A332" s="24"/>
      <c r="B332" s="109"/>
    </row>
    <row r="333" ht="18.75" customHeight="1">
      <c r="A333" s="24"/>
      <c r="B333" s="109"/>
    </row>
    <row r="334" ht="18.75" customHeight="1">
      <c r="A334" s="24"/>
      <c r="B334" s="109"/>
    </row>
    <row r="335" ht="18.75" customHeight="1">
      <c r="A335" s="24"/>
      <c r="B335" s="109"/>
    </row>
    <row r="336" ht="18.75" customHeight="1">
      <c r="A336" s="24"/>
      <c r="B336" s="109"/>
    </row>
    <row r="337" ht="18.75" customHeight="1">
      <c r="A337" s="24"/>
      <c r="B337" s="109"/>
    </row>
    <row r="338" ht="18.75" customHeight="1">
      <c r="A338" s="24"/>
      <c r="B338" s="109"/>
    </row>
    <row r="339" ht="18.75" customHeight="1">
      <c r="A339" s="24"/>
      <c r="B339" s="109"/>
    </row>
    <row r="340" ht="18.75" customHeight="1">
      <c r="A340" s="24"/>
      <c r="B340" s="109"/>
    </row>
    <row r="341" ht="18.75" customHeight="1">
      <c r="A341" s="24"/>
      <c r="B341" s="109"/>
    </row>
    <row r="342" ht="18.75" customHeight="1">
      <c r="A342" s="24"/>
      <c r="B342" s="109"/>
    </row>
    <row r="343" ht="18.75" customHeight="1">
      <c r="A343" s="24"/>
      <c r="B343" s="109"/>
    </row>
    <row r="344" ht="18.75" customHeight="1">
      <c r="A344" s="24"/>
      <c r="B344" s="109"/>
    </row>
    <row r="345" ht="18.75" customHeight="1">
      <c r="A345" s="24"/>
      <c r="B345" s="109"/>
    </row>
    <row r="346" ht="18.75" customHeight="1">
      <c r="A346" s="24"/>
      <c r="B346" s="109"/>
    </row>
    <row r="347" ht="18.75" customHeight="1">
      <c r="A347" s="24"/>
      <c r="B347" s="109"/>
    </row>
    <row r="348" ht="18.75" customHeight="1">
      <c r="A348" s="24"/>
      <c r="B348" s="109"/>
    </row>
    <row r="349" ht="18.75" customHeight="1">
      <c r="A349" s="24"/>
      <c r="B349" s="109"/>
    </row>
    <row r="350" ht="18.75" customHeight="1">
      <c r="A350" s="24"/>
      <c r="B350" s="109"/>
    </row>
    <row r="351" ht="18.75" customHeight="1">
      <c r="A351" s="24"/>
      <c r="B351" s="109"/>
    </row>
    <row r="352" ht="18.75" customHeight="1">
      <c r="A352" s="24"/>
      <c r="B352" s="109"/>
    </row>
    <row r="353" ht="18.75" customHeight="1">
      <c r="A353" s="24"/>
      <c r="B353" s="109"/>
    </row>
    <row r="354" ht="18.75" customHeight="1">
      <c r="A354" s="24"/>
      <c r="B354" s="109"/>
    </row>
    <row r="355" ht="18.75" customHeight="1">
      <c r="A355" s="24"/>
      <c r="B355" s="109"/>
    </row>
    <row r="356" ht="18.75" customHeight="1">
      <c r="A356" s="24"/>
      <c r="B356" s="109"/>
    </row>
    <row r="357" ht="18.75" customHeight="1">
      <c r="A357" s="24"/>
      <c r="B357" s="109"/>
    </row>
    <row r="358" ht="18.75" customHeight="1">
      <c r="A358" s="24"/>
      <c r="B358" s="109"/>
    </row>
    <row r="359" ht="18.75" customHeight="1">
      <c r="A359" s="24"/>
      <c r="B359" s="109"/>
    </row>
    <row r="360" ht="18.75" customHeight="1">
      <c r="A360" s="24"/>
      <c r="B360" s="109"/>
    </row>
    <row r="361" ht="18.75" customHeight="1">
      <c r="A361" s="24"/>
      <c r="B361" s="109"/>
    </row>
    <row r="362" ht="18.75" customHeight="1">
      <c r="A362" s="24"/>
      <c r="B362" s="109"/>
    </row>
    <row r="363" ht="18.75" customHeight="1">
      <c r="A363" s="24"/>
      <c r="B363" s="109"/>
    </row>
    <row r="364" ht="18.75" customHeight="1">
      <c r="A364" s="24"/>
      <c r="B364" s="109"/>
    </row>
    <row r="365" ht="18.75" customHeight="1">
      <c r="A365" s="24"/>
      <c r="B365" s="109"/>
    </row>
    <row r="366" ht="18.75" customHeight="1">
      <c r="A366" s="24"/>
      <c r="B366" s="109"/>
    </row>
    <row r="367" ht="18.75" customHeight="1">
      <c r="A367" s="24"/>
      <c r="B367" s="109"/>
    </row>
    <row r="368" ht="18.75" customHeight="1">
      <c r="A368" s="24"/>
      <c r="B368" s="109"/>
    </row>
    <row r="369" ht="18.75" customHeight="1">
      <c r="A369" s="24"/>
      <c r="B369" s="109"/>
    </row>
    <row r="370" ht="18.75" customHeight="1">
      <c r="A370" s="24"/>
      <c r="B370" s="109"/>
    </row>
    <row r="371" ht="18.75" customHeight="1">
      <c r="A371" s="24"/>
      <c r="B371" s="109"/>
    </row>
    <row r="372" ht="18.75" customHeight="1">
      <c r="A372" s="24"/>
      <c r="B372" s="109"/>
    </row>
    <row r="373" ht="18.75" customHeight="1">
      <c r="A373" s="24"/>
      <c r="B373" s="109"/>
    </row>
    <row r="374" ht="18.75" customHeight="1">
      <c r="A374" s="24"/>
      <c r="B374" s="109"/>
    </row>
    <row r="375" ht="18.75" customHeight="1">
      <c r="A375" s="24"/>
      <c r="B375" s="109"/>
    </row>
    <row r="376" ht="18.75" customHeight="1">
      <c r="A376" s="24"/>
      <c r="B376" s="109"/>
    </row>
    <row r="377" ht="18.75" customHeight="1">
      <c r="A377" s="24"/>
      <c r="B377" s="109"/>
    </row>
    <row r="378" ht="18.75" customHeight="1">
      <c r="A378" s="24"/>
      <c r="B378" s="109"/>
    </row>
    <row r="379" ht="18.75" customHeight="1">
      <c r="A379" s="24"/>
      <c r="B379" s="109"/>
    </row>
    <row r="380" ht="18.75" customHeight="1">
      <c r="A380" s="24"/>
      <c r="B380" s="109"/>
    </row>
    <row r="381" ht="18.75" customHeight="1">
      <c r="A381" s="24"/>
      <c r="B381" s="109"/>
    </row>
    <row r="382" ht="18.75" customHeight="1">
      <c r="A382" s="24"/>
      <c r="B382" s="109"/>
    </row>
    <row r="383" ht="18.75" customHeight="1">
      <c r="A383" s="24"/>
      <c r="B383" s="109"/>
    </row>
    <row r="384" ht="18.75" customHeight="1">
      <c r="A384" s="24"/>
      <c r="B384" s="109"/>
    </row>
    <row r="385" ht="18.75" customHeight="1">
      <c r="A385" s="24"/>
      <c r="B385" s="109"/>
    </row>
    <row r="386" ht="18.75" customHeight="1">
      <c r="A386" s="24"/>
      <c r="B386" s="109"/>
    </row>
    <row r="387" ht="18.75" customHeight="1">
      <c r="A387" s="24"/>
      <c r="B387" s="109"/>
    </row>
    <row r="388" ht="18.75" customHeight="1">
      <c r="A388" s="24"/>
      <c r="B388" s="109"/>
    </row>
    <row r="389" ht="18.75" customHeight="1">
      <c r="A389" s="24"/>
      <c r="B389" s="109"/>
    </row>
    <row r="390" ht="18.75" customHeight="1">
      <c r="A390" s="24"/>
      <c r="B390" s="109"/>
    </row>
    <row r="391" ht="18.75" customHeight="1">
      <c r="A391" s="24"/>
      <c r="B391" s="109"/>
    </row>
    <row r="392" ht="18.75" customHeight="1">
      <c r="A392" s="24"/>
      <c r="B392" s="109"/>
    </row>
    <row r="393" ht="18.75" customHeight="1">
      <c r="A393" s="24"/>
      <c r="B393" s="109"/>
    </row>
    <row r="394" ht="18.75" customHeight="1">
      <c r="A394" s="24"/>
      <c r="B394" s="109"/>
    </row>
    <row r="395" ht="18.75" customHeight="1">
      <c r="A395" s="24"/>
      <c r="B395" s="109"/>
    </row>
    <row r="396" ht="18.75" customHeight="1">
      <c r="A396" s="24"/>
      <c r="B396" s="109"/>
    </row>
    <row r="397" ht="18.75" customHeight="1">
      <c r="A397" s="24"/>
      <c r="B397" s="109"/>
    </row>
    <row r="398" ht="18.75" customHeight="1">
      <c r="A398" s="24"/>
      <c r="B398" s="109"/>
    </row>
    <row r="399" ht="18.75" customHeight="1">
      <c r="A399" s="24"/>
      <c r="B399" s="109"/>
    </row>
    <row r="400" ht="18.75" customHeight="1">
      <c r="A400" s="24"/>
      <c r="B400" s="109"/>
    </row>
    <row r="401" ht="18.75" customHeight="1">
      <c r="A401" s="24"/>
      <c r="B401" s="109"/>
    </row>
    <row r="402" ht="18.75" customHeight="1">
      <c r="A402" s="24"/>
      <c r="B402" s="109"/>
    </row>
    <row r="403" ht="18.75" customHeight="1">
      <c r="A403" s="24"/>
      <c r="B403" s="109"/>
    </row>
    <row r="404" ht="18.75" customHeight="1">
      <c r="A404" s="24"/>
      <c r="B404" s="109"/>
    </row>
    <row r="405" ht="18.75" customHeight="1">
      <c r="A405" s="24"/>
      <c r="B405" s="109"/>
    </row>
    <row r="406" ht="18.75" customHeight="1">
      <c r="A406" s="24"/>
      <c r="B406" s="109"/>
    </row>
    <row r="407" ht="18.75" customHeight="1">
      <c r="A407" s="24"/>
      <c r="B407" s="109"/>
    </row>
    <row r="408" ht="18.75" customHeight="1">
      <c r="A408" s="24"/>
      <c r="B408" s="109"/>
    </row>
    <row r="409" ht="18.75" customHeight="1">
      <c r="A409" s="24"/>
      <c r="B409" s="109"/>
    </row>
    <row r="410" ht="18.75" customHeight="1">
      <c r="A410" s="24"/>
      <c r="B410" s="109"/>
    </row>
    <row r="411" ht="18.75" customHeight="1">
      <c r="A411" s="24"/>
      <c r="B411" s="109"/>
    </row>
    <row r="412" ht="18.75" customHeight="1">
      <c r="A412" s="24"/>
      <c r="B412" s="109"/>
    </row>
    <row r="413" ht="18.75" customHeight="1">
      <c r="A413" s="24"/>
      <c r="B413" s="109"/>
    </row>
    <row r="414" ht="18.75" customHeight="1">
      <c r="A414" s="24"/>
      <c r="B414" s="109"/>
    </row>
    <row r="415" ht="18.75" customHeight="1">
      <c r="A415" s="24"/>
      <c r="B415" s="109"/>
    </row>
    <row r="416" ht="18.75" customHeight="1">
      <c r="A416" s="24"/>
      <c r="B416" s="109"/>
    </row>
    <row r="417" ht="18.75" customHeight="1">
      <c r="A417" s="24"/>
      <c r="B417" s="109"/>
    </row>
    <row r="418" ht="18.75" customHeight="1">
      <c r="A418" s="24"/>
      <c r="B418" s="109"/>
    </row>
    <row r="419" ht="18.75" customHeight="1">
      <c r="A419" s="24"/>
      <c r="B419" s="109"/>
    </row>
    <row r="420" ht="18.75" customHeight="1">
      <c r="A420" s="24"/>
      <c r="B420" s="109"/>
    </row>
    <row r="421" ht="18.75" customHeight="1">
      <c r="A421" s="24"/>
      <c r="B421" s="109"/>
    </row>
    <row r="422" ht="18.75" customHeight="1">
      <c r="A422" s="24"/>
      <c r="B422" s="109"/>
    </row>
    <row r="423" ht="18.75" customHeight="1">
      <c r="A423" s="24"/>
      <c r="B423" s="109"/>
    </row>
    <row r="424" ht="18.75" customHeight="1">
      <c r="A424" s="24"/>
      <c r="B424" s="109"/>
    </row>
    <row r="425" ht="18.75" customHeight="1">
      <c r="A425" s="24"/>
      <c r="B425" s="109"/>
    </row>
    <row r="426" ht="18.75" customHeight="1">
      <c r="A426" s="24"/>
      <c r="B426" s="109"/>
    </row>
    <row r="427" ht="18.75" customHeight="1">
      <c r="A427" s="24"/>
      <c r="B427" s="109"/>
    </row>
    <row r="428" ht="18.75" customHeight="1">
      <c r="A428" s="24"/>
      <c r="B428" s="109"/>
    </row>
    <row r="429" ht="18.75" customHeight="1">
      <c r="A429" s="24"/>
      <c r="B429" s="109"/>
    </row>
    <row r="430" ht="18.75" customHeight="1">
      <c r="A430" s="24"/>
      <c r="B430" s="109"/>
    </row>
    <row r="431" ht="18.75" customHeight="1">
      <c r="A431" s="24"/>
      <c r="B431" s="109"/>
    </row>
    <row r="432" ht="18.75" customHeight="1">
      <c r="A432" s="24"/>
      <c r="B432" s="109"/>
    </row>
    <row r="433" ht="18.75" customHeight="1">
      <c r="A433" s="24"/>
      <c r="B433" s="109"/>
    </row>
    <row r="434" ht="18.75" customHeight="1">
      <c r="A434" s="24"/>
      <c r="B434" s="109"/>
    </row>
    <row r="435" ht="18.75" customHeight="1">
      <c r="A435" s="24"/>
      <c r="B435" s="109"/>
    </row>
    <row r="436" ht="18.75" customHeight="1">
      <c r="A436" s="24"/>
      <c r="B436" s="109"/>
    </row>
    <row r="437" ht="18.75" customHeight="1">
      <c r="A437" s="24"/>
      <c r="B437" s="109"/>
    </row>
    <row r="438" ht="18.75" customHeight="1">
      <c r="A438" s="24"/>
      <c r="B438" s="109"/>
    </row>
    <row r="439" ht="18.75" customHeight="1">
      <c r="A439" s="24"/>
      <c r="B439" s="109"/>
    </row>
    <row r="440" ht="18.75" customHeight="1">
      <c r="A440" s="24"/>
      <c r="B440" s="109"/>
    </row>
    <row r="441" ht="18.75" customHeight="1">
      <c r="A441" s="24"/>
      <c r="B441" s="109"/>
    </row>
    <row r="442" ht="18.75" customHeight="1">
      <c r="A442" s="24"/>
      <c r="B442" s="109"/>
    </row>
    <row r="443" ht="18.75" customHeight="1">
      <c r="A443" s="24"/>
      <c r="B443" s="109"/>
    </row>
    <row r="444" ht="18.75" customHeight="1">
      <c r="A444" s="24"/>
      <c r="B444" s="109"/>
    </row>
    <row r="445" ht="18.75" customHeight="1">
      <c r="A445" s="24"/>
      <c r="B445" s="109"/>
    </row>
    <row r="446" ht="18.75" customHeight="1">
      <c r="A446" s="24"/>
      <c r="B446" s="109"/>
    </row>
    <row r="447" ht="18.75" customHeight="1">
      <c r="A447" s="24"/>
      <c r="B447" s="109"/>
    </row>
    <row r="448" ht="18.75" customHeight="1">
      <c r="A448" s="24"/>
      <c r="B448" s="109"/>
    </row>
    <row r="449" ht="18.75" customHeight="1">
      <c r="A449" s="24"/>
      <c r="B449" s="109"/>
    </row>
    <row r="450" ht="18.75" customHeight="1">
      <c r="A450" s="24"/>
      <c r="B450" s="109"/>
    </row>
    <row r="451" ht="18.75" customHeight="1">
      <c r="A451" s="24"/>
      <c r="B451" s="109"/>
    </row>
    <row r="452" ht="18.75" customHeight="1">
      <c r="A452" s="24"/>
      <c r="B452" s="109"/>
    </row>
    <row r="453" ht="18.75" customHeight="1">
      <c r="A453" s="24"/>
      <c r="B453" s="109"/>
    </row>
    <row r="454" ht="18.75" customHeight="1">
      <c r="A454" s="24"/>
      <c r="B454" s="109"/>
    </row>
    <row r="455" ht="18.75" customHeight="1">
      <c r="A455" s="24"/>
      <c r="B455" s="109"/>
    </row>
    <row r="456" ht="18.75" customHeight="1">
      <c r="A456" s="24"/>
      <c r="B456" s="109"/>
    </row>
    <row r="457" ht="18.75" customHeight="1">
      <c r="A457" s="24"/>
      <c r="B457" s="109"/>
    </row>
    <row r="458" ht="18.75" customHeight="1">
      <c r="A458" s="24"/>
      <c r="B458" s="109"/>
    </row>
    <row r="459" ht="18.75" customHeight="1">
      <c r="A459" s="24"/>
      <c r="B459" s="109"/>
    </row>
    <row r="460" ht="18.75" customHeight="1">
      <c r="A460" s="24"/>
      <c r="B460" s="109"/>
    </row>
    <row r="461" ht="18.75" customHeight="1">
      <c r="A461" s="24"/>
      <c r="B461" s="109"/>
    </row>
    <row r="462" ht="18.75" customHeight="1">
      <c r="A462" s="24"/>
      <c r="B462" s="109"/>
    </row>
    <row r="463" ht="18.75" customHeight="1">
      <c r="A463" s="24"/>
      <c r="B463" s="109"/>
    </row>
    <row r="464" ht="18.75" customHeight="1">
      <c r="A464" s="24"/>
      <c r="B464" s="109"/>
    </row>
    <row r="465" ht="18.75" customHeight="1">
      <c r="A465" s="24"/>
      <c r="B465" s="109"/>
    </row>
    <row r="466" ht="18.75" customHeight="1">
      <c r="A466" s="24"/>
      <c r="B466" s="109"/>
    </row>
    <row r="467" ht="18.75" customHeight="1">
      <c r="A467" s="24"/>
      <c r="B467" s="109"/>
    </row>
    <row r="468" ht="18.75" customHeight="1">
      <c r="A468" s="24"/>
      <c r="B468" s="109"/>
    </row>
    <row r="469" ht="18.75" customHeight="1">
      <c r="A469" s="24"/>
      <c r="B469" s="109"/>
    </row>
    <row r="470" ht="18.75" customHeight="1">
      <c r="A470" s="24"/>
      <c r="B470" s="109"/>
    </row>
    <row r="471" ht="18.75" customHeight="1">
      <c r="A471" s="24"/>
      <c r="B471" s="109"/>
    </row>
    <row r="472" ht="18.75" customHeight="1">
      <c r="A472" s="24"/>
      <c r="B472" s="109"/>
    </row>
    <row r="473" ht="18.75" customHeight="1">
      <c r="A473" s="24"/>
      <c r="B473" s="109"/>
    </row>
    <row r="474" ht="18.75" customHeight="1">
      <c r="A474" s="24"/>
      <c r="B474" s="109"/>
    </row>
    <row r="475" ht="18.75" customHeight="1">
      <c r="A475" s="24"/>
      <c r="B475" s="109"/>
    </row>
    <row r="476" ht="18.75" customHeight="1">
      <c r="A476" s="24"/>
      <c r="B476" s="109"/>
    </row>
    <row r="477" ht="18.75" customHeight="1">
      <c r="A477" s="24"/>
      <c r="B477" s="109"/>
    </row>
    <row r="478" ht="18.75" customHeight="1">
      <c r="A478" s="24"/>
      <c r="B478" s="109"/>
    </row>
    <row r="479" ht="18.75" customHeight="1">
      <c r="A479" s="24"/>
      <c r="B479" s="109"/>
    </row>
    <row r="480" ht="18.75" customHeight="1">
      <c r="A480" s="24"/>
      <c r="B480" s="109"/>
    </row>
    <row r="481" ht="18.75" customHeight="1">
      <c r="A481" s="24"/>
      <c r="B481" s="109"/>
    </row>
    <row r="482" ht="18.75" customHeight="1">
      <c r="A482" s="24"/>
      <c r="B482" s="109"/>
    </row>
    <row r="483" ht="18.75" customHeight="1">
      <c r="A483" s="24"/>
      <c r="B483" s="109"/>
    </row>
    <row r="484" ht="18.75" customHeight="1">
      <c r="A484" s="24"/>
      <c r="B484" s="109"/>
    </row>
    <row r="485" ht="18.75" customHeight="1">
      <c r="A485" s="24"/>
      <c r="B485" s="109"/>
    </row>
    <row r="486" ht="18.75" customHeight="1">
      <c r="A486" s="24"/>
      <c r="B486" s="109"/>
    </row>
    <row r="487" ht="18.75" customHeight="1">
      <c r="A487" s="24"/>
      <c r="B487" s="109"/>
    </row>
    <row r="488" ht="18.75" customHeight="1">
      <c r="A488" s="24"/>
      <c r="B488" s="109"/>
    </row>
    <row r="489" ht="18.75" customHeight="1">
      <c r="A489" s="24"/>
      <c r="B489" s="109"/>
    </row>
    <row r="490" ht="18.75" customHeight="1">
      <c r="A490" s="24"/>
      <c r="B490" s="109"/>
    </row>
    <row r="491" ht="18.75" customHeight="1">
      <c r="A491" s="24"/>
      <c r="B491" s="109"/>
    </row>
    <row r="492" ht="18.75" customHeight="1">
      <c r="A492" s="24"/>
      <c r="B492" s="109"/>
    </row>
    <row r="493" ht="18.75" customHeight="1">
      <c r="A493" s="24"/>
      <c r="B493" s="109"/>
    </row>
    <row r="494" ht="18.75" customHeight="1">
      <c r="A494" s="24"/>
      <c r="B494" s="109"/>
    </row>
    <row r="495" ht="18.75" customHeight="1">
      <c r="A495" s="24"/>
      <c r="B495" s="109"/>
    </row>
    <row r="496" ht="18.75" customHeight="1">
      <c r="A496" s="24"/>
      <c r="B496" s="109"/>
    </row>
    <row r="497" ht="18.75" customHeight="1">
      <c r="A497" s="24"/>
      <c r="B497" s="109"/>
    </row>
    <row r="498" ht="18.75" customHeight="1">
      <c r="A498" s="24"/>
      <c r="B498" s="109"/>
    </row>
    <row r="499" ht="18.75" customHeight="1">
      <c r="A499" s="24"/>
      <c r="B499" s="109"/>
    </row>
    <row r="500" ht="18.75" customHeight="1">
      <c r="A500" s="24"/>
      <c r="B500" s="109"/>
    </row>
    <row r="501" ht="18.75" customHeight="1">
      <c r="A501" s="24"/>
      <c r="B501" s="109"/>
    </row>
    <row r="502" ht="18.75" customHeight="1">
      <c r="A502" s="24"/>
      <c r="B502" s="109"/>
    </row>
    <row r="503" ht="18.75" customHeight="1">
      <c r="A503" s="24"/>
      <c r="B503" s="109"/>
    </row>
    <row r="504" ht="18.75" customHeight="1">
      <c r="A504" s="24"/>
      <c r="B504" s="109"/>
    </row>
    <row r="505" ht="18.75" customHeight="1">
      <c r="A505" s="24"/>
      <c r="B505" s="109"/>
    </row>
    <row r="506" ht="18.75" customHeight="1">
      <c r="A506" s="24"/>
      <c r="B506" s="109"/>
    </row>
    <row r="507" ht="18.75" customHeight="1">
      <c r="A507" s="24"/>
      <c r="B507" s="109"/>
    </row>
    <row r="508" ht="18.75" customHeight="1">
      <c r="A508" s="24"/>
      <c r="B508" s="109"/>
    </row>
    <row r="509" ht="18.75" customHeight="1">
      <c r="A509" s="24"/>
      <c r="B509" s="109"/>
    </row>
    <row r="510" ht="18.75" customHeight="1">
      <c r="A510" s="24"/>
      <c r="B510" s="109"/>
    </row>
    <row r="511" ht="18.75" customHeight="1">
      <c r="A511" s="24"/>
      <c r="B511" s="109"/>
    </row>
    <row r="512" ht="18.75" customHeight="1">
      <c r="A512" s="24"/>
      <c r="B512" s="109"/>
    </row>
    <row r="513" ht="18.75" customHeight="1">
      <c r="A513" s="24"/>
      <c r="B513" s="109"/>
    </row>
    <row r="514" ht="18.75" customHeight="1">
      <c r="A514" s="24"/>
      <c r="B514" s="109"/>
    </row>
    <row r="515" ht="18.75" customHeight="1">
      <c r="A515" s="24"/>
      <c r="B515" s="109"/>
    </row>
    <row r="516" ht="18.75" customHeight="1">
      <c r="A516" s="24"/>
      <c r="B516" s="109"/>
    </row>
    <row r="517" ht="18.75" customHeight="1">
      <c r="A517" s="24"/>
      <c r="B517" s="109"/>
    </row>
    <row r="518" ht="18.75" customHeight="1">
      <c r="A518" s="24"/>
      <c r="B518" s="109"/>
    </row>
    <row r="519" ht="18.75" customHeight="1">
      <c r="A519" s="24"/>
      <c r="B519" s="109"/>
    </row>
    <row r="520" ht="18.75" customHeight="1">
      <c r="A520" s="24"/>
      <c r="B520" s="109"/>
    </row>
    <row r="521" ht="18.75" customHeight="1">
      <c r="A521" s="24"/>
      <c r="B521" s="109"/>
    </row>
    <row r="522" ht="18.75" customHeight="1">
      <c r="A522" s="24"/>
      <c r="B522" s="109"/>
    </row>
    <row r="523" ht="18.75" customHeight="1">
      <c r="A523" s="24"/>
      <c r="B523" s="109"/>
    </row>
    <row r="524" ht="18.75" customHeight="1">
      <c r="A524" s="24"/>
      <c r="B524" s="109"/>
    </row>
    <row r="525" ht="18.75" customHeight="1">
      <c r="A525" s="24"/>
      <c r="B525" s="109"/>
    </row>
    <row r="526" ht="18.75" customHeight="1">
      <c r="A526" s="24"/>
      <c r="B526" s="109"/>
    </row>
    <row r="527" ht="18.75" customHeight="1">
      <c r="A527" s="24"/>
      <c r="B527" s="109"/>
    </row>
    <row r="528" ht="18.75" customHeight="1">
      <c r="A528" s="24"/>
      <c r="B528" s="109"/>
    </row>
    <row r="529" ht="18.75" customHeight="1">
      <c r="A529" s="24"/>
      <c r="B529" s="109"/>
    </row>
    <row r="530" ht="18.75" customHeight="1">
      <c r="A530" s="24"/>
      <c r="B530" s="109"/>
    </row>
    <row r="531" ht="18.75" customHeight="1">
      <c r="A531" s="24"/>
      <c r="B531" s="109"/>
    </row>
    <row r="532" ht="18.75" customHeight="1">
      <c r="A532" s="24"/>
      <c r="B532" s="109"/>
    </row>
    <row r="533" ht="18.75" customHeight="1">
      <c r="A533" s="24"/>
      <c r="B533" s="109"/>
    </row>
    <row r="534" ht="18.75" customHeight="1">
      <c r="A534" s="24"/>
      <c r="B534" s="109"/>
    </row>
    <row r="535" ht="18.75" customHeight="1">
      <c r="A535" s="24"/>
      <c r="B535" s="109"/>
    </row>
    <row r="536" ht="18.75" customHeight="1">
      <c r="A536" s="24"/>
      <c r="B536" s="109"/>
    </row>
    <row r="537" ht="18.75" customHeight="1">
      <c r="A537" s="24"/>
      <c r="B537" s="109"/>
    </row>
    <row r="538" ht="18.75" customHeight="1">
      <c r="A538" s="24"/>
      <c r="B538" s="109"/>
    </row>
    <row r="539" ht="18.75" customHeight="1">
      <c r="A539" s="24"/>
      <c r="B539" s="109"/>
    </row>
    <row r="540" ht="18.75" customHeight="1">
      <c r="A540" s="24"/>
      <c r="B540" s="109"/>
    </row>
    <row r="541" ht="18.75" customHeight="1">
      <c r="A541" s="24"/>
      <c r="B541" s="109"/>
    </row>
    <row r="542" ht="18.75" customHeight="1">
      <c r="A542" s="24"/>
      <c r="B542" s="109"/>
    </row>
    <row r="543" ht="18.75" customHeight="1">
      <c r="A543" s="24"/>
      <c r="B543" s="109"/>
    </row>
    <row r="544" ht="18.75" customHeight="1">
      <c r="A544" s="24"/>
      <c r="B544" s="109"/>
    </row>
    <row r="545" ht="18.75" customHeight="1">
      <c r="A545" s="24"/>
      <c r="B545" s="109"/>
    </row>
    <row r="546" ht="18.75" customHeight="1">
      <c r="A546" s="24"/>
      <c r="B546" s="109"/>
    </row>
    <row r="547" ht="18.75" customHeight="1">
      <c r="A547" s="24"/>
      <c r="B547" s="109"/>
    </row>
    <row r="548" ht="18.75" customHeight="1">
      <c r="A548" s="24"/>
      <c r="B548" s="109"/>
    </row>
    <row r="549" ht="18.75" customHeight="1">
      <c r="A549" s="24"/>
      <c r="B549" s="109"/>
    </row>
    <row r="550" ht="18.75" customHeight="1">
      <c r="A550" s="24"/>
      <c r="B550" s="109"/>
    </row>
    <row r="551" ht="18.75" customHeight="1">
      <c r="A551" s="24"/>
      <c r="B551" s="109"/>
    </row>
    <row r="552" ht="18.75" customHeight="1">
      <c r="A552" s="24"/>
      <c r="B552" s="109"/>
    </row>
    <row r="553" ht="18.75" customHeight="1">
      <c r="A553" s="24"/>
      <c r="B553" s="109"/>
    </row>
    <row r="554" ht="18.75" customHeight="1">
      <c r="A554" s="24"/>
      <c r="B554" s="109"/>
    </row>
    <row r="555" ht="18.75" customHeight="1">
      <c r="A555" s="24"/>
      <c r="B555" s="109"/>
    </row>
    <row r="556" ht="18.75" customHeight="1">
      <c r="A556" s="24"/>
      <c r="B556" s="109"/>
    </row>
    <row r="557" ht="18.75" customHeight="1">
      <c r="A557" s="24"/>
      <c r="B557" s="109"/>
    </row>
    <row r="558" ht="18.75" customHeight="1">
      <c r="A558" s="24"/>
      <c r="B558" s="109"/>
    </row>
    <row r="559" ht="18.75" customHeight="1">
      <c r="A559" s="24"/>
      <c r="B559" s="109"/>
    </row>
    <row r="560" ht="18.75" customHeight="1">
      <c r="A560" s="24"/>
      <c r="B560" s="109"/>
    </row>
    <row r="561" ht="18.75" customHeight="1">
      <c r="A561" s="24"/>
      <c r="B561" s="109"/>
    </row>
    <row r="562" ht="18.75" customHeight="1">
      <c r="A562" s="24"/>
      <c r="B562" s="109"/>
    </row>
    <row r="563" ht="18.75" customHeight="1">
      <c r="A563" s="24"/>
      <c r="B563" s="109"/>
    </row>
    <row r="564" ht="18.75" customHeight="1">
      <c r="A564" s="24"/>
      <c r="B564" s="109"/>
    </row>
    <row r="565" ht="18.75" customHeight="1">
      <c r="A565" s="24"/>
      <c r="B565" s="109"/>
    </row>
    <row r="566" ht="18.75" customHeight="1">
      <c r="A566" s="24"/>
      <c r="B566" s="109"/>
    </row>
    <row r="567" ht="18.75" customHeight="1">
      <c r="A567" s="24"/>
      <c r="B567" s="109"/>
    </row>
    <row r="568" ht="18.75" customHeight="1">
      <c r="A568" s="24"/>
      <c r="B568" s="109"/>
    </row>
    <row r="569" ht="18.75" customHeight="1">
      <c r="A569" s="24"/>
      <c r="B569" s="109"/>
    </row>
    <row r="570" ht="18.75" customHeight="1">
      <c r="A570" s="24"/>
      <c r="B570" s="109"/>
    </row>
    <row r="571" ht="18.75" customHeight="1">
      <c r="A571" s="24"/>
      <c r="B571" s="109"/>
    </row>
    <row r="572" ht="18.75" customHeight="1">
      <c r="A572" s="24"/>
      <c r="B572" s="109"/>
    </row>
    <row r="573" ht="18.75" customHeight="1">
      <c r="A573" s="24"/>
      <c r="B573" s="109"/>
    </row>
    <row r="574" ht="18.75" customHeight="1">
      <c r="A574" s="24"/>
      <c r="B574" s="109"/>
    </row>
    <row r="575" ht="18.75" customHeight="1">
      <c r="A575" s="24"/>
      <c r="B575" s="109"/>
    </row>
    <row r="576" ht="18.75" customHeight="1">
      <c r="A576" s="24"/>
      <c r="B576" s="109"/>
    </row>
    <row r="577" ht="18.75" customHeight="1">
      <c r="A577" s="24"/>
      <c r="B577" s="109"/>
    </row>
    <row r="578" ht="18.75" customHeight="1">
      <c r="A578" s="24"/>
      <c r="B578" s="109"/>
    </row>
    <row r="579" ht="18.75" customHeight="1">
      <c r="A579" s="24"/>
      <c r="B579" s="109"/>
    </row>
    <row r="580" ht="18.75" customHeight="1">
      <c r="A580" s="24"/>
      <c r="B580" s="109"/>
    </row>
    <row r="581" ht="18.75" customHeight="1">
      <c r="A581" s="24"/>
      <c r="B581" s="109"/>
    </row>
    <row r="582" ht="18.75" customHeight="1">
      <c r="A582" s="24"/>
      <c r="B582" s="109"/>
    </row>
    <row r="583" ht="18.75" customHeight="1">
      <c r="A583" s="24"/>
      <c r="B583" s="109"/>
    </row>
    <row r="584" ht="18.75" customHeight="1">
      <c r="A584" s="24"/>
      <c r="B584" s="109"/>
    </row>
    <row r="585" ht="18.75" customHeight="1">
      <c r="A585" s="24"/>
      <c r="B585" s="109"/>
    </row>
    <row r="586" ht="18.75" customHeight="1">
      <c r="A586" s="24"/>
      <c r="B586" s="109"/>
    </row>
    <row r="587" ht="18.75" customHeight="1">
      <c r="A587" s="24"/>
      <c r="B587" s="109"/>
    </row>
    <row r="588" ht="18.75" customHeight="1">
      <c r="A588" s="24"/>
      <c r="B588" s="109"/>
    </row>
    <row r="589" ht="18.75" customHeight="1">
      <c r="A589" s="24"/>
      <c r="B589" s="109"/>
    </row>
    <row r="590" ht="18.75" customHeight="1">
      <c r="A590" s="24"/>
      <c r="B590" s="109"/>
    </row>
    <row r="591" ht="18.75" customHeight="1">
      <c r="A591" s="24"/>
      <c r="B591" s="109"/>
    </row>
    <row r="592" ht="18.75" customHeight="1">
      <c r="A592" s="24"/>
      <c r="B592" s="109"/>
    </row>
    <row r="593" ht="18.75" customHeight="1">
      <c r="A593" s="24"/>
      <c r="B593" s="109"/>
    </row>
    <row r="594" ht="18.75" customHeight="1">
      <c r="A594" s="24"/>
      <c r="B594" s="109"/>
    </row>
    <row r="595" ht="18.75" customHeight="1">
      <c r="A595" s="24"/>
      <c r="B595" s="109"/>
    </row>
    <row r="596" ht="18.75" customHeight="1">
      <c r="A596" s="24"/>
      <c r="B596" s="109"/>
    </row>
    <row r="597" ht="18.75" customHeight="1">
      <c r="A597" s="24"/>
      <c r="B597" s="109"/>
    </row>
    <row r="598" ht="18.75" customHeight="1">
      <c r="A598" s="24"/>
      <c r="B598" s="109"/>
    </row>
    <row r="599" ht="18.75" customHeight="1">
      <c r="A599" s="24"/>
      <c r="B599" s="109"/>
    </row>
    <row r="600" ht="18.75" customHeight="1">
      <c r="A600" s="24"/>
      <c r="B600" s="109"/>
    </row>
    <row r="601" ht="18.75" customHeight="1">
      <c r="A601" s="24"/>
      <c r="B601" s="109"/>
    </row>
    <row r="602" ht="18.75" customHeight="1">
      <c r="A602" s="24"/>
      <c r="B602" s="109"/>
    </row>
    <row r="603" ht="18.75" customHeight="1">
      <c r="A603" s="24"/>
      <c r="B603" s="109"/>
    </row>
    <row r="604" ht="18.75" customHeight="1">
      <c r="A604" s="24"/>
      <c r="B604" s="109"/>
    </row>
    <row r="605" ht="18.75" customHeight="1">
      <c r="A605" s="24"/>
      <c r="B605" s="109"/>
    </row>
    <row r="606" ht="18.75" customHeight="1">
      <c r="A606" s="24"/>
      <c r="B606" s="109"/>
    </row>
    <row r="607" ht="18.75" customHeight="1">
      <c r="A607" s="24"/>
      <c r="B607" s="109"/>
    </row>
    <row r="608" ht="18.75" customHeight="1">
      <c r="A608" s="24"/>
      <c r="B608" s="109"/>
    </row>
    <row r="609" ht="18.75" customHeight="1">
      <c r="A609" s="24"/>
      <c r="B609" s="109"/>
    </row>
    <row r="610" ht="18.75" customHeight="1">
      <c r="A610" s="24"/>
      <c r="B610" s="109"/>
    </row>
    <row r="611" ht="18.75" customHeight="1">
      <c r="A611" s="24"/>
      <c r="B611" s="109"/>
    </row>
    <row r="612" ht="18.75" customHeight="1">
      <c r="A612" s="24"/>
      <c r="B612" s="109"/>
    </row>
    <row r="613" ht="18.75" customHeight="1">
      <c r="A613" s="24"/>
      <c r="B613" s="109"/>
    </row>
    <row r="614" ht="18.75" customHeight="1">
      <c r="A614" s="24"/>
      <c r="B614" s="109"/>
    </row>
    <row r="615" ht="18.75" customHeight="1">
      <c r="A615" s="24"/>
      <c r="B615" s="109"/>
    </row>
    <row r="616" ht="18.75" customHeight="1">
      <c r="A616" s="24"/>
      <c r="B616" s="109"/>
    </row>
    <row r="617" ht="18.75" customHeight="1">
      <c r="A617" s="24"/>
      <c r="B617" s="109"/>
    </row>
    <row r="618" ht="18.75" customHeight="1">
      <c r="A618" s="24"/>
      <c r="B618" s="109"/>
    </row>
    <row r="619" ht="18.75" customHeight="1">
      <c r="A619" s="24"/>
      <c r="B619" s="109"/>
    </row>
    <row r="620" ht="18.75" customHeight="1">
      <c r="A620" s="24"/>
      <c r="B620" s="109"/>
    </row>
    <row r="621" ht="18.75" customHeight="1">
      <c r="A621" s="24"/>
      <c r="B621" s="109"/>
    </row>
    <row r="622" ht="18.75" customHeight="1">
      <c r="A622" s="24"/>
      <c r="B622" s="109"/>
    </row>
    <row r="623" ht="18.75" customHeight="1">
      <c r="A623" s="24"/>
      <c r="B623" s="109"/>
    </row>
    <row r="624" ht="18.75" customHeight="1">
      <c r="A624" s="24"/>
      <c r="B624" s="109"/>
    </row>
    <row r="625" ht="18.75" customHeight="1">
      <c r="A625" s="24"/>
      <c r="B625" s="109"/>
    </row>
    <row r="626" ht="18.75" customHeight="1">
      <c r="A626" s="24"/>
      <c r="B626" s="109"/>
    </row>
    <row r="627" ht="18.75" customHeight="1">
      <c r="A627" s="24"/>
      <c r="B627" s="109"/>
    </row>
    <row r="628" ht="18.75" customHeight="1">
      <c r="A628" s="24"/>
      <c r="B628" s="109"/>
    </row>
    <row r="629" ht="18.75" customHeight="1">
      <c r="A629" s="24"/>
      <c r="B629" s="109"/>
    </row>
    <row r="630" ht="18.75" customHeight="1">
      <c r="A630" s="24"/>
      <c r="B630" s="109"/>
    </row>
    <row r="631" ht="18.75" customHeight="1">
      <c r="A631" s="24"/>
      <c r="B631" s="109"/>
    </row>
    <row r="632" ht="18.75" customHeight="1">
      <c r="A632" s="24"/>
      <c r="B632" s="109"/>
    </row>
    <row r="633" ht="18.75" customHeight="1">
      <c r="A633" s="24"/>
      <c r="B633" s="109"/>
    </row>
    <row r="634" ht="18.75" customHeight="1">
      <c r="A634" s="24"/>
      <c r="B634" s="109"/>
    </row>
    <row r="635" ht="18.75" customHeight="1">
      <c r="A635" s="24"/>
      <c r="B635" s="109"/>
    </row>
    <row r="636" ht="18.75" customHeight="1">
      <c r="A636" s="24"/>
      <c r="B636" s="109"/>
    </row>
    <row r="637" ht="18.75" customHeight="1">
      <c r="A637" s="24"/>
      <c r="B637" s="109"/>
    </row>
    <row r="638" ht="18.75" customHeight="1">
      <c r="A638" s="24"/>
      <c r="B638" s="109"/>
    </row>
    <row r="639" ht="18.75" customHeight="1">
      <c r="A639" s="24"/>
      <c r="B639" s="109"/>
    </row>
    <row r="640" ht="18.75" customHeight="1">
      <c r="A640" s="24"/>
      <c r="B640" s="109"/>
    </row>
    <row r="641" ht="18.75" customHeight="1">
      <c r="A641" s="24"/>
      <c r="B641" s="109"/>
    </row>
    <row r="642" ht="18.75" customHeight="1">
      <c r="A642" s="24"/>
      <c r="B642" s="109"/>
    </row>
    <row r="643" ht="18.75" customHeight="1">
      <c r="A643" s="24"/>
      <c r="B643" s="109"/>
    </row>
    <row r="644" ht="18.75" customHeight="1">
      <c r="A644" s="24"/>
      <c r="B644" s="109"/>
    </row>
    <row r="645" ht="18.75" customHeight="1">
      <c r="A645" s="24"/>
      <c r="B645" s="109"/>
    </row>
    <row r="646" ht="18.75" customHeight="1">
      <c r="A646" s="24"/>
      <c r="B646" s="109"/>
    </row>
    <row r="647" ht="18.75" customHeight="1">
      <c r="A647" s="24"/>
      <c r="B647" s="109"/>
    </row>
    <row r="648" ht="18.75" customHeight="1">
      <c r="A648" s="24"/>
      <c r="B648" s="109"/>
    </row>
    <row r="649" ht="18.75" customHeight="1">
      <c r="A649" s="24"/>
      <c r="B649" s="109"/>
    </row>
    <row r="650" ht="18.75" customHeight="1">
      <c r="A650" s="24"/>
      <c r="B650" s="109"/>
    </row>
    <row r="651" ht="18.75" customHeight="1">
      <c r="A651" s="24"/>
      <c r="B651" s="109"/>
    </row>
    <row r="652" ht="18.75" customHeight="1">
      <c r="A652" s="24"/>
      <c r="B652" s="109"/>
    </row>
    <row r="653" ht="18.75" customHeight="1">
      <c r="A653" s="24"/>
      <c r="B653" s="109"/>
    </row>
    <row r="654" ht="18.75" customHeight="1">
      <c r="A654" s="24"/>
      <c r="B654" s="109"/>
    </row>
    <row r="655" ht="18.75" customHeight="1">
      <c r="A655" s="24"/>
      <c r="B655" s="109"/>
    </row>
    <row r="656" ht="18.75" customHeight="1">
      <c r="A656" s="24"/>
      <c r="B656" s="109"/>
    </row>
    <row r="657" ht="18.75" customHeight="1">
      <c r="A657" s="24"/>
      <c r="B657" s="109"/>
    </row>
    <row r="658" ht="18.75" customHeight="1">
      <c r="A658" s="24"/>
      <c r="B658" s="109"/>
    </row>
    <row r="659" ht="18.75" customHeight="1">
      <c r="A659" s="24"/>
      <c r="B659" s="109"/>
    </row>
    <row r="660" ht="18.75" customHeight="1">
      <c r="A660" s="24"/>
      <c r="B660" s="109"/>
    </row>
    <row r="661" ht="18.75" customHeight="1">
      <c r="A661" s="24"/>
      <c r="B661" s="109"/>
    </row>
    <row r="662" ht="18.75" customHeight="1">
      <c r="A662" s="24"/>
      <c r="B662" s="109"/>
    </row>
    <row r="663" ht="18.75" customHeight="1">
      <c r="A663" s="24"/>
      <c r="B663" s="109"/>
    </row>
    <row r="664" ht="18.75" customHeight="1">
      <c r="A664" s="24"/>
      <c r="B664" s="109"/>
    </row>
    <row r="665" ht="18.75" customHeight="1">
      <c r="A665" s="24"/>
      <c r="B665" s="109"/>
    </row>
    <row r="666" ht="18.75" customHeight="1">
      <c r="A666" s="24"/>
      <c r="B666" s="109"/>
    </row>
    <row r="667" ht="18.75" customHeight="1">
      <c r="A667" s="24"/>
      <c r="B667" s="109"/>
    </row>
    <row r="668" ht="18.75" customHeight="1">
      <c r="A668" s="24"/>
      <c r="B668" s="109"/>
    </row>
    <row r="669" ht="18.75" customHeight="1">
      <c r="A669" s="24"/>
      <c r="B669" s="109"/>
    </row>
    <row r="670" ht="18.75" customHeight="1">
      <c r="A670" s="24"/>
      <c r="B670" s="109"/>
    </row>
    <row r="671" ht="18.75" customHeight="1">
      <c r="A671" s="24"/>
      <c r="B671" s="109"/>
    </row>
    <row r="672" ht="18.75" customHeight="1">
      <c r="A672" s="24"/>
      <c r="B672" s="109"/>
    </row>
    <row r="673" ht="18.75" customHeight="1">
      <c r="A673" s="24"/>
      <c r="B673" s="109"/>
    </row>
    <row r="674" ht="18.75" customHeight="1">
      <c r="A674" s="24"/>
      <c r="B674" s="109"/>
    </row>
    <row r="675" ht="18.75" customHeight="1">
      <c r="A675" s="24"/>
      <c r="B675" s="109"/>
    </row>
    <row r="676" ht="18.75" customHeight="1">
      <c r="A676" s="24"/>
      <c r="B676" s="109"/>
    </row>
    <row r="677" ht="18.75" customHeight="1">
      <c r="A677" s="24"/>
      <c r="B677" s="109"/>
    </row>
    <row r="678" ht="18.75" customHeight="1">
      <c r="A678" s="24"/>
      <c r="B678" s="109"/>
    </row>
    <row r="679" ht="18.75" customHeight="1">
      <c r="A679" s="24"/>
      <c r="B679" s="109"/>
    </row>
    <row r="680" ht="18.75" customHeight="1">
      <c r="A680" s="24"/>
      <c r="B680" s="109"/>
    </row>
    <row r="681" ht="18.75" customHeight="1">
      <c r="A681" s="24"/>
      <c r="B681" s="109"/>
    </row>
    <row r="682" ht="18.75" customHeight="1">
      <c r="A682" s="24"/>
      <c r="B682" s="109"/>
    </row>
    <row r="683" ht="18.75" customHeight="1">
      <c r="A683" s="24"/>
      <c r="B683" s="109"/>
    </row>
    <row r="684" ht="18.75" customHeight="1">
      <c r="A684" s="24"/>
      <c r="B684" s="109"/>
    </row>
    <row r="685" ht="18.75" customHeight="1">
      <c r="A685" s="24"/>
      <c r="B685" s="109"/>
    </row>
    <row r="686" ht="18.75" customHeight="1">
      <c r="A686" s="24"/>
      <c r="B686" s="109"/>
    </row>
    <row r="687" ht="18.75" customHeight="1">
      <c r="A687" s="24"/>
      <c r="B687" s="109"/>
    </row>
    <row r="688" ht="18.75" customHeight="1">
      <c r="A688" s="24"/>
      <c r="B688" s="109"/>
    </row>
    <row r="689" ht="18.75" customHeight="1">
      <c r="A689" s="24"/>
      <c r="B689" s="109"/>
    </row>
    <row r="690" ht="18.75" customHeight="1">
      <c r="A690" s="24"/>
      <c r="B690" s="109"/>
    </row>
    <row r="691" ht="18.75" customHeight="1">
      <c r="A691" s="24"/>
      <c r="B691" s="109"/>
    </row>
    <row r="692" ht="18.75" customHeight="1">
      <c r="A692" s="24"/>
      <c r="B692" s="109"/>
    </row>
    <row r="693" ht="18.75" customHeight="1">
      <c r="A693" s="24"/>
      <c r="B693" s="109"/>
    </row>
    <row r="694" ht="18.75" customHeight="1">
      <c r="A694" s="24"/>
      <c r="B694" s="109"/>
    </row>
    <row r="695" ht="18.75" customHeight="1">
      <c r="A695" s="24"/>
      <c r="B695" s="109"/>
    </row>
    <row r="696" ht="18.75" customHeight="1">
      <c r="A696" s="24"/>
      <c r="B696" s="109"/>
    </row>
    <row r="697" ht="18.75" customHeight="1">
      <c r="A697" s="24"/>
      <c r="B697" s="109"/>
    </row>
    <row r="698" ht="18.75" customHeight="1">
      <c r="A698" s="24"/>
      <c r="B698" s="109"/>
    </row>
    <row r="699" ht="18.75" customHeight="1">
      <c r="A699" s="24"/>
      <c r="B699" s="109"/>
    </row>
    <row r="700" ht="18.75" customHeight="1">
      <c r="A700" s="24"/>
      <c r="B700" s="109"/>
    </row>
    <row r="701" ht="18.75" customHeight="1">
      <c r="A701" s="24"/>
      <c r="B701" s="109"/>
    </row>
    <row r="702" ht="18.75" customHeight="1">
      <c r="A702" s="24"/>
      <c r="B702" s="109"/>
    </row>
    <row r="703" ht="18.75" customHeight="1">
      <c r="A703" s="24"/>
      <c r="B703" s="109"/>
    </row>
    <row r="704" ht="18.75" customHeight="1">
      <c r="A704" s="24"/>
      <c r="B704" s="109"/>
    </row>
    <row r="705" ht="18.75" customHeight="1">
      <c r="A705" s="24"/>
      <c r="B705" s="109"/>
    </row>
    <row r="706" ht="18.75" customHeight="1">
      <c r="A706" s="24"/>
      <c r="B706" s="109"/>
    </row>
    <row r="707" ht="18.75" customHeight="1">
      <c r="A707" s="24"/>
      <c r="B707" s="109"/>
    </row>
    <row r="708" ht="18.75" customHeight="1">
      <c r="A708" s="24"/>
      <c r="B708" s="109"/>
    </row>
    <row r="709" ht="18.75" customHeight="1">
      <c r="A709" s="24"/>
      <c r="B709" s="109"/>
    </row>
    <row r="710" ht="18.75" customHeight="1">
      <c r="A710" s="24"/>
      <c r="B710" s="109"/>
    </row>
    <row r="711" ht="18.75" customHeight="1">
      <c r="A711" s="24"/>
      <c r="B711" s="109"/>
    </row>
    <row r="712" ht="18.75" customHeight="1">
      <c r="A712" s="24"/>
      <c r="B712" s="109"/>
    </row>
    <row r="713" ht="18.75" customHeight="1">
      <c r="A713" s="24"/>
      <c r="B713" s="109"/>
    </row>
    <row r="714" ht="18.75" customHeight="1">
      <c r="A714" s="24"/>
      <c r="B714" s="109"/>
    </row>
    <row r="715" ht="18.75" customHeight="1">
      <c r="A715" s="24"/>
      <c r="B715" s="109"/>
    </row>
    <row r="716" ht="18.75" customHeight="1">
      <c r="A716" s="24"/>
      <c r="B716" s="109"/>
    </row>
    <row r="717" ht="18.75" customHeight="1">
      <c r="A717" s="24"/>
      <c r="B717" s="109"/>
    </row>
    <row r="718" ht="18.75" customHeight="1">
      <c r="A718" s="24"/>
      <c r="B718" s="109"/>
    </row>
    <row r="719" ht="18.75" customHeight="1">
      <c r="A719" s="24"/>
      <c r="B719" s="109"/>
    </row>
    <row r="720" ht="18.75" customHeight="1">
      <c r="A720" s="24"/>
      <c r="B720" s="109"/>
    </row>
    <row r="721" ht="18.75" customHeight="1">
      <c r="A721" s="24"/>
      <c r="B721" s="109"/>
    </row>
    <row r="722" ht="18.75" customHeight="1">
      <c r="A722" s="24"/>
      <c r="B722" s="109"/>
    </row>
    <row r="723" ht="18.75" customHeight="1">
      <c r="A723" s="24"/>
      <c r="B723" s="109"/>
    </row>
    <row r="724" ht="18.75" customHeight="1">
      <c r="A724" s="24"/>
      <c r="B724" s="109"/>
    </row>
    <row r="725" ht="18.75" customHeight="1">
      <c r="A725" s="24"/>
      <c r="B725" s="109"/>
    </row>
    <row r="726" ht="18.75" customHeight="1">
      <c r="A726" s="24"/>
      <c r="B726" s="109"/>
    </row>
    <row r="727" ht="18.75" customHeight="1">
      <c r="A727" s="24"/>
      <c r="B727" s="109"/>
    </row>
    <row r="728" ht="18.75" customHeight="1">
      <c r="A728" s="24"/>
      <c r="B728" s="109"/>
    </row>
    <row r="729" ht="18.75" customHeight="1">
      <c r="A729" s="24"/>
      <c r="B729" s="109"/>
    </row>
    <row r="730" ht="18.75" customHeight="1">
      <c r="A730" s="24"/>
      <c r="B730" s="109"/>
    </row>
    <row r="731" ht="18.75" customHeight="1">
      <c r="A731" s="24"/>
      <c r="B731" s="109"/>
    </row>
    <row r="732" ht="18.75" customHeight="1">
      <c r="A732" s="24"/>
      <c r="B732" s="109"/>
    </row>
    <row r="733" ht="18.75" customHeight="1">
      <c r="A733" s="24"/>
      <c r="B733" s="109"/>
    </row>
    <row r="734" ht="18.75" customHeight="1">
      <c r="A734" s="24"/>
      <c r="B734" s="109"/>
    </row>
    <row r="735" ht="18.75" customHeight="1">
      <c r="A735" s="24"/>
      <c r="B735" s="109"/>
    </row>
    <row r="736" ht="18.75" customHeight="1">
      <c r="A736" s="24"/>
      <c r="B736" s="109"/>
    </row>
    <row r="737" ht="18.75" customHeight="1">
      <c r="A737" s="24"/>
      <c r="B737" s="109"/>
    </row>
    <row r="738" ht="18.75" customHeight="1">
      <c r="A738" s="24"/>
      <c r="B738" s="109"/>
    </row>
    <row r="739" ht="18.75" customHeight="1">
      <c r="A739" s="24"/>
      <c r="B739" s="109"/>
    </row>
    <row r="740" ht="18.75" customHeight="1">
      <c r="A740" s="24"/>
      <c r="B740" s="109"/>
    </row>
    <row r="741" ht="18.75" customHeight="1">
      <c r="A741" s="24"/>
      <c r="B741" s="109"/>
    </row>
    <row r="742" ht="18.75" customHeight="1">
      <c r="A742" s="24"/>
      <c r="B742" s="109"/>
    </row>
    <row r="743" ht="18.75" customHeight="1">
      <c r="A743" s="24"/>
      <c r="B743" s="109"/>
    </row>
    <row r="744" ht="18.75" customHeight="1">
      <c r="A744" s="24"/>
      <c r="B744" s="109"/>
    </row>
    <row r="745" ht="18.75" customHeight="1">
      <c r="A745" s="24"/>
      <c r="B745" s="109"/>
    </row>
    <row r="746" ht="18.75" customHeight="1">
      <c r="A746" s="24"/>
      <c r="B746" s="109"/>
    </row>
    <row r="747" ht="18.75" customHeight="1">
      <c r="A747" s="24"/>
      <c r="B747" s="109"/>
    </row>
    <row r="748" ht="18.75" customHeight="1">
      <c r="A748" s="24"/>
      <c r="B748" s="109"/>
    </row>
    <row r="749" ht="18.75" customHeight="1">
      <c r="A749" s="24"/>
      <c r="B749" s="109"/>
    </row>
    <row r="750" ht="18.75" customHeight="1">
      <c r="A750" s="24"/>
      <c r="B750" s="109"/>
    </row>
    <row r="751" ht="18.75" customHeight="1">
      <c r="A751" s="24"/>
      <c r="B751" s="109"/>
    </row>
    <row r="752" ht="18.75" customHeight="1">
      <c r="A752" s="24"/>
      <c r="B752" s="109"/>
    </row>
    <row r="753" ht="18.75" customHeight="1">
      <c r="A753" s="24"/>
      <c r="B753" s="109"/>
    </row>
    <row r="754" ht="18.75" customHeight="1">
      <c r="A754" s="24"/>
      <c r="B754" s="109"/>
    </row>
    <row r="755" ht="18.75" customHeight="1">
      <c r="A755" s="24"/>
      <c r="B755" s="109"/>
    </row>
    <row r="756" ht="18.75" customHeight="1">
      <c r="A756" s="24"/>
      <c r="B756" s="109"/>
    </row>
    <row r="757" ht="18.75" customHeight="1">
      <c r="A757" s="24"/>
      <c r="B757" s="109"/>
    </row>
    <row r="758" ht="18.75" customHeight="1">
      <c r="A758" s="24"/>
      <c r="B758" s="109"/>
    </row>
    <row r="759" ht="18.75" customHeight="1">
      <c r="A759" s="24"/>
      <c r="B759" s="109"/>
    </row>
    <row r="760" ht="18.75" customHeight="1">
      <c r="A760" s="24"/>
      <c r="B760" s="109"/>
    </row>
    <row r="761" ht="18.75" customHeight="1">
      <c r="A761" s="24"/>
      <c r="B761" s="109"/>
    </row>
    <row r="762" ht="18.75" customHeight="1">
      <c r="A762" s="24"/>
      <c r="B762" s="109"/>
    </row>
    <row r="763" ht="18.75" customHeight="1">
      <c r="A763" s="24"/>
      <c r="B763" s="109"/>
    </row>
    <row r="764" ht="18.75" customHeight="1">
      <c r="A764" s="24"/>
      <c r="B764" s="109"/>
    </row>
    <row r="765" ht="18.75" customHeight="1">
      <c r="A765" s="24"/>
      <c r="B765" s="109"/>
    </row>
    <row r="766" ht="18.75" customHeight="1">
      <c r="A766" s="24"/>
      <c r="B766" s="109"/>
    </row>
    <row r="767" ht="18.75" customHeight="1">
      <c r="A767" s="24"/>
      <c r="B767" s="109"/>
    </row>
    <row r="768" ht="18.75" customHeight="1">
      <c r="A768" s="24"/>
      <c r="B768" s="109"/>
    </row>
    <row r="769" ht="18.75" customHeight="1">
      <c r="A769" s="24"/>
      <c r="B769" s="109"/>
    </row>
    <row r="770" ht="18.75" customHeight="1">
      <c r="A770" s="24"/>
      <c r="B770" s="109"/>
    </row>
    <row r="771" ht="18.75" customHeight="1">
      <c r="A771" s="24"/>
      <c r="B771" s="109"/>
    </row>
    <row r="772" ht="18.75" customHeight="1">
      <c r="A772" s="24"/>
      <c r="B772" s="109"/>
    </row>
    <row r="773" ht="18.75" customHeight="1">
      <c r="A773" s="24"/>
      <c r="B773" s="109"/>
    </row>
    <row r="774" ht="18.75" customHeight="1">
      <c r="A774" s="24"/>
      <c r="B774" s="109"/>
    </row>
    <row r="775" ht="18.75" customHeight="1">
      <c r="A775" s="24"/>
      <c r="B775" s="109"/>
    </row>
    <row r="776" ht="18.75" customHeight="1">
      <c r="A776" s="24"/>
      <c r="B776" s="109"/>
    </row>
    <row r="777" ht="18.75" customHeight="1">
      <c r="A777" s="24"/>
      <c r="B777" s="109"/>
    </row>
    <row r="778" ht="18.75" customHeight="1">
      <c r="A778" s="24"/>
      <c r="B778" s="109"/>
    </row>
    <row r="779" ht="18.75" customHeight="1">
      <c r="A779" s="24"/>
      <c r="B779" s="109"/>
    </row>
    <row r="780" ht="18.75" customHeight="1">
      <c r="A780" s="24"/>
      <c r="B780" s="109"/>
    </row>
    <row r="781" ht="18.75" customHeight="1">
      <c r="A781" s="24"/>
      <c r="B781" s="109"/>
    </row>
    <row r="782" ht="18.75" customHeight="1">
      <c r="A782" s="24"/>
      <c r="B782" s="109"/>
    </row>
    <row r="783" ht="18.75" customHeight="1">
      <c r="A783" s="24"/>
      <c r="B783" s="109"/>
    </row>
    <row r="784" ht="18.75" customHeight="1">
      <c r="A784" s="24"/>
      <c r="B784" s="109"/>
    </row>
    <row r="785" ht="18.75" customHeight="1">
      <c r="A785" s="24"/>
      <c r="B785" s="109"/>
    </row>
    <row r="786" ht="18.75" customHeight="1">
      <c r="A786" s="24"/>
      <c r="B786" s="109"/>
    </row>
    <row r="787" ht="18.75" customHeight="1">
      <c r="A787" s="24"/>
      <c r="B787" s="109"/>
    </row>
    <row r="788" ht="18.75" customHeight="1">
      <c r="A788" s="24"/>
      <c r="B788" s="109"/>
    </row>
    <row r="789" ht="18.75" customHeight="1">
      <c r="A789" s="24"/>
      <c r="B789" s="109"/>
    </row>
    <row r="790" ht="18.75" customHeight="1">
      <c r="A790" s="24"/>
      <c r="B790" s="109"/>
    </row>
    <row r="791" ht="18.75" customHeight="1">
      <c r="A791" s="24"/>
      <c r="B791" s="109"/>
    </row>
    <row r="792" ht="18.75" customHeight="1">
      <c r="A792" s="24"/>
      <c r="B792" s="109"/>
    </row>
    <row r="793" ht="18.75" customHeight="1">
      <c r="A793" s="24"/>
      <c r="B793" s="109"/>
    </row>
    <row r="794" ht="18.75" customHeight="1">
      <c r="A794" s="24"/>
      <c r="B794" s="109"/>
    </row>
    <row r="795" ht="18.75" customHeight="1">
      <c r="A795" s="24"/>
      <c r="B795" s="109"/>
    </row>
    <row r="796" ht="18.75" customHeight="1">
      <c r="A796" s="24"/>
      <c r="B796" s="109"/>
    </row>
    <row r="797" ht="18.75" customHeight="1">
      <c r="A797" s="24"/>
      <c r="B797" s="109"/>
    </row>
    <row r="798" ht="18.75" customHeight="1">
      <c r="A798" s="24"/>
      <c r="B798" s="109"/>
    </row>
    <row r="799" ht="18.75" customHeight="1">
      <c r="A799" s="24"/>
      <c r="B799" s="109"/>
    </row>
    <row r="800" ht="18.75" customHeight="1">
      <c r="A800" s="24"/>
      <c r="B800" s="109"/>
    </row>
    <row r="801" ht="18.75" customHeight="1">
      <c r="A801" s="24"/>
      <c r="B801" s="109"/>
    </row>
    <row r="802" ht="18.75" customHeight="1">
      <c r="A802" s="24"/>
      <c r="B802" s="109"/>
    </row>
    <row r="803" ht="18.75" customHeight="1">
      <c r="A803" s="24"/>
      <c r="B803" s="109"/>
    </row>
    <row r="804" ht="18.75" customHeight="1">
      <c r="A804" s="24"/>
      <c r="B804" s="109"/>
    </row>
    <row r="805" ht="18.75" customHeight="1">
      <c r="A805" s="24"/>
      <c r="B805" s="109"/>
    </row>
    <row r="806" ht="18.75" customHeight="1">
      <c r="A806" s="24"/>
      <c r="B806" s="109"/>
    </row>
    <row r="807" ht="18.75" customHeight="1">
      <c r="A807" s="24"/>
      <c r="B807" s="109"/>
    </row>
    <row r="808" ht="18.75" customHeight="1">
      <c r="A808" s="24"/>
      <c r="B808" s="109"/>
    </row>
    <row r="809" ht="18.75" customHeight="1">
      <c r="A809" s="24"/>
      <c r="B809" s="109"/>
    </row>
    <row r="810" ht="18.75" customHeight="1">
      <c r="A810" s="24"/>
      <c r="B810" s="109"/>
    </row>
    <row r="811" ht="18.75" customHeight="1">
      <c r="A811" s="24"/>
      <c r="B811" s="109"/>
    </row>
    <row r="812" ht="18.75" customHeight="1">
      <c r="A812" s="24"/>
      <c r="B812" s="109"/>
    </row>
    <row r="813" ht="18.75" customHeight="1">
      <c r="A813" s="24"/>
      <c r="B813" s="109"/>
    </row>
    <row r="814" ht="18.75" customHeight="1">
      <c r="A814" s="24"/>
      <c r="B814" s="109"/>
    </row>
    <row r="815" ht="18.75" customHeight="1">
      <c r="A815" s="24"/>
      <c r="B815" s="109"/>
    </row>
    <row r="816" ht="18.75" customHeight="1">
      <c r="A816" s="24"/>
      <c r="B816" s="109"/>
    </row>
    <row r="817" ht="18.75" customHeight="1">
      <c r="A817" s="24"/>
      <c r="B817" s="109"/>
    </row>
    <row r="818" ht="18.75" customHeight="1">
      <c r="A818" s="24"/>
      <c r="B818" s="109"/>
    </row>
    <row r="819" ht="18.75" customHeight="1">
      <c r="A819" s="24"/>
      <c r="B819" s="109"/>
    </row>
    <row r="820" ht="18.75" customHeight="1">
      <c r="A820" s="24"/>
      <c r="B820" s="109"/>
    </row>
    <row r="821" ht="18.75" customHeight="1">
      <c r="A821" s="24"/>
      <c r="B821" s="109"/>
    </row>
    <row r="822" ht="18.75" customHeight="1">
      <c r="A822" s="24"/>
      <c r="B822" s="109"/>
    </row>
    <row r="823" ht="18.75" customHeight="1">
      <c r="A823" s="24"/>
      <c r="B823" s="109"/>
    </row>
    <row r="824" ht="18.75" customHeight="1">
      <c r="A824" s="24"/>
      <c r="B824" s="109"/>
    </row>
    <row r="825" ht="18.75" customHeight="1">
      <c r="A825" s="24"/>
      <c r="B825" s="109"/>
    </row>
    <row r="826" ht="18.75" customHeight="1">
      <c r="A826" s="24"/>
      <c r="B826" s="109"/>
    </row>
    <row r="827" ht="18.75" customHeight="1">
      <c r="A827" s="24"/>
      <c r="B827" s="109"/>
    </row>
    <row r="828" ht="18.75" customHeight="1">
      <c r="A828" s="24"/>
      <c r="B828" s="109"/>
    </row>
    <row r="829" ht="18.75" customHeight="1">
      <c r="A829" s="24"/>
      <c r="B829" s="109"/>
    </row>
    <row r="830" ht="18.75" customHeight="1">
      <c r="A830" s="24"/>
      <c r="B830" s="109"/>
    </row>
    <row r="831" ht="18.75" customHeight="1">
      <c r="A831" s="24"/>
      <c r="B831" s="109"/>
    </row>
    <row r="832" ht="18.75" customHeight="1">
      <c r="A832" s="24"/>
      <c r="B832" s="109"/>
    </row>
    <row r="833" ht="18.75" customHeight="1">
      <c r="A833" s="24"/>
      <c r="B833" s="109"/>
    </row>
    <row r="834" ht="18.75" customHeight="1">
      <c r="A834" s="24"/>
      <c r="B834" s="109"/>
    </row>
    <row r="835" ht="18.75" customHeight="1">
      <c r="A835" s="24"/>
      <c r="B835" s="109"/>
    </row>
    <row r="836" ht="18.75" customHeight="1">
      <c r="A836" s="24"/>
      <c r="B836" s="109"/>
    </row>
    <row r="837" ht="18.75" customHeight="1">
      <c r="A837" s="24"/>
      <c r="B837" s="109"/>
    </row>
    <row r="838" ht="18.75" customHeight="1">
      <c r="A838" s="24"/>
      <c r="B838" s="109"/>
    </row>
    <row r="839" ht="18.75" customHeight="1">
      <c r="A839" s="24"/>
      <c r="B839" s="109"/>
    </row>
    <row r="840" ht="18.75" customHeight="1">
      <c r="A840" s="24"/>
      <c r="B840" s="109"/>
    </row>
    <row r="841" ht="18.75" customHeight="1">
      <c r="A841" s="24"/>
      <c r="B841" s="109"/>
    </row>
    <row r="842" ht="18.75" customHeight="1">
      <c r="A842" s="24"/>
      <c r="B842" s="109"/>
    </row>
    <row r="843" ht="18.75" customHeight="1">
      <c r="A843" s="24"/>
      <c r="B843" s="109"/>
    </row>
    <row r="844" ht="18.75" customHeight="1">
      <c r="A844" s="24"/>
      <c r="B844" s="109"/>
    </row>
    <row r="845" ht="18.75" customHeight="1">
      <c r="A845" s="24"/>
      <c r="B845" s="109"/>
    </row>
    <row r="846" ht="18.75" customHeight="1">
      <c r="A846" s="24"/>
      <c r="B846" s="109"/>
    </row>
    <row r="847" ht="18.75" customHeight="1">
      <c r="A847" s="24"/>
      <c r="B847" s="109"/>
    </row>
    <row r="848" ht="18.75" customHeight="1">
      <c r="A848" s="24"/>
      <c r="B848" s="109"/>
    </row>
    <row r="849" ht="18.75" customHeight="1">
      <c r="A849" s="24"/>
      <c r="B849" s="109"/>
    </row>
    <row r="850" ht="18.75" customHeight="1">
      <c r="A850" s="24"/>
      <c r="B850" s="109"/>
    </row>
    <row r="851" ht="18.75" customHeight="1">
      <c r="A851" s="24"/>
      <c r="B851" s="109"/>
    </row>
    <row r="852" ht="18.75" customHeight="1">
      <c r="A852" s="24"/>
      <c r="B852" s="109"/>
    </row>
    <row r="853" ht="18.75" customHeight="1">
      <c r="A853" s="24"/>
      <c r="B853" s="109"/>
    </row>
    <row r="854" ht="18.75" customHeight="1">
      <c r="A854" s="24"/>
      <c r="B854" s="109"/>
    </row>
    <row r="855" ht="18.75" customHeight="1">
      <c r="A855" s="24"/>
      <c r="B855" s="109"/>
    </row>
    <row r="856" ht="18.75" customHeight="1">
      <c r="A856" s="24"/>
      <c r="B856" s="109"/>
    </row>
    <row r="857" ht="18.75" customHeight="1">
      <c r="A857" s="24"/>
      <c r="B857" s="109"/>
    </row>
    <row r="858" ht="18.75" customHeight="1">
      <c r="A858" s="24"/>
      <c r="B858" s="109"/>
    </row>
    <row r="859" ht="18.75" customHeight="1">
      <c r="A859" s="24"/>
      <c r="B859" s="109"/>
    </row>
    <row r="860" ht="18.75" customHeight="1">
      <c r="A860" s="24"/>
      <c r="B860" s="109"/>
    </row>
    <row r="861" ht="18.75" customHeight="1">
      <c r="A861" s="24"/>
      <c r="B861" s="109"/>
    </row>
    <row r="862" ht="18.75" customHeight="1">
      <c r="A862" s="24"/>
      <c r="B862" s="109"/>
    </row>
    <row r="863" ht="18.75" customHeight="1">
      <c r="A863" s="24"/>
      <c r="B863" s="109"/>
    </row>
    <row r="864" ht="18.75" customHeight="1">
      <c r="A864" s="24"/>
      <c r="B864" s="109"/>
    </row>
    <row r="865" ht="18.75" customHeight="1">
      <c r="A865" s="24"/>
      <c r="B865" s="109"/>
    </row>
    <row r="866" ht="18.75" customHeight="1">
      <c r="A866" s="24"/>
      <c r="B866" s="109"/>
    </row>
    <row r="867" ht="18.75" customHeight="1">
      <c r="A867" s="24"/>
      <c r="B867" s="109"/>
    </row>
    <row r="868" ht="18.75" customHeight="1">
      <c r="A868" s="24"/>
      <c r="B868" s="109"/>
    </row>
    <row r="869" ht="18.75" customHeight="1">
      <c r="A869" s="24"/>
      <c r="B869" s="109"/>
    </row>
    <row r="870" ht="18.75" customHeight="1">
      <c r="A870" s="24"/>
      <c r="B870" s="109"/>
    </row>
    <row r="871" ht="18.75" customHeight="1">
      <c r="A871" s="24"/>
      <c r="B871" s="109"/>
    </row>
    <row r="872" ht="18.75" customHeight="1">
      <c r="A872" s="24"/>
      <c r="B872" s="109"/>
    </row>
    <row r="873" ht="18.75" customHeight="1">
      <c r="A873" s="24"/>
      <c r="B873" s="109"/>
    </row>
    <row r="874" ht="18.75" customHeight="1">
      <c r="A874" s="24"/>
      <c r="B874" s="109"/>
    </row>
    <row r="875" ht="18.75" customHeight="1">
      <c r="A875" s="24"/>
      <c r="B875" s="109"/>
    </row>
    <row r="876" ht="18.75" customHeight="1">
      <c r="A876" s="24"/>
      <c r="B876" s="109"/>
    </row>
    <row r="877" ht="18.75" customHeight="1">
      <c r="A877" s="24"/>
      <c r="B877" s="109"/>
    </row>
    <row r="878" ht="18.75" customHeight="1">
      <c r="A878" s="24"/>
      <c r="B878" s="109"/>
    </row>
    <row r="879" ht="18.75" customHeight="1">
      <c r="A879" s="24"/>
      <c r="B879" s="109"/>
    </row>
    <row r="880" ht="18.75" customHeight="1">
      <c r="A880" s="24"/>
      <c r="B880" s="109"/>
    </row>
    <row r="881" ht="18.75" customHeight="1">
      <c r="A881" s="24"/>
      <c r="B881" s="109"/>
    </row>
    <row r="882" ht="18.75" customHeight="1">
      <c r="A882" s="24"/>
      <c r="B882" s="109"/>
    </row>
    <row r="883" ht="18.75" customHeight="1">
      <c r="A883" s="24"/>
      <c r="B883" s="109"/>
    </row>
    <row r="884" ht="18.75" customHeight="1">
      <c r="A884" s="24"/>
      <c r="B884" s="109"/>
    </row>
    <row r="885" ht="18.75" customHeight="1">
      <c r="A885" s="24"/>
      <c r="B885" s="109"/>
    </row>
    <row r="886" ht="18.75" customHeight="1">
      <c r="A886" s="24"/>
      <c r="B886" s="109"/>
    </row>
    <row r="887" ht="18.75" customHeight="1">
      <c r="A887" s="24"/>
      <c r="B887" s="109"/>
    </row>
    <row r="888" ht="18.75" customHeight="1">
      <c r="A888" s="24"/>
      <c r="B888" s="109"/>
    </row>
    <row r="889" ht="18.75" customHeight="1">
      <c r="A889" s="24"/>
      <c r="B889" s="109"/>
    </row>
    <row r="890" ht="18.75" customHeight="1">
      <c r="A890" s="24"/>
      <c r="B890" s="109"/>
    </row>
    <row r="891" ht="18.75" customHeight="1">
      <c r="A891" s="24"/>
      <c r="B891" s="109"/>
    </row>
    <row r="892" ht="18.75" customHeight="1">
      <c r="A892" s="24"/>
      <c r="B892" s="109"/>
    </row>
    <row r="893" ht="18.75" customHeight="1">
      <c r="A893" s="24"/>
      <c r="B893" s="109"/>
    </row>
    <row r="894" ht="18.75" customHeight="1">
      <c r="A894" s="24"/>
      <c r="B894" s="109"/>
    </row>
    <row r="895" ht="18.75" customHeight="1">
      <c r="A895" s="24"/>
      <c r="B895" s="109"/>
    </row>
    <row r="896" ht="18.75" customHeight="1">
      <c r="A896" s="24"/>
      <c r="B896" s="109"/>
    </row>
    <row r="897" ht="18.75" customHeight="1">
      <c r="A897" s="24"/>
      <c r="B897" s="109"/>
    </row>
    <row r="898" ht="18.75" customHeight="1">
      <c r="A898" s="24"/>
      <c r="B898" s="109"/>
    </row>
    <row r="899" ht="18.75" customHeight="1">
      <c r="A899" s="24"/>
      <c r="B899" s="109"/>
    </row>
    <row r="900" ht="18.75" customHeight="1">
      <c r="A900" s="24"/>
      <c r="B900" s="109"/>
    </row>
    <row r="901" ht="18.75" customHeight="1">
      <c r="A901" s="24"/>
      <c r="B901" s="109"/>
    </row>
    <row r="902" ht="18.75" customHeight="1">
      <c r="A902" s="24"/>
      <c r="B902" s="109"/>
    </row>
    <row r="903" ht="18.75" customHeight="1">
      <c r="A903" s="24"/>
      <c r="B903" s="109"/>
    </row>
    <row r="904" ht="18.75" customHeight="1">
      <c r="A904" s="24"/>
      <c r="B904" s="109"/>
    </row>
    <row r="905" ht="18.75" customHeight="1">
      <c r="A905" s="24"/>
      <c r="B905" s="109"/>
    </row>
    <row r="906" ht="18.75" customHeight="1">
      <c r="A906" s="24"/>
      <c r="B906" s="109"/>
    </row>
    <row r="907" ht="18.75" customHeight="1">
      <c r="A907" s="24"/>
      <c r="B907" s="109"/>
    </row>
    <row r="908" ht="18.75" customHeight="1">
      <c r="A908" s="24"/>
      <c r="B908" s="109"/>
    </row>
    <row r="909" ht="18.75" customHeight="1">
      <c r="A909" s="24"/>
      <c r="B909" s="109"/>
    </row>
    <row r="910" ht="18.75" customHeight="1">
      <c r="A910" s="24"/>
      <c r="B910" s="109"/>
    </row>
    <row r="911" ht="18.75" customHeight="1">
      <c r="A911" s="24"/>
      <c r="B911" s="109"/>
    </row>
    <row r="912" ht="18.75" customHeight="1">
      <c r="A912" s="24"/>
      <c r="B912" s="109"/>
    </row>
    <row r="913" ht="18.75" customHeight="1">
      <c r="A913" s="24"/>
      <c r="B913" s="109"/>
    </row>
    <row r="914" ht="18.75" customHeight="1">
      <c r="A914" s="24"/>
      <c r="B914" s="109"/>
    </row>
    <row r="915" ht="18.75" customHeight="1">
      <c r="A915" s="24"/>
      <c r="B915" s="109"/>
    </row>
    <row r="916" ht="18.75" customHeight="1">
      <c r="A916" s="24"/>
      <c r="B916" s="109"/>
    </row>
    <row r="917" ht="18.75" customHeight="1">
      <c r="A917" s="24"/>
      <c r="B917" s="109"/>
    </row>
    <row r="918" ht="18.75" customHeight="1">
      <c r="A918" s="24"/>
      <c r="B918" s="109"/>
    </row>
    <row r="919" ht="18.75" customHeight="1">
      <c r="A919" s="24"/>
      <c r="B919" s="109"/>
    </row>
    <row r="920" ht="18.75" customHeight="1">
      <c r="A920" s="24"/>
      <c r="B920" s="109"/>
    </row>
    <row r="921" ht="18.75" customHeight="1">
      <c r="A921" s="24"/>
      <c r="B921" s="109"/>
    </row>
    <row r="922" ht="18.75" customHeight="1">
      <c r="A922" s="24"/>
      <c r="B922" s="109"/>
    </row>
    <row r="923" ht="18.75" customHeight="1">
      <c r="A923" s="24"/>
      <c r="B923" s="109"/>
    </row>
    <row r="924" ht="18.75" customHeight="1">
      <c r="A924" s="24"/>
      <c r="B924" s="109"/>
    </row>
    <row r="925" ht="18.75" customHeight="1">
      <c r="A925" s="24"/>
      <c r="B925" s="109"/>
    </row>
    <row r="926" ht="18.75" customHeight="1">
      <c r="A926" s="24"/>
      <c r="B926" s="109"/>
    </row>
    <row r="927" ht="18.75" customHeight="1">
      <c r="A927" s="24"/>
      <c r="B927" s="109"/>
    </row>
    <row r="928" ht="18.75" customHeight="1">
      <c r="A928" s="24"/>
      <c r="B928" s="109"/>
    </row>
    <row r="929" ht="18.75" customHeight="1">
      <c r="A929" s="24"/>
      <c r="B929" s="109"/>
    </row>
    <row r="930" ht="18.75" customHeight="1">
      <c r="A930" s="24"/>
      <c r="B930" s="109"/>
    </row>
    <row r="931" ht="18.75" customHeight="1">
      <c r="A931" s="24"/>
      <c r="B931" s="109"/>
    </row>
    <row r="932" ht="18.75" customHeight="1">
      <c r="A932" s="24"/>
      <c r="B932" s="109"/>
    </row>
    <row r="933" ht="18.75" customHeight="1">
      <c r="A933" s="24"/>
      <c r="B933" s="109"/>
    </row>
    <row r="934" ht="18.75" customHeight="1">
      <c r="A934" s="24"/>
      <c r="B934" s="109"/>
    </row>
    <row r="935" ht="18.75" customHeight="1">
      <c r="A935" s="24"/>
      <c r="B935" s="109"/>
    </row>
    <row r="936" ht="18.75" customHeight="1">
      <c r="A936" s="24"/>
      <c r="B936" s="109"/>
    </row>
    <row r="937" ht="18.75" customHeight="1">
      <c r="A937" s="24"/>
      <c r="B937" s="109"/>
    </row>
    <row r="938" ht="18.75" customHeight="1">
      <c r="A938" s="24"/>
      <c r="B938" s="109"/>
    </row>
    <row r="939" ht="18.75" customHeight="1">
      <c r="A939" s="24"/>
      <c r="B939" s="109"/>
    </row>
    <row r="940" ht="18.75" customHeight="1">
      <c r="A940" s="24"/>
      <c r="B940" s="109"/>
    </row>
    <row r="941" ht="18.75" customHeight="1">
      <c r="A941" s="24"/>
      <c r="B941" s="109"/>
    </row>
    <row r="942" ht="18.75" customHeight="1">
      <c r="A942" s="24"/>
      <c r="B942" s="109"/>
    </row>
    <row r="943" ht="18.75" customHeight="1">
      <c r="A943" s="24"/>
      <c r="B943" s="109"/>
    </row>
    <row r="944" ht="18.75" customHeight="1">
      <c r="A944" s="24"/>
      <c r="B944" s="109"/>
    </row>
    <row r="945" ht="18.75" customHeight="1">
      <c r="A945" s="24"/>
      <c r="B945" s="109"/>
    </row>
    <row r="946" ht="18.75" customHeight="1">
      <c r="A946" s="24"/>
      <c r="B946" s="109"/>
    </row>
    <row r="947" ht="18.75" customHeight="1">
      <c r="A947" s="24"/>
      <c r="B947" s="109"/>
    </row>
    <row r="948" ht="18.75" customHeight="1">
      <c r="A948" s="24"/>
      <c r="B948" s="109"/>
    </row>
    <row r="949" ht="18.75" customHeight="1">
      <c r="A949" s="24"/>
      <c r="B949" s="109"/>
    </row>
    <row r="950" ht="18.75" customHeight="1">
      <c r="A950" s="24"/>
      <c r="B950" s="109"/>
    </row>
    <row r="951" ht="18.75" customHeight="1">
      <c r="A951" s="24"/>
      <c r="B951" s="109"/>
    </row>
    <row r="952" ht="18.75" customHeight="1">
      <c r="A952" s="24"/>
      <c r="B952" s="109"/>
    </row>
    <row r="953" ht="18.75" customHeight="1">
      <c r="A953" s="24"/>
      <c r="B953" s="109"/>
    </row>
    <row r="954" ht="18.75" customHeight="1">
      <c r="A954" s="24"/>
      <c r="B954" s="109"/>
    </row>
    <row r="955" ht="18.75" customHeight="1">
      <c r="A955" s="24"/>
      <c r="B955" s="109"/>
    </row>
    <row r="956" ht="18.75" customHeight="1">
      <c r="A956" s="24"/>
      <c r="B956" s="109"/>
    </row>
    <row r="957" ht="18.75" customHeight="1">
      <c r="A957" s="24"/>
      <c r="B957" s="109"/>
    </row>
    <row r="958" ht="18.75" customHeight="1">
      <c r="A958" s="24"/>
      <c r="B958" s="109"/>
    </row>
    <row r="959" ht="18.75" customHeight="1">
      <c r="A959" s="24"/>
      <c r="B959" s="109"/>
    </row>
    <row r="960" ht="18.75" customHeight="1">
      <c r="A960" s="24"/>
      <c r="B960" s="109"/>
    </row>
    <row r="961" ht="18.75" customHeight="1">
      <c r="A961" s="24"/>
      <c r="B961" s="109"/>
    </row>
    <row r="962" ht="18.75" customHeight="1">
      <c r="A962" s="24"/>
      <c r="B962" s="109"/>
    </row>
    <row r="963" ht="18.75" customHeight="1">
      <c r="A963" s="24"/>
      <c r="B963" s="109"/>
    </row>
    <row r="964" ht="18.75" customHeight="1">
      <c r="A964" s="24"/>
      <c r="B964" s="109"/>
    </row>
    <row r="965" ht="18.75" customHeight="1">
      <c r="A965" s="24"/>
      <c r="B965" s="109"/>
    </row>
    <row r="966" ht="18.75" customHeight="1">
      <c r="A966" s="24"/>
      <c r="B966" s="109"/>
    </row>
    <row r="967" ht="18.75" customHeight="1">
      <c r="A967" s="24"/>
      <c r="B967" s="109"/>
    </row>
    <row r="968" ht="18.75" customHeight="1">
      <c r="A968" s="24"/>
      <c r="B968" s="109"/>
    </row>
    <row r="969" ht="18.75" customHeight="1">
      <c r="A969" s="24"/>
      <c r="B969" s="109"/>
    </row>
    <row r="970" ht="18.75" customHeight="1">
      <c r="A970" s="24"/>
      <c r="B970" s="109"/>
    </row>
    <row r="971" ht="18.75" customHeight="1">
      <c r="A971" s="24"/>
      <c r="B971" s="109"/>
    </row>
    <row r="972" ht="18.75" customHeight="1">
      <c r="A972" s="24"/>
      <c r="B972" s="109"/>
    </row>
    <row r="973" ht="18.75" customHeight="1">
      <c r="A973" s="24"/>
      <c r="B973" s="109"/>
    </row>
    <row r="974" ht="18.75" customHeight="1">
      <c r="A974" s="24"/>
      <c r="B974" s="109"/>
    </row>
    <row r="975" ht="18.75" customHeight="1">
      <c r="A975" s="24"/>
      <c r="B975" s="109"/>
    </row>
    <row r="976" ht="18.75" customHeight="1">
      <c r="A976" s="24"/>
      <c r="B976" s="109"/>
    </row>
    <row r="977" ht="18.75" customHeight="1">
      <c r="A977" s="24"/>
      <c r="B977" s="109"/>
    </row>
    <row r="978" ht="18.75" customHeight="1">
      <c r="A978" s="24"/>
      <c r="B978" s="109"/>
    </row>
    <row r="979" ht="18.75" customHeight="1">
      <c r="A979" s="24"/>
      <c r="B979" s="109"/>
    </row>
    <row r="980" ht="18.75" customHeight="1">
      <c r="A980" s="24"/>
      <c r="B980" s="109"/>
    </row>
    <row r="981" ht="18.75" customHeight="1">
      <c r="A981" s="24"/>
      <c r="B981" s="109"/>
    </row>
    <row r="982" ht="18.75" customHeight="1">
      <c r="A982" s="24"/>
      <c r="B982" s="109"/>
    </row>
    <row r="983" ht="18.75" customHeight="1">
      <c r="A983" s="24"/>
      <c r="B983" s="109"/>
    </row>
    <row r="984" ht="18.75" customHeight="1">
      <c r="A984" s="24"/>
      <c r="B984" s="109"/>
    </row>
    <row r="985" ht="18.75" customHeight="1">
      <c r="A985" s="24"/>
      <c r="B985" s="109"/>
    </row>
    <row r="986" ht="18.75" customHeight="1">
      <c r="A986" s="24"/>
      <c r="B986" s="109"/>
    </row>
    <row r="987" ht="18.75" customHeight="1">
      <c r="A987" s="24"/>
      <c r="B987" s="109"/>
    </row>
    <row r="988" ht="18.75" customHeight="1">
      <c r="A988" s="24"/>
      <c r="B988" s="109"/>
    </row>
    <row r="989" ht="18.75" customHeight="1">
      <c r="A989" s="24"/>
      <c r="B989" s="109"/>
    </row>
    <row r="990" ht="18.75" customHeight="1">
      <c r="A990" s="24"/>
      <c r="B990" s="109"/>
    </row>
    <row r="991" ht="18.75" customHeight="1">
      <c r="A991" s="24"/>
      <c r="B991" s="109"/>
    </row>
    <row r="992" ht="18.75" customHeight="1">
      <c r="A992" s="24"/>
      <c r="B992" s="109"/>
    </row>
    <row r="993" ht="18.75" customHeight="1">
      <c r="A993" s="24"/>
      <c r="B993" s="109"/>
    </row>
    <row r="994" ht="18.75" customHeight="1">
      <c r="A994" s="24"/>
      <c r="B994" s="109"/>
    </row>
    <row r="995" ht="18.75" customHeight="1">
      <c r="A995" s="24"/>
      <c r="B995" s="109"/>
    </row>
    <row r="996" ht="18.75" customHeight="1">
      <c r="A996" s="24"/>
      <c r="B996" s="109"/>
    </row>
    <row r="997" ht="18.75" customHeight="1">
      <c r="A997" s="24"/>
      <c r="B997" s="109"/>
    </row>
    <row r="998" ht="18.75" customHeight="1">
      <c r="A998" s="24"/>
      <c r="B998" s="109"/>
    </row>
    <row r="999" ht="18.75" customHeight="1">
      <c r="A999" s="24"/>
      <c r="B999" s="109"/>
    </row>
    <row r="1000" ht="18.75" customHeight="1">
      <c r="A1000" s="24"/>
      <c r="B1000" s="109"/>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3288</v>
      </c>
      <c r="B1" s="11" t="s">
        <v>3289</v>
      </c>
      <c r="C1" s="1" t="s">
        <v>3290</v>
      </c>
      <c r="D1" s="1" t="s">
        <v>3291</v>
      </c>
      <c r="E1" s="1" t="s">
        <v>2657</v>
      </c>
      <c r="F1" s="1" t="s">
        <v>3292</v>
      </c>
      <c r="G1" s="111" t="s">
        <v>3293</v>
      </c>
      <c r="H1" s="111" t="s">
        <v>3294</v>
      </c>
      <c r="I1" s="111" t="s">
        <v>3295</v>
      </c>
      <c r="J1" s="11" t="s">
        <v>3296</v>
      </c>
      <c r="K1" s="11" t="s">
        <v>3297</v>
      </c>
      <c r="L1" s="11" t="s">
        <v>3298</v>
      </c>
      <c r="M1" s="11" t="s">
        <v>3299</v>
      </c>
      <c r="N1" s="11" t="s">
        <v>2634</v>
      </c>
      <c r="O1" s="11" t="s">
        <v>2636</v>
      </c>
      <c r="P1" s="11" t="s">
        <v>2637</v>
      </c>
      <c r="Q1" s="11" t="s">
        <v>2638</v>
      </c>
      <c r="R1" s="11" t="s">
        <v>2910</v>
      </c>
      <c r="S1" s="11" t="s">
        <v>3300</v>
      </c>
      <c r="T1" s="11"/>
      <c r="U1" s="11"/>
      <c r="V1" s="11"/>
      <c r="W1" s="11" t="s">
        <v>3301</v>
      </c>
      <c r="X1" s="22" t="s">
        <v>3302</v>
      </c>
      <c r="Y1" s="22" t="s">
        <v>3303</v>
      </c>
      <c r="Z1" s="22" t="s">
        <v>3304</v>
      </c>
      <c r="AA1" s="22" t="s">
        <v>3305</v>
      </c>
      <c r="AB1" s="22" t="s">
        <v>3306</v>
      </c>
      <c r="AC1" s="22" t="s">
        <v>3307</v>
      </c>
      <c r="AD1" s="22" t="s">
        <v>3308</v>
      </c>
      <c r="AE1" s="112" t="s">
        <v>3309</v>
      </c>
      <c r="AF1" s="112" t="s">
        <v>3310</v>
      </c>
      <c r="AG1" s="112" t="s">
        <v>3311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3312</v>
      </c>
      <c r="S3" s="37" t="str">
        <f t="shared" ref="S3:S107" si="1">IFERROR(VLOOKUP(B3,$U:$V,2,FALSE),"")</f>
        <v>鳥系生物の巣</v>
      </c>
      <c r="U3" s="37" t="s">
        <v>1507</v>
      </c>
      <c r="V3" s="37" t="s">
        <v>3313</v>
      </c>
      <c r="W3" s="37" t="s">
        <v>3314</v>
      </c>
      <c r="X3" s="39" t="s">
        <v>3315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3316</v>
      </c>
      <c r="W4" s="37" t="s">
        <v>3317</v>
      </c>
      <c r="X4" s="39" t="s">
        <v>3315</v>
      </c>
      <c r="Y4" s="39">
        <v>7.0</v>
      </c>
      <c r="AA4" s="37"/>
      <c r="AD4" s="39">
        <v>1.0</v>
      </c>
      <c r="AE4" s="39">
        <v>0.0</v>
      </c>
      <c r="AF4" s="39">
        <v>45.0</v>
      </c>
      <c r="AG4" s="39" t="s">
        <v>3318</v>
      </c>
    </row>
    <row r="5" ht="18.75" customHeight="1" outlineLevel="1">
      <c r="A5" s="1" t="s">
        <v>54</v>
      </c>
      <c r="B5" s="11" t="s">
        <v>3319</v>
      </c>
      <c r="C5" s="37" t="str">
        <f>LET(
 _xlpm.dOK,COUNTIF('クラス'!A:A,E5)&gt;0,
 _xlpm.eOK,COUNTIF('クラス'!A:A,F5)&gt;0,
 IF(_xlpm.dOK,"○","×") &amp; IF(_xlpm.eOK,"○","×")
)</f>
        <v>××</v>
      </c>
      <c r="G5" s="39">
        <v>5.0</v>
      </c>
      <c r="H5" s="39">
        <v>10.0</v>
      </c>
      <c r="S5" s="37" t="str">
        <f t="shared" si="1"/>
        <v>虫系の巣</v>
      </c>
      <c r="U5" s="37" t="s">
        <v>3319</v>
      </c>
      <c r="V5" s="37" t="s">
        <v>3320</v>
      </c>
      <c r="W5" s="37" t="s">
        <v>3321</v>
      </c>
      <c r="X5" s="39" t="s">
        <v>3322</v>
      </c>
      <c r="Y5" s="39">
        <v>1.0</v>
      </c>
      <c r="AA5" s="37"/>
      <c r="AD5" s="39">
        <v>1.0</v>
      </c>
      <c r="AE5" s="39"/>
      <c r="AF5" s="39"/>
      <c r="AG5" s="39"/>
    </row>
    <row r="6" ht="18.75" customHeight="1" outlineLevel="1">
      <c r="A6" s="1" t="s">
        <v>54</v>
      </c>
      <c r="B6" s="11" t="s">
        <v>3323</v>
      </c>
      <c r="C6" s="37" t="str">
        <f>LET(
 _xlpm.dOK,COUNTIF('クラス'!A:A,E6)&gt;0,
 _xlpm.eOK,COUNTIF('クラス'!A:A,F6)&gt;0,
 IF(_xlpm.dOK,"○","×") &amp; IF(_xlpm.eOK,"○","×")
)</f>
        <v>××</v>
      </c>
      <c r="S6" s="37" t="str">
        <f t="shared" si="1"/>
        <v>地中生物の巣</v>
      </c>
      <c r="U6" s="37" t="s">
        <v>3323</v>
      </c>
      <c r="V6" s="37" t="s">
        <v>3324</v>
      </c>
      <c r="W6" s="37" t="s">
        <v>3325</v>
      </c>
      <c r="X6" s="39" t="s">
        <v>29</v>
      </c>
      <c r="Y6" s="39" t="s">
        <v>29</v>
      </c>
      <c r="AA6" s="37"/>
      <c r="AD6" s="39">
        <v>1.0</v>
      </c>
      <c r="AE6" s="39"/>
      <c r="AF6" s="39"/>
      <c r="AG6" s="39"/>
    </row>
    <row r="7" ht="18.75" customHeight="1" outlineLevel="1">
      <c r="A7" s="1" t="s">
        <v>54</v>
      </c>
      <c r="B7" s="11" t="s">
        <v>3326</v>
      </c>
      <c r="C7" s="37" t="str">
        <f>LET(
 _xlpm.dOK,COUNTIF('クラス'!A:A,E7)&gt;0,
 _xlpm.eOK,COUNTIF('クラス'!A:A,F7)&gt;0,
 IF(_xlpm.dOK,"○","×") &amp; IF(_xlpm.eOK,"○","×")
)</f>
        <v>○○</v>
      </c>
      <c r="D7" s="37" t="b">
        <v>1</v>
      </c>
      <c r="E7" s="37" t="s">
        <v>1494</v>
      </c>
      <c r="F7" s="37" t="s">
        <v>1507</v>
      </c>
      <c r="G7" s="39">
        <v>5.0</v>
      </c>
      <c r="H7" s="39">
        <v>15.0</v>
      </c>
      <c r="R7" s="37" t="s">
        <v>3326</v>
      </c>
      <c r="S7" s="37" t="str">
        <f t="shared" si="1"/>
        <v>肉食生物の巣</v>
      </c>
      <c r="U7" s="37" t="s">
        <v>3326</v>
      </c>
      <c r="V7" s="37" t="s">
        <v>3316</v>
      </c>
      <c r="W7" s="37" t="s">
        <v>3327</v>
      </c>
      <c r="X7" s="39" t="s">
        <v>3328</v>
      </c>
      <c r="Y7" s="39">
        <v>1.0</v>
      </c>
      <c r="AA7" s="37"/>
      <c r="AD7" s="39">
        <v>1.0</v>
      </c>
      <c r="AE7" s="39"/>
      <c r="AF7" s="39"/>
      <c r="AG7" s="39"/>
    </row>
    <row r="8" ht="18.75" customHeight="1" outlineLevel="1">
      <c r="A8" s="1" t="s">
        <v>54</v>
      </c>
      <c r="B8" s="11" t="s">
        <v>3329</v>
      </c>
      <c r="C8" s="37" t="str">
        <f>LET(
 _xlpm.dOK,COUNTIF('クラス'!A:A,E8)&gt;0,
 _xlpm.eOK,COUNTIF('クラス'!A:A,F8)&gt;0,
 IF(_xlpm.dOK,"○","×") &amp; IF(_xlpm.eOK,"○","×")
)</f>
        <v>○○</v>
      </c>
      <c r="E8" s="37" t="s">
        <v>1501</v>
      </c>
      <c r="F8" s="37" t="s">
        <v>1344</v>
      </c>
      <c r="G8" s="39">
        <v>5.0</v>
      </c>
      <c r="H8" s="39">
        <v>15.0</v>
      </c>
      <c r="R8" s="37" t="s">
        <v>3329</v>
      </c>
      <c r="S8" s="37" t="str">
        <f t="shared" si="1"/>
        <v>肉食生物の巣</v>
      </c>
      <c r="U8" s="37" t="s">
        <v>3329</v>
      </c>
      <c r="V8" s="37" t="s">
        <v>3316</v>
      </c>
      <c r="W8" s="37" t="s">
        <v>3330</v>
      </c>
      <c r="X8" s="39" t="s">
        <v>3328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3331</v>
      </c>
      <c r="W9" s="37" t="s">
        <v>3332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3224</v>
      </c>
      <c r="B11" s="11" t="s">
        <v>1501</v>
      </c>
      <c r="C11" s="37" t="str">
        <f>LET(
 _xlpm.dOK,COUNTIF('クラス'!A:A,E11)&gt;0,
 _xlpm.eOK,COUNTIF('クラス'!A:A,F11)&gt;0,
 IF(_xlpm.dOK,"○","×") &amp; IF(_xlpm.eOK,"○","×")
)</f>
        <v>○×</v>
      </c>
      <c r="D11" s="37" t="b">
        <v>1</v>
      </c>
      <c r="E11" s="37" t="s">
        <v>1501</v>
      </c>
      <c r="G11" s="39">
        <v>3.0</v>
      </c>
      <c r="H11" s="39">
        <v>7.0</v>
      </c>
      <c r="R11" s="37" t="s">
        <v>3333</v>
      </c>
      <c r="S11" s="37" t="str">
        <f t="shared" si="1"/>
        <v>肉食生物の巣</v>
      </c>
      <c r="U11" s="37" t="s">
        <v>1501</v>
      </c>
      <c r="V11" s="37" t="s">
        <v>3316</v>
      </c>
      <c r="W11" s="37" t="s">
        <v>3334</v>
      </c>
      <c r="X11" s="39" t="s">
        <v>3335</v>
      </c>
      <c r="Y11" s="39">
        <v>3.0</v>
      </c>
      <c r="AA11" s="37"/>
      <c r="AD11" s="39">
        <v>1.0</v>
      </c>
      <c r="AE11" s="39"/>
      <c r="AF11" s="39"/>
      <c r="AG11" s="39"/>
    </row>
    <row r="12" ht="18.75" customHeight="1" outlineLevel="1">
      <c r="A12" s="1" t="s">
        <v>3224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3316</v>
      </c>
      <c r="W12" s="37" t="s">
        <v>3336</v>
      </c>
      <c r="X12" s="39" t="s">
        <v>3315</v>
      </c>
      <c r="Y12" s="39">
        <v>7.0</v>
      </c>
      <c r="AA12" s="37"/>
      <c r="AD12" s="39">
        <v>1.0</v>
      </c>
      <c r="AE12" s="39">
        <v>0.0</v>
      </c>
      <c r="AF12" s="39">
        <v>45.0</v>
      </c>
      <c r="AG12" s="39" t="s">
        <v>3318</v>
      </c>
    </row>
    <row r="13" ht="18.75" customHeight="1" outlineLevel="1">
      <c r="A13" s="1" t="s">
        <v>3224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3316</v>
      </c>
      <c r="W13" s="37" t="s">
        <v>3337</v>
      </c>
      <c r="X13" s="39" t="s">
        <v>3338</v>
      </c>
      <c r="Y13" s="39">
        <v>1.0</v>
      </c>
      <c r="AA13" s="37"/>
      <c r="AD13" s="39">
        <v>1.0</v>
      </c>
      <c r="AE13" s="39">
        <v>0.0</v>
      </c>
      <c r="AF13" s="39">
        <v>45.0</v>
      </c>
      <c r="AG13" s="39" t="s">
        <v>3318</v>
      </c>
    </row>
    <row r="14" ht="18.75" customHeight="1" outlineLevel="1">
      <c r="A14" s="1" t="s">
        <v>3224</v>
      </c>
      <c r="B14" s="11" t="s">
        <v>3339</v>
      </c>
      <c r="C14" s="37" t="str">
        <f>LET(
 _xlpm.dOK,COUNTIF('クラス'!A:A,E14)&gt;0,
 _xlpm.eOK,COUNTIF('クラス'!A:A,F14)&gt;0,
 IF(_xlpm.dOK,"○","×") &amp; IF(_xlpm.eOK,"○","×")
)</f>
        <v>○×</v>
      </c>
      <c r="E14" s="37" t="s">
        <v>1504</v>
      </c>
      <c r="G14" s="39">
        <v>5.0</v>
      </c>
      <c r="H14" s="39">
        <v>10.0</v>
      </c>
      <c r="S14" s="37" t="str">
        <f t="shared" si="1"/>
        <v>地中生物の巣</v>
      </c>
      <c r="U14" s="37" t="s">
        <v>3339</v>
      </c>
      <c r="V14" s="37" t="s">
        <v>3324</v>
      </c>
      <c r="W14" s="37" t="s">
        <v>3340</v>
      </c>
      <c r="X14" s="39" t="s">
        <v>3341</v>
      </c>
      <c r="Y14" s="39">
        <v>2.0</v>
      </c>
      <c r="AA14" s="37"/>
      <c r="AD14" s="39">
        <v>1.0</v>
      </c>
      <c r="AE14" s="39">
        <v>0.0</v>
      </c>
      <c r="AF14" s="39">
        <v>45.0</v>
      </c>
      <c r="AG14" s="39" t="s">
        <v>3318</v>
      </c>
    </row>
    <row r="15" ht="18.75" customHeight="1" outlineLevel="1">
      <c r="A15" s="1" t="s">
        <v>3224</v>
      </c>
      <c r="B15" s="11" t="s">
        <v>3326</v>
      </c>
      <c r="C15" s="37" t="str">
        <f>LET(
 _xlpm.dOK,COUNTIF('クラス'!A:A,E15)&gt;0,
 _xlpm.eOK,COUNTIF('クラス'!A:A,F15)&gt;0,
 IF(_xlpm.dOK,"○","×") &amp; IF(_xlpm.eOK,"○","×")
)</f>
        <v>○○</v>
      </c>
      <c r="D15" s="37" t="b">
        <v>1</v>
      </c>
      <c r="E15" s="37" t="s">
        <v>1494</v>
      </c>
      <c r="F15" s="37" t="s">
        <v>1507</v>
      </c>
      <c r="G15" s="39">
        <v>5.0</v>
      </c>
      <c r="H15" s="39">
        <v>15.0</v>
      </c>
      <c r="R15" s="37" t="s">
        <v>3326</v>
      </c>
      <c r="S15" s="37" t="str">
        <f t="shared" si="1"/>
        <v>肉食生物の巣</v>
      </c>
      <c r="U15" s="37" t="s">
        <v>3326</v>
      </c>
      <c r="V15" s="37" t="s">
        <v>3316</v>
      </c>
      <c r="W15" s="37" t="s">
        <v>3342</v>
      </c>
      <c r="X15" s="39" t="s">
        <v>3328</v>
      </c>
      <c r="Y15" s="39">
        <v>1.0</v>
      </c>
      <c r="AA15" s="37"/>
      <c r="AD15" s="39">
        <v>1.0</v>
      </c>
      <c r="AE15" s="39"/>
      <c r="AF15" s="39"/>
      <c r="AG15" s="39"/>
    </row>
    <row r="16" ht="18.75" customHeight="1" outlineLevel="1">
      <c r="A16" s="1" t="s">
        <v>3224</v>
      </c>
      <c r="B16" s="11" t="s">
        <v>3329</v>
      </c>
      <c r="C16" s="37" t="str">
        <f>LET(
 _xlpm.dOK,COUNTIF('クラス'!A:A,E16)&gt;0,
 _xlpm.eOK,COUNTIF('クラス'!A:A,F16)&gt;0,
 IF(_xlpm.dOK,"○","×") &amp; IF(_xlpm.eOK,"○","×")
)</f>
        <v>○○</v>
      </c>
      <c r="E16" s="37" t="s">
        <v>1501</v>
      </c>
      <c r="F16" s="37" t="s">
        <v>1344</v>
      </c>
      <c r="G16" s="39">
        <v>5.0</v>
      </c>
      <c r="H16" s="39">
        <v>15.0</v>
      </c>
      <c r="R16" s="37" t="s">
        <v>3329</v>
      </c>
      <c r="S16" s="37" t="str">
        <f t="shared" si="1"/>
        <v>肉食生物の巣</v>
      </c>
      <c r="U16" s="37" t="s">
        <v>3329</v>
      </c>
      <c r="V16" s="37" t="s">
        <v>3316</v>
      </c>
      <c r="W16" s="37" t="s">
        <v>3343</v>
      </c>
      <c r="X16" s="39" t="s">
        <v>3328</v>
      </c>
      <c r="Y16" s="39">
        <v>6.0</v>
      </c>
      <c r="AA16" s="37"/>
      <c r="AD16" s="39">
        <v>1.0</v>
      </c>
      <c r="AE16" s="39"/>
      <c r="AF16" s="39"/>
      <c r="AG16" s="39"/>
    </row>
    <row r="17" ht="18.75" customHeight="1" outlineLevel="1">
      <c r="A17" s="1" t="s">
        <v>3224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3331</v>
      </c>
      <c r="W17" s="37" t="s">
        <v>3344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3345</v>
      </c>
      <c r="C19" s="37" t="str">
        <f>LET(
 _xlpm.dOK,COUNTIF('クラス'!A:A,E19)&gt;0,
 _xlpm.eOK,COUNTIF('クラス'!A:A,F19)&gt;0,
 IF(_xlpm.dOK,"○","×") &amp; IF(_xlpm.eOK,"○","×")
)</f>
        <v>××</v>
      </c>
      <c r="S19" s="37" t="str">
        <f t="shared" si="1"/>
        <v>死霊の巣</v>
      </c>
      <c r="U19" s="37" t="s">
        <v>3345</v>
      </c>
      <c r="V19" s="37" t="s">
        <v>3346</v>
      </c>
      <c r="W19" s="37" t="s">
        <v>3347</v>
      </c>
      <c r="X19" s="39" t="s">
        <v>29</v>
      </c>
      <c r="Y19" s="39" t="s">
        <v>29</v>
      </c>
      <c r="AA19" s="37"/>
      <c r="AD19" s="39">
        <v>1.0</v>
      </c>
      <c r="AE19" s="39"/>
      <c r="AF19" s="39"/>
      <c r="AG19" s="39"/>
    </row>
    <row r="20" ht="18.75" customHeight="1" outlineLevel="1">
      <c r="A20" s="1" t="s">
        <v>62</v>
      </c>
      <c r="B20" s="11" t="s">
        <v>3348</v>
      </c>
      <c r="C20" s="37" t="str">
        <f>LET(
 _xlpm.dOK,COUNTIF('クラス'!A:A,E20)&gt;0,
 _xlpm.eOK,COUNTIF('クラス'!A:A,F20)&gt;0,
 IF(_xlpm.dOK,"○","×") &amp; IF(_xlpm.eOK,"○","×")
)</f>
        <v>××</v>
      </c>
      <c r="S20" s="37" t="str">
        <f t="shared" si="1"/>
        <v>毒生成物の巣</v>
      </c>
      <c r="U20" s="37" t="s">
        <v>3348</v>
      </c>
      <c r="V20" s="37" t="s">
        <v>3349</v>
      </c>
      <c r="W20" s="37" t="s">
        <v>3350</v>
      </c>
      <c r="X20" s="39" t="s">
        <v>29</v>
      </c>
      <c r="Y20" s="39" t="s">
        <v>29</v>
      </c>
      <c r="AA20" s="37"/>
      <c r="AD20" s="39">
        <v>1.0</v>
      </c>
      <c r="AE20" s="39"/>
      <c r="AF20" s="39"/>
      <c r="AG20" s="39"/>
    </row>
    <row r="21" ht="18.75" customHeight="1" outlineLevel="1">
      <c r="A21" s="1" t="s">
        <v>62</v>
      </c>
      <c r="B21" s="11" t="s">
        <v>3351</v>
      </c>
      <c r="C21" s="37" t="str">
        <f>LET(
 _xlpm.dOK,COUNTIF('クラス'!A:A,E21)&gt;0,
 _xlpm.eOK,COUNTIF('クラス'!A:A,F21)&gt;0,
 IF(_xlpm.dOK,"○","×") &amp; IF(_xlpm.eOK,"○","×")
)</f>
        <v>××</v>
      </c>
      <c r="S21" s="37" t="str">
        <f t="shared" si="1"/>
        <v>飛竜の巣</v>
      </c>
      <c r="U21" s="37" t="s">
        <v>3351</v>
      </c>
      <c r="V21" s="37" t="s">
        <v>3331</v>
      </c>
      <c r="W21" s="37" t="s">
        <v>3352</v>
      </c>
      <c r="X21" s="39" t="s">
        <v>29</v>
      </c>
      <c r="Y21" s="39" t="s">
        <v>29</v>
      </c>
      <c r="AA21" s="37"/>
      <c r="AD21" s="39">
        <v>1.0</v>
      </c>
      <c r="AE21" s="39"/>
      <c r="AF21" s="39"/>
      <c r="AG21" s="39"/>
    </row>
    <row r="22" ht="18.75" customHeight="1" outlineLevel="1">
      <c r="A22" s="1" t="s">
        <v>62</v>
      </c>
      <c r="B22" s="11" t="s">
        <v>3353</v>
      </c>
      <c r="C22" s="37" t="str">
        <f>LET(
 _xlpm.dOK,COUNTIF('クラス'!A:A,E22)&gt;0,
 _xlpm.eOK,COUNTIF('クラス'!A:A,F22)&gt;0,
 IF(_xlpm.dOK,"○","×") &amp; IF(_xlpm.eOK,"○","×")
)</f>
        <v>××</v>
      </c>
      <c r="R22" s="37" t="s">
        <v>3353</v>
      </c>
      <c r="S22" s="37" t="str">
        <f t="shared" si="1"/>
        <v>地中生物の巣</v>
      </c>
      <c r="U22" s="37" t="s">
        <v>3353</v>
      </c>
      <c r="V22" s="37" t="s">
        <v>3324</v>
      </c>
      <c r="W22" s="37" t="s">
        <v>3354</v>
      </c>
      <c r="X22" s="39" t="s">
        <v>3341</v>
      </c>
      <c r="Y22" s="39">
        <v>3.0</v>
      </c>
      <c r="AA22" s="37"/>
      <c r="AD22" s="39">
        <v>1.0</v>
      </c>
      <c r="AE22" s="39"/>
      <c r="AF22" s="39"/>
      <c r="AG22" s="39"/>
    </row>
    <row r="23" ht="18.75" customHeight="1" outlineLevel="1">
      <c r="A23" s="1" t="s">
        <v>62</v>
      </c>
      <c r="B23" s="11" t="s">
        <v>3355</v>
      </c>
      <c r="C23" s="37" t="str">
        <f>LET(
 _xlpm.dOK,COUNTIF('クラス'!A:A,E23)&gt;0,
 _xlpm.eOK,COUNTIF('クラス'!A:A,F23)&gt;0,
 IF(_xlpm.dOK,"○","×") &amp; IF(_xlpm.eOK,"○","×")
)</f>
        <v>××</v>
      </c>
      <c r="G23" s="39">
        <v>5.0</v>
      </c>
      <c r="H23" s="39">
        <v>10.0</v>
      </c>
      <c r="R23" s="37" t="s">
        <v>3356</v>
      </c>
      <c r="S23" s="37" t="str">
        <f t="shared" si="1"/>
        <v>虫系の巣</v>
      </c>
      <c r="U23" s="37" t="s">
        <v>3355</v>
      </c>
      <c r="V23" s="37" t="s">
        <v>3320</v>
      </c>
      <c r="W23" s="37" t="s">
        <v>3357</v>
      </c>
      <c r="X23" s="39" t="s">
        <v>3322</v>
      </c>
      <c r="Y23" s="39">
        <v>7.0</v>
      </c>
      <c r="AA23" s="37"/>
      <c r="AD23" s="39">
        <v>1.0</v>
      </c>
      <c r="AE23" s="39"/>
      <c r="AF23" s="39"/>
      <c r="AG23" s="39"/>
    </row>
    <row r="24" ht="18.75" customHeight="1" outlineLevel="1">
      <c r="A24" s="1" t="s">
        <v>62</v>
      </c>
      <c r="B24" s="11" t="s">
        <v>3358</v>
      </c>
      <c r="C24" s="37" t="str">
        <f>LET(
 _xlpm.dOK,COUNTIF('クラス'!A:A,E24)&gt;0,
 _xlpm.eOK,COUNTIF('クラス'!A:A,F24)&gt;0,
 IF(_xlpm.dOK,"○","×") &amp; IF(_xlpm.eOK,"○","×")
)</f>
        <v>××</v>
      </c>
      <c r="S24" s="37" t="str">
        <f t="shared" si="1"/>
        <v>肉食生物の巣</v>
      </c>
      <c r="U24" s="37" t="s">
        <v>3358</v>
      </c>
      <c r="V24" s="37" t="s">
        <v>3316</v>
      </c>
      <c r="W24" s="37" t="s">
        <v>3359</v>
      </c>
      <c r="X24" s="39" t="s">
        <v>3328</v>
      </c>
      <c r="Y24" s="39">
        <v>5.0</v>
      </c>
      <c r="AA24" s="37"/>
      <c r="AD24" s="39">
        <v>1.0</v>
      </c>
      <c r="AE24" s="39"/>
      <c r="AF24" s="39"/>
      <c r="AG24" s="39"/>
    </row>
    <row r="25" ht="18.75" customHeight="1" outlineLevel="1">
      <c r="A25" s="1" t="s">
        <v>62</v>
      </c>
      <c r="B25" s="11" t="s">
        <v>3360</v>
      </c>
      <c r="C25" s="37" t="str">
        <f>LET(
 _xlpm.dOK,COUNTIF('クラス'!A:A,E25)&gt;0,
 _xlpm.eOK,COUNTIF('クラス'!A:A,F25)&gt;0,
 IF(_xlpm.dOK,"○","×") &amp; IF(_xlpm.eOK,"○","×")
)</f>
        <v>××</v>
      </c>
      <c r="S25" s="37" t="str">
        <f t="shared" si="1"/>
        <v>土の輪</v>
      </c>
      <c r="U25" s="37" t="s">
        <v>3360</v>
      </c>
      <c r="V25" s="37" t="s">
        <v>3361</v>
      </c>
      <c r="W25" s="37" t="s">
        <v>3362</v>
      </c>
      <c r="X25" s="39" t="s">
        <v>29</v>
      </c>
      <c r="Y25" s="39" t="s">
        <v>29</v>
      </c>
      <c r="AA25" s="37"/>
      <c r="AD25" s="39">
        <v>1.0</v>
      </c>
      <c r="AE25" s="39"/>
      <c r="AF25" s="39"/>
      <c r="AG25" s="39"/>
    </row>
    <row r="26" ht="18.75" customHeight="1" outlineLevel="1">
      <c r="A26" s="1" t="s">
        <v>62</v>
      </c>
      <c r="B26" s="11" t="s">
        <v>3339</v>
      </c>
      <c r="C26" s="37" t="str">
        <f>LET(
 _xlpm.dOK,COUNTIF('クラス'!A:A,E26)&gt;0,
 _xlpm.eOK,COUNTIF('クラス'!A:A,F26)&gt;0,
 IF(_xlpm.dOK,"○","×") &amp; IF(_xlpm.eOK,"○","×")
)</f>
        <v>××</v>
      </c>
      <c r="G26" s="39">
        <v>5.0</v>
      </c>
      <c r="H26" s="39">
        <v>10.0</v>
      </c>
      <c r="R26" s="37" t="s">
        <v>3339</v>
      </c>
      <c r="S26" s="37" t="str">
        <f t="shared" si="1"/>
        <v>地中生物の巣</v>
      </c>
      <c r="U26" s="37" t="s">
        <v>3339</v>
      </c>
      <c r="V26" s="37" t="s">
        <v>3324</v>
      </c>
      <c r="W26" s="37" t="s">
        <v>3363</v>
      </c>
      <c r="X26" s="39" t="s">
        <v>3341</v>
      </c>
      <c r="Y26" s="39">
        <v>2.0</v>
      </c>
      <c r="AA26" s="37"/>
      <c r="AD26" s="39">
        <v>1.0</v>
      </c>
      <c r="AE26" s="39"/>
      <c r="AF26" s="39"/>
      <c r="AG26" s="39"/>
    </row>
    <row r="27" ht="18.75" customHeight="1" outlineLevel="1">
      <c r="A27" s="1" t="s">
        <v>62</v>
      </c>
      <c r="B27" s="11" t="s">
        <v>3364</v>
      </c>
      <c r="C27" s="37" t="str">
        <f>LET(
 _xlpm.dOK,COUNTIF('クラス'!A:A,E27)&gt;0,
 _xlpm.eOK,COUNTIF('クラス'!A:A,F27)&gt;0,
 IF(_xlpm.dOK,"○","×") &amp; IF(_xlpm.eOK,"○","×")
)</f>
        <v>××</v>
      </c>
      <c r="S27" s="37" t="str">
        <f t="shared" si="1"/>
        <v>死霊の巣</v>
      </c>
      <c r="U27" s="37" t="s">
        <v>3364</v>
      </c>
      <c r="V27" s="37" t="s">
        <v>3346</v>
      </c>
      <c r="W27" s="37" t="s">
        <v>3365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3366</v>
      </c>
      <c r="V29" s="37" t="s">
        <v>3367</v>
      </c>
      <c r="X29" s="39" t="s">
        <v>29</v>
      </c>
      <c r="Y29" s="39" t="s">
        <v>29</v>
      </c>
      <c r="AA29" s="37"/>
      <c r="AD29" s="37"/>
      <c r="AE29" s="37"/>
      <c r="AF29" s="37"/>
      <c r="AG29" s="37"/>
    </row>
    <row r="30" ht="18.75" customHeight="1">
      <c r="A30" s="1" t="s">
        <v>56</v>
      </c>
      <c r="B30" s="11" t="s">
        <v>3366</v>
      </c>
      <c r="C30" s="37" t="str">
        <f>LET(
 _xlpm.dOK,COUNTIF('クラス'!A:A,E30)&gt;0,
 _xlpm.eOK,COUNTIF('クラス'!A:A,F30)&gt;0,
 IF(_xlpm.dOK,"○","×") &amp; IF(_xlpm.eOK,"○","×")
)</f>
        <v>××</v>
      </c>
      <c r="S30" s="37" t="str">
        <f t="shared" si="1"/>
        <v>植物生物の巣</v>
      </c>
      <c r="U30" s="37" t="s">
        <v>1265</v>
      </c>
      <c r="V30" s="37" t="s">
        <v>3367</v>
      </c>
      <c r="W30" s="37" t="s">
        <v>3368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3369</v>
      </c>
      <c r="V31" s="37" t="s">
        <v>3316</v>
      </c>
      <c r="W31" s="37" t="s">
        <v>3370</v>
      </c>
      <c r="X31" s="39" t="s">
        <v>29</v>
      </c>
      <c r="Y31" s="39" t="s">
        <v>29</v>
      </c>
      <c r="AA31" s="37"/>
      <c r="AD31" s="39">
        <v>1.0</v>
      </c>
      <c r="AE31" s="39"/>
      <c r="AF31" s="39"/>
      <c r="AG31" s="39"/>
    </row>
    <row r="32" ht="18.75" customHeight="1" outlineLevel="1">
      <c r="A32" s="1" t="s">
        <v>56</v>
      </c>
      <c r="B32" s="11" t="s">
        <v>3369</v>
      </c>
      <c r="C32" s="37" t="str">
        <f>LET(
 _xlpm.dOK,COUNTIF('クラス'!A:A,E32)&gt;0,
 _xlpm.eOK,COUNTIF('クラス'!A:A,F32)&gt;0,
 IF(_xlpm.dOK,"○","×") &amp; IF(_xlpm.eOK,"○","×")
)</f>
        <v>○○</v>
      </c>
      <c r="D32" s="37" t="b">
        <v>1</v>
      </c>
      <c r="E32" s="37" t="s">
        <v>1511</v>
      </c>
      <c r="F32" s="37" t="s">
        <v>1766</v>
      </c>
      <c r="G32" s="37">
        <v>15.0</v>
      </c>
      <c r="H32" s="37">
        <v>25.0</v>
      </c>
      <c r="R32" s="37" t="s">
        <v>3369</v>
      </c>
      <c r="S32" s="37" t="str">
        <f t="shared" si="1"/>
        <v>肉食生物の巣</v>
      </c>
      <c r="U32" s="37" t="s">
        <v>3371</v>
      </c>
      <c r="V32" s="37" t="s">
        <v>3349</v>
      </c>
      <c r="W32" s="37" t="s">
        <v>3372</v>
      </c>
      <c r="X32" s="39" t="s">
        <v>3328</v>
      </c>
      <c r="Y32" s="39">
        <v>4.0</v>
      </c>
      <c r="AA32" s="37"/>
      <c r="AD32" s="39">
        <v>1.0</v>
      </c>
      <c r="AE32" s="39"/>
      <c r="AF32" s="39"/>
      <c r="AG32" s="39"/>
    </row>
    <row r="33" ht="18.75" customHeight="1" outlineLevel="1">
      <c r="A33" s="1" t="s">
        <v>56</v>
      </c>
      <c r="B33" s="11" t="s">
        <v>3371</v>
      </c>
      <c r="C33" s="37" t="str">
        <f>LET(
 _xlpm.dOK,COUNTIF('クラス'!A:A,E33)&gt;0,
 _xlpm.eOK,COUNTIF('クラス'!A:A,F33)&gt;0,
 IF(_xlpm.dOK,"○","×") &amp; IF(_xlpm.eOK,"○","×")
)</f>
        <v>××</v>
      </c>
      <c r="S33" s="37" t="str">
        <f t="shared" si="1"/>
        <v>毒生成物の巣</v>
      </c>
      <c r="U33" s="37" t="s">
        <v>3373</v>
      </c>
      <c r="V33" s="37" t="s">
        <v>3367</v>
      </c>
      <c r="W33" s="37" t="s">
        <v>3374</v>
      </c>
      <c r="X33" s="39" t="s">
        <v>29</v>
      </c>
      <c r="Y33" s="39" t="s">
        <v>29</v>
      </c>
      <c r="AA33" s="37"/>
      <c r="AD33" s="39">
        <v>1.0</v>
      </c>
      <c r="AE33" s="39"/>
      <c r="AF33" s="39"/>
      <c r="AG33" s="39"/>
    </row>
    <row r="34" ht="18.75" customHeight="1" outlineLevel="1">
      <c r="A34" s="1" t="s">
        <v>56</v>
      </c>
      <c r="B34" s="11" t="s">
        <v>3373</v>
      </c>
      <c r="C34" s="37" t="str">
        <f>LET(
 _xlpm.dOK,COUNTIF('クラス'!A:A,E34)&gt;0,
 _xlpm.eOK,COUNTIF('クラス'!A:A,F34)&gt;0,
 IF(_xlpm.dOK,"○","×") &amp; IF(_xlpm.eOK,"○","×")
)</f>
        <v>××</v>
      </c>
      <c r="S34" s="37" t="str">
        <f t="shared" si="1"/>
        <v>植物生物の巣</v>
      </c>
      <c r="U34" s="37" t="s">
        <v>3375</v>
      </c>
      <c r="V34" s="37" t="s">
        <v>3367</v>
      </c>
      <c r="W34" s="37" t="s">
        <v>3376</v>
      </c>
      <c r="X34" s="39" t="s">
        <v>29</v>
      </c>
      <c r="Y34" s="39" t="s">
        <v>29</v>
      </c>
      <c r="AA34" s="37"/>
      <c r="AD34" s="39">
        <v>1.0</v>
      </c>
      <c r="AE34" s="39"/>
      <c r="AF34" s="39"/>
      <c r="AG34" s="39"/>
    </row>
    <row r="35" ht="18.75" customHeight="1" outlineLevel="1">
      <c r="A35" s="1" t="s">
        <v>56</v>
      </c>
      <c r="B35" s="11" t="s">
        <v>3375</v>
      </c>
      <c r="C35" s="37" t="str">
        <f>LET(
 _xlpm.dOK,COUNTIF('クラス'!A:A,E35)&gt;0,
 _xlpm.eOK,COUNTIF('クラス'!A:A,F35)&gt;0,
 IF(_xlpm.dOK,"○","×") &amp; IF(_xlpm.eOK,"○","×")
)</f>
        <v>××</v>
      </c>
      <c r="S35" s="37" t="str">
        <f t="shared" si="1"/>
        <v>植物生物の巣</v>
      </c>
      <c r="U35" s="37" t="s">
        <v>3377</v>
      </c>
      <c r="V35" s="37" t="s">
        <v>3367</v>
      </c>
      <c r="W35" s="37" t="s">
        <v>3378</v>
      </c>
      <c r="X35" s="39" t="s">
        <v>29</v>
      </c>
      <c r="Y35" s="39" t="s">
        <v>29</v>
      </c>
      <c r="AA35" s="37"/>
      <c r="AD35" s="39">
        <v>1.0</v>
      </c>
      <c r="AE35" s="39"/>
      <c r="AF35" s="39"/>
      <c r="AG35" s="39"/>
    </row>
    <row r="36" ht="18.75" customHeight="1" outlineLevel="1">
      <c r="A36" s="1" t="s">
        <v>56</v>
      </c>
      <c r="B36" s="11" t="s">
        <v>3377</v>
      </c>
      <c r="C36" s="37" t="str">
        <f>LET(
 _xlpm.dOK,COUNTIF('クラス'!A:A,E36)&gt;0,
 _xlpm.eOK,COUNTIF('クラス'!A:A,F36)&gt;0,
 IF(_xlpm.dOK,"○","×") &amp; IF(_xlpm.eOK,"○","×")
)</f>
        <v>××</v>
      </c>
      <c r="S36" s="37" t="str">
        <f t="shared" si="1"/>
        <v>植物生物の巣</v>
      </c>
      <c r="U36" s="37" t="s">
        <v>3379</v>
      </c>
      <c r="V36" s="37" t="s">
        <v>3380</v>
      </c>
      <c r="W36" s="37" t="s">
        <v>3381</v>
      </c>
      <c r="X36" s="39" t="s">
        <v>29</v>
      </c>
      <c r="Y36" s="39" t="s">
        <v>29</v>
      </c>
      <c r="AA36" s="37"/>
      <c r="AD36" s="39">
        <v>1.0</v>
      </c>
      <c r="AE36" s="39"/>
      <c r="AF36" s="39"/>
      <c r="AG36" s="39"/>
    </row>
    <row r="37" ht="18.75" customHeight="1" outlineLevel="1">
      <c r="A37" s="1" t="s">
        <v>56</v>
      </c>
      <c r="B37" s="11" t="s">
        <v>3379</v>
      </c>
      <c r="C37" s="37" t="str">
        <f>LET(
 _xlpm.dOK,COUNTIF('クラス'!A:A,E37)&gt;0,
 _xlpm.eOK,COUNTIF('クラス'!A:A,F37)&gt;0,
 IF(_xlpm.dOK,"○","×") &amp; IF(_xlpm.eOK,"○","×")
)</f>
        <v>××</v>
      </c>
      <c r="S37" s="37" t="str">
        <f t="shared" si="1"/>
        <v>風の輪</v>
      </c>
      <c r="U37" s="37" t="s">
        <v>1494</v>
      </c>
      <c r="V37" s="37" t="s">
        <v>3316</v>
      </c>
      <c r="W37" s="37" t="s">
        <v>3382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3316</v>
      </c>
      <c r="W38" s="37" t="s">
        <v>3383</v>
      </c>
      <c r="X38" s="39" t="s">
        <v>3338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3333</v>
      </c>
      <c r="S39" s="37" t="str">
        <f t="shared" si="1"/>
        <v>肉食生物の巣</v>
      </c>
      <c r="W39" s="37" t="s">
        <v>3384</v>
      </c>
      <c r="X39" s="39" t="s">
        <v>3335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3385</v>
      </c>
      <c r="V40" s="37" t="s">
        <v>3331</v>
      </c>
      <c r="X40" s="39" t="s">
        <v>29</v>
      </c>
      <c r="Y40" s="39" t="s">
        <v>29</v>
      </c>
      <c r="AA40" s="37"/>
      <c r="AD40" s="37"/>
      <c r="AE40" s="37"/>
      <c r="AF40" s="37"/>
      <c r="AG40" s="37"/>
    </row>
    <row r="41" ht="18.75" customHeight="1" outlineLevel="1">
      <c r="A41" s="1" t="s">
        <v>63</v>
      </c>
      <c r="B41" s="11" t="s">
        <v>3385</v>
      </c>
      <c r="C41" s="37" t="str">
        <f>LET(
 _xlpm.dOK,COUNTIF('クラス'!A:A,E41)&gt;0,
 _xlpm.eOK,COUNTIF('クラス'!A:A,F41)&gt;0,
 IF(_xlpm.dOK,"○","×") &amp; IF(_xlpm.eOK,"○","×")
)</f>
        <v>××</v>
      </c>
      <c r="S41" s="37" t="str">
        <f t="shared" si="1"/>
        <v>飛竜の巣</v>
      </c>
      <c r="U41" s="37" t="s">
        <v>3373</v>
      </c>
      <c r="V41" s="37" t="s">
        <v>3367</v>
      </c>
      <c r="W41" s="37" t="s">
        <v>3386</v>
      </c>
      <c r="X41" s="39" t="s">
        <v>29</v>
      </c>
      <c r="Y41" s="39" t="s">
        <v>29</v>
      </c>
      <c r="AA41" s="37"/>
      <c r="AD41" s="39">
        <v>1.0</v>
      </c>
      <c r="AE41" s="39"/>
      <c r="AF41" s="39"/>
      <c r="AG41" s="39"/>
    </row>
    <row r="42" ht="18.75" customHeight="1" outlineLevel="1">
      <c r="A42" s="1" t="s">
        <v>63</v>
      </c>
      <c r="B42" s="11" t="s">
        <v>3373</v>
      </c>
      <c r="C42" s="37" t="str">
        <f>LET(
 _xlpm.dOK,COUNTIF('クラス'!A:A,E42)&gt;0,
 _xlpm.eOK,COUNTIF('クラス'!A:A,F42)&gt;0,
 IF(_xlpm.dOK,"○","×") &amp; IF(_xlpm.eOK,"○","×")
)</f>
        <v>××</v>
      </c>
      <c r="S42" s="37" t="str">
        <f t="shared" si="1"/>
        <v>植物生物の巣</v>
      </c>
      <c r="U42" s="37" t="s">
        <v>3387</v>
      </c>
      <c r="V42" s="37" t="s">
        <v>3388</v>
      </c>
      <c r="W42" s="37" t="s">
        <v>3389</v>
      </c>
      <c r="X42" s="39" t="s">
        <v>29</v>
      </c>
      <c r="Y42" s="39" t="s">
        <v>29</v>
      </c>
      <c r="AA42" s="37"/>
      <c r="AD42" s="39">
        <v>1.0</v>
      </c>
      <c r="AE42" s="39"/>
      <c r="AF42" s="39"/>
      <c r="AG42" s="39"/>
    </row>
    <row r="43" ht="18.75" customHeight="1" outlineLevel="1">
      <c r="A43" s="1" t="s">
        <v>63</v>
      </c>
      <c r="B43" s="11" t="s">
        <v>3387</v>
      </c>
      <c r="C43" s="37" t="str">
        <f>LET(
 _xlpm.dOK,COUNTIF('クラス'!A:A,E43)&gt;0,
 _xlpm.eOK,COUNTIF('クラス'!A:A,F43)&gt;0,
 IF(_xlpm.dOK,"○","×") &amp; IF(_xlpm.eOK,"○","×")
)</f>
        <v>××</v>
      </c>
      <c r="S43" s="37" t="str">
        <f t="shared" si="1"/>
        <v>闇の輪</v>
      </c>
      <c r="U43" s="37" t="s">
        <v>3390</v>
      </c>
      <c r="V43" s="37" t="s">
        <v>3316</v>
      </c>
      <c r="W43" s="37" t="s">
        <v>3391</v>
      </c>
      <c r="X43" s="39" t="s">
        <v>29</v>
      </c>
      <c r="Y43" s="39" t="s">
        <v>29</v>
      </c>
      <c r="AA43" s="37"/>
      <c r="AD43" s="39">
        <v>1.0</v>
      </c>
      <c r="AE43" s="39"/>
      <c r="AF43" s="39"/>
      <c r="AG43" s="39"/>
    </row>
    <row r="44" ht="18.75" customHeight="1" outlineLevel="1">
      <c r="A44" s="1" t="s">
        <v>63</v>
      </c>
      <c r="B44" s="11" t="s">
        <v>3390</v>
      </c>
      <c r="C44" s="37" t="str">
        <f>LET(
 _xlpm.dOK,COUNTIF('クラス'!A:A,E44)&gt;0,
 _xlpm.eOK,COUNTIF('クラス'!A:A,F44)&gt;0,
 IF(_xlpm.dOK,"○","×") &amp; IF(_xlpm.eOK,"○","×")
)</f>
        <v>××</v>
      </c>
      <c r="S44" s="37" t="str">
        <f t="shared" si="1"/>
        <v>肉食生物の巣</v>
      </c>
      <c r="U44" s="37" t="s">
        <v>3392</v>
      </c>
      <c r="V44" s="37" t="s">
        <v>3316</v>
      </c>
      <c r="W44" s="37" t="s">
        <v>3393</v>
      </c>
      <c r="X44" s="39" t="s">
        <v>29</v>
      </c>
      <c r="Y44" s="39" t="s">
        <v>29</v>
      </c>
      <c r="AA44" s="37"/>
      <c r="AD44" s="39">
        <v>1.0</v>
      </c>
      <c r="AE44" s="39"/>
      <c r="AF44" s="39"/>
      <c r="AG44" s="39"/>
    </row>
    <row r="45" ht="18.75" customHeight="1" outlineLevel="1">
      <c r="A45" s="1" t="s">
        <v>63</v>
      </c>
      <c r="B45" s="11" t="s">
        <v>3392</v>
      </c>
      <c r="C45" s="37" t="str">
        <f>LET(
 _xlpm.dOK,COUNTIF('クラス'!A:A,E45)&gt;0,
 _xlpm.eOK,COUNTIF('クラス'!A:A,F45)&gt;0,
 IF(_xlpm.dOK,"○","×") &amp; IF(_xlpm.eOK,"○","×")
)</f>
        <v>××</v>
      </c>
      <c r="S45" s="37" t="str">
        <f t="shared" si="1"/>
        <v>肉食生物の巣</v>
      </c>
      <c r="U45" s="37" t="s">
        <v>1988</v>
      </c>
      <c r="V45" s="37" t="s">
        <v>3324</v>
      </c>
      <c r="W45" s="37" t="s">
        <v>3394</v>
      </c>
      <c r="X45" s="39" t="s">
        <v>3328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3395</v>
      </c>
      <c r="V46" s="37" t="s">
        <v>3331</v>
      </c>
      <c r="W46" s="37" t="s">
        <v>3396</v>
      </c>
      <c r="X46" s="39" t="s">
        <v>29</v>
      </c>
      <c r="Y46" s="39" t="s">
        <v>29</v>
      </c>
      <c r="AA46" s="37"/>
      <c r="AD46" s="39">
        <v>1.0</v>
      </c>
      <c r="AE46" s="39"/>
      <c r="AF46" s="39"/>
      <c r="AG46" s="39"/>
    </row>
    <row r="47" ht="18.75" customHeight="1" outlineLevel="1">
      <c r="A47" s="1" t="s">
        <v>63</v>
      </c>
      <c r="B47" s="11" t="s">
        <v>3395</v>
      </c>
      <c r="C47" s="37" t="str">
        <f>LET(
 _xlpm.dOK,COUNTIF('クラス'!A:A,E47)&gt;0,
 _xlpm.eOK,COUNTIF('クラス'!A:A,F47)&gt;0,
 IF(_xlpm.dOK,"○","×") &amp; IF(_xlpm.eOK,"○","×")
)</f>
        <v>××</v>
      </c>
      <c r="S47" s="37" t="str">
        <f t="shared" si="1"/>
        <v>飛竜の巣</v>
      </c>
      <c r="W47" s="37" t="s">
        <v>3397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3398</v>
      </c>
      <c r="V48" s="37" t="s">
        <v>3313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3313</v>
      </c>
      <c r="X49" s="39" t="s">
        <v>29</v>
      </c>
      <c r="Y49" s="39" t="s">
        <v>29</v>
      </c>
      <c r="AA49" s="37"/>
      <c r="AD49" s="37"/>
      <c r="AE49" s="37"/>
      <c r="AF49" s="37"/>
      <c r="AG49" s="37"/>
    </row>
    <row r="50" ht="18.75" customHeight="1">
      <c r="A50" s="1" t="s">
        <v>58</v>
      </c>
      <c r="B50" s="11" t="s">
        <v>3398</v>
      </c>
      <c r="C50" s="37" t="str">
        <f>LET(
 _xlpm.dOK,COUNTIF('クラス'!A:A,E50)&gt;0,
 _xlpm.eOK,COUNTIF('クラス'!A:A,F50)&gt;0,
 IF(_xlpm.dOK,"○","×") &amp; IF(_xlpm.eOK,"○","×")
)</f>
        <v>○○</v>
      </c>
      <c r="D50" s="37" t="b">
        <v>1</v>
      </c>
      <c r="E50" s="37" t="s">
        <v>1494</v>
      </c>
      <c r="F50" s="37" t="s">
        <v>1507</v>
      </c>
      <c r="G50" s="39">
        <v>5.0</v>
      </c>
      <c r="H50" s="39">
        <v>15.0</v>
      </c>
      <c r="R50" s="37" t="s">
        <v>3398</v>
      </c>
      <c r="S50" s="37" t="str">
        <f t="shared" si="1"/>
        <v>鳥系生物の巣</v>
      </c>
      <c r="U50" s="37" t="s">
        <v>1491</v>
      </c>
      <c r="V50" s="37" t="s">
        <v>3361</v>
      </c>
      <c r="W50" s="37" t="s">
        <v>3399</v>
      </c>
      <c r="X50" s="39" t="s">
        <v>3328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3400</v>
      </c>
      <c r="R51" s="37" t="s">
        <v>1507</v>
      </c>
      <c r="S51" s="37" t="str">
        <f t="shared" si="1"/>
        <v>鳥系生物の巣</v>
      </c>
      <c r="U51" s="37" t="s">
        <v>3401</v>
      </c>
      <c r="V51" s="37" t="s">
        <v>3316</v>
      </c>
      <c r="W51" s="37" t="s">
        <v>3402</v>
      </c>
      <c r="X51" s="39" t="s">
        <v>3315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3403</v>
      </c>
      <c r="S52" s="37" t="str">
        <f t="shared" si="1"/>
        <v>土の輪</v>
      </c>
      <c r="U52" s="37" t="s">
        <v>3323</v>
      </c>
      <c r="V52" s="37" t="s">
        <v>3324</v>
      </c>
      <c r="W52" s="37" t="s">
        <v>3404</v>
      </c>
      <c r="X52" s="39" t="s">
        <v>3405</v>
      </c>
      <c r="Y52" s="39">
        <v>1.0</v>
      </c>
      <c r="Z52" s="39" t="b">
        <v>1</v>
      </c>
      <c r="AA52" s="39"/>
      <c r="AB52" s="39"/>
      <c r="AC52" s="39"/>
      <c r="AD52" s="39">
        <v>1.0</v>
      </c>
      <c r="AE52" s="39"/>
      <c r="AF52" s="39"/>
      <c r="AG52" s="39"/>
    </row>
    <row r="53" ht="18.75" customHeight="1" outlineLevel="1">
      <c r="A53" s="1" t="s">
        <v>58</v>
      </c>
      <c r="B53" s="11" t="s">
        <v>3401</v>
      </c>
      <c r="C53" s="37" t="str">
        <f>LET(
 _xlpm.dOK,COUNTIF('クラス'!A:A,E53)&gt;0,
 _xlpm.eOK,COUNTIF('クラス'!A:A,F53)&gt;0,
 IF(_xlpm.dOK,"○","×") &amp; IF(_xlpm.eOK,"○","×")
)</f>
        <v>○○</v>
      </c>
      <c r="E53" s="37" t="s">
        <v>1494</v>
      </c>
      <c r="F53" s="37" t="s">
        <v>1504</v>
      </c>
      <c r="G53" s="39">
        <v>5.0</v>
      </c>
      <c r="H53" s="39">
        <v>15.0</v>
      </c>
      <c r="R53" s="37" t="s">
        <v>3401</v>
      </c>
      <c r="S53" s="37" t="str">
        <f t="shared" si="1"/>
        <v>肉食生物の巣</v>
      </c>
      <c r="U53" s="37" t="s">
        <v>3406</v>
      </c>
      <c r="V53" s="37" t="s">
        <v>3324</v>
      </c>
      <c r="W53" s="37" t="s">
        <v>3407</v>
      </c>
      <c r="X53" s="39" t="s">
        <v>3328</v>
      </c>
      <c r="Y53" s="39">
        <v>2.0</v>
      </c>
      <c r="AA53" s="37"/>
      <c r="AD53" s="39">
        <v>1.0</v>
      </c>
      <c r="AE53" s="39"/>
      <c r="AF53" s="39"/>
      <c r="AG53" s="39"/>
    </row>
    <row r="54" ht="18.75" customHeight="1" outlineLevel="1">
      <c r="A54" s="1" t="s">
        <v>58</v>
      </c>
      <c r="B54" s="11" t="s">
        <v>3323</v>
      </c>
      <c r="C54" s="37" t="str">
        <f>LET(
 _xlpm.dOK,COUNTIF('クラス'!A:A,E54)&gt;0,
 _xlpm.eOK,COUNTIF('クラス'!A:A,F54)&gt;0,
 IF(_xlpm.dOK,"○","×") &amp; IF(_xlpm.eOK,"○","×")
)</f>
        <v>××</v>
      </c>
      <c r="S54" s="37" t="str">
        <f t="shared" si="1"/>
        <v>地中生物の巣</v>
      </c>
      <c r="U54" s="37" t="s">
        <v>3326</v>
      </c>
      <c r="V54" s="37" t="s">
        <v>3316</v>
      </c>
      <c r="W54" s="37" t="s">
        <v>3408</v>
      </c>
      <c r="X54" s="39" t="s">
        <v>29</v>
      </c>
      <c r="Y54" s="39" t="s">
        <v>29</v>
      </c>
      <c r="AA54" s="37"/>
      <c r="AD54" s="39">
        <v>1.0</v>
      </c>
      <c r="AE54" s="39"/>
      <c r="AF54" s="39"/>
      <c r="AG54" s="39"/>
    </row>
    <row r="55" ht="18.75" customHeight="1" outlineLevel="1">
      <c r="A55" s="1" t="s">
        <v>58</v>
      </c>
      <c r="B55" s="11" t="s">
        <v>3406</v>
      </c>
      <c r="C55" s="37" t="str">
        <f>LET(
 _xlpm.dOK,COUNTIF('クラス'!A:A,E55)&gt;0,
 _xlpm.eOK,COUNTIF('クラス'!A:A,F55)&gt;0,
 IF(_xlpm.dOK,"○","×") &amp; IF(_xlpm.eOK,"○","×")
)</f>
        <v>××</v>
      </c>
      <c r="S55" s="37" t="str">
        <f t="shared" si="1"/>
        <v>地中生物の巣</v>
      </c>
      <c r="U55" s="37" t="s">
        <v>1920</v>
      </c>
      <c r="V55" s="37" t="s">
        <v>3331</v>
      </c>
      <c r="W55" s="37" t="s">
        <v>3409</v>
      </c>
      <c r="X55" s="39" t="s">
        <v>29</v>
      </c>
      <c r="Y55" s="39" t="s">
        <v>29</v>
      </c>
      <c r="AA55" s="37"/>
      <c r="AD55" s="39">
        <v>1.0</v>
      </c>
      <c r="AE55" s="39"/>
      <c r="AF55" s="39"/>
      <c r="AG55" s="39"/>
    </row>
    <row r="56" ht="18.75" customHeight="1" outlineLevel="1">
      <c r="A56" s="1" t="s">
        <v>58</v>
      </c>
      <c r="B56" s="11" t="s">
        <v>3326</v>
      </c>
      <c r="C56" s="37" t="str">
        <f>LET(
 _xlpm.dOK,COUNTIF('クラス'!A:A,E56)&gt;0,
 _xlpm.eOK,COUNTIF('クラス'!A:A,F56)&gt;0,
 IF(_xlpm.dOK,"○","×") &amp; IF(_xlpm.eOK,"○","×")
)</f>
        <v>××</v>
      </c>
      <c r="S56" s="37" t="str">
        <f t="shared" si="1"/>
        <v>肉食生物の巣</v>
      </c>
      <c r="W56" s="37" t="s">
        <v>3410</v>
      </c>
      <c r="X56" s="39" t="s">
        <v>3328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3411</v>
      </c>
      <c r="R57" s="37" t="s">
        <v>1920</v>
      </c>
      <c r="S57" s="37" t="str">
        <f t="shared" si="1"/>
        <v>飛竜の巣</v>
      </c>
      <c r="U57" s="37" t="s">
        <v>3412</v>
      </c>
      <c r="V57" s="37" t="s">
        <v>3380</v>
      </c>
      <c r="W57" s="37" t="s">
        <v>3413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3361</v>
      </c>
      <c r="X58" s="39" t="s">
        <v>29</v>
      </c>
      <c r="Y58" s="39" t="s">
        <v>29</v>
      </c>
      <c r="AA58" s="37"/>
      <c r="AD58" s="37"/>
      <c r="AE58" s="37"/>
      <c r="AF58" s="37"/>
      <c r="AG58" s="37"/>
    </row>
    <row r="59" ht="18.75" customHeight="1" outlineLevel="1">
      <c r="A59" s="1" t="s">
        <v>57</v>
      </c>
      <c r="B59" s="11" t="s">
        <v>3412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3414</v>
      </c>
      <c r="V59" s="37" t="s">
        <v>3316</v>
      </c>
      <c r="W59" s="37" t="s">
        <v>3415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3416</v>
      </c>
      <c r="R60" s="37" t="s">
        <v>3403</v>
      </c>
      <c r="S60" s="37" t="str">
        <f t="shared" si="1"/>
        <v>土の輪</v>
      </c>
      <c r="U60" s="37" t="s">
        <v>3417</v>
      </c>
      <c r="V60" s="37" t="s">
        <v>3324</v>
      </c>
      <c r="W60" s="37" t="s">
        <v>3418</v>
      </c>
      <c r="X60" s="39" t="s">
        <v>3405</v>
      </c>
      <c r="Y60" s="39">
        <v>1.0</v>
      </c>
      <c r="Z60" s="39" t="b">
        <v>1</v>
      </c>
      <c r="AA60" s="39"/>
      <c r="AB60" s="39"/>
      <c r="AC60" s="39"/>
      <c r="AD60" s="39">
        <v>1.0</v>
      </c>
      <c r="AE60" s="39"/>
      <c r="AF60" s="39"/>
      <c r="AG60" s="39"/>
    </row>
    <row r="61" ht="18.75" customHeight="1" outlineLevel="1">
      <c r="A61" s="1" t="s">
        <v>57</v>
      </c>
      <c r="B61" s="11" t="s">
        <v>3414</v>
      </c>
      <c r="C61" s="37" t="str">
        <f>LET(
 _xlpm.dOK,COUNTIF('クラス'!A:A,E61)&gt;0,
 _xlpm.eOK,COUNTIF('クラス'!A:A,F61)&gt;0,
 IF(_xlpm.dOK,"○","×") &amp; IF(_xlpm.eOK,"○","×")
)</f>
        <v>○○</v>
      </c>
      <c r="D61" s="37" t="b">
        <v>1</v>
      </c>
      <c r="E61" s="37" t="s">
        <v>1511</v>
      </c>
      <c r="F61" s="37" t="s">
        <v>1491</v>
      </c>
      <c r="G61" s="37">
        <v>25.0</v>
      </c>
      <c r="H61" s="37">
        <v>30.0</v>
      </c>
      <c r="R61" s="37" t="s">
        <v>3419</v>
      </c>
      <c r="S61" s="37" t="str">
        <f t="shared" si="1"/>
        <v>肉食生物の巣</v>
      </c>
      <c r="U61" s="37" t="s">
        <v>3420</v>
      </c>
      <c r="V61" s="37" t="s">
        <v>3421</v>
      </c>
      <c r="W61" s="37" t="s">
        <v>3422</v>
      </c>
      <c r="X61" s="39" t="s">
        <v>29</v>
      </c>
      <c r="Y61" s="39" t="s">
        <v>29</v>
      </c>
      <c r="AA61" s="37"/>
      <c r="AD61" s="39">
        <v>1.0</v>
      </c>
      <c r="AE61" s="39"/>
      <c r="AF61" s="39"/>
      <c r="AG61" s="39"/>
    </row>
    <row r="62" ht="18.75" customHeight="1" outlineLevel="1">
      <c r="A62" s="1" t="s">
        <v>57</v>
      </c>
      <c r="B62" s="11" t="s">
        <v>3417</v>
      </c>
      <c r="C62" s="37" t="str">
        <f>LET(
 _xlpm.dOK,COUNTIF('クラス'!A:A,E62)&gt;0,
 _xlpm.eOK,COUNTIF('クラス'!A:A,F62)&gt;0,
 IF(_xlpm.dOK,"○","×") &amp; IF(_xlpm.eOK,"○","×")
)</f>
        <v>××</v>
      </c>
      <c r="S62" s="37" t="str">
        <f t="shared" si="1"/>
        <v>地中生物の巣</v>
      </c>
      <c r="U62" s="37" t="s">
        <v>3423</v>
      </c>
      <c r="V62" s="37" t="s">
        <v>3324</v>
      </c>
      <c r="W62" s="37" t="s">
        <v>3424</v>
      </c>
      <c r="X62" s="39" t="s">
        <v>29</v>
      </c>
      <c r="Y62" s="39" t="s">
        <v>29</v>
      </c>
      <c r="AA62" s="37"/>
      <c r="AD62" s="39">
        <v>1.0</v>
      </c>
      <c r="AE62" s="39"/>
      <c r="AF62" s="39"/>
      <c r="AG62" s="39"/>
    </row>
    <row r="63" ht="18.75" customHeight="1" outlineLevel="1">
      <c r="A63" s="1" t="s">
        <v>57</v>
      </c>
      <c r="B63" s="11" t="s">
        <v>3420</v>
      </c>
      <c r="C63" s="37" t="str">
        <f>LET(
 _xlpm.dOK,COUNTIF('クラス'!A:A,E63)&gt;0,
 _xlpm.eOK,COUNTIF('クラス'!A:A,F63)&gt;0,
 IF(_xlpm.dOK,"○","×") &amp; IF(_xlpm.eOK,"○","×")
)</f>
        <v>××</v>
      </c>
      <c r="S63" s="37" t="str">
        <f t="shared" si="1"/>
        <v>水の輪</v>
      </c>
      <c r="U63" s="37" t="s">
        <v>3425</v>
      </c>
      <c r="V63" s="37" t="s">
        <v>3331</v>
      </c>
      <c r="W63" s="37" t="s">
        <v>3426</v>
      </c>
      <c r="X63" s="39" t="s">
        <v>29</v>
      </c>
      <c r="Y63" s="39" t="s">
        <v>29</v>
      </c>
      <c r="AA63" s="37"/>
      <c r="AD63" s="39">
        <v>1.0</v>
      </c>
      <c r="AE63" s="39"/>
      <c r="AF63" s="39"/>
      <c r="AG63" s="39"/>
    </row>
    <row r="64" ht="18.75" customHeight="1" outlineLevel="1">
      <c r="A64" s="1" t="s">
        <v>57</v>
      </c>
      <c r="B64" s="11" t="s">
        <v>3423</v>
      </c>
      <c r="C64" s="37" t="str">
        <f>LET(
 _xlpm.dOK,COUNTIF('クラス'!A:A,E64)&gt;0,
 _xlpm.eOK,COUNTIF('クラス'!A:A,F64)&gt;0,
 IF(_xlpm.dOK,"○","×") &amp; IF(_xlpm.eOK,"○","×")
)</f>
        <v>××</v>
      </c>
      <c r="S64" s="37" t="str">
        <f t="shared" si="1"/>
        <v>地中生物の巣</v>
      </c>
      <c r="U64" s="37" t="s">
        <v>3427</v>
      </c>
      <c r="V64" s="37" t="s">
        <v>3313</v>
      </c>
      <c r="W64" s="37" t="s">
        <v>3428</v>
      </c>
      <c r="X64" s="39" t="s">
        <v>29</v>
      </c>
      <c r="Y64" s="39" t="s">
        <v>29</v>
      </c>
      <c r="AA64" s="37"/>
      <c r="AD64" s="39">
        <v>1.0</v>
      </c>
      <c r="AE64" s="39"/>
      <c r="AF64" s="39"/>
      <c r="AG64" s="39"/>
    </row>
    <row r="65" ht="18.75" customHeight="1" outlineLevel="1">
      <c r="A65" s="1" t="s">
        <v>57</v>
      </c>
      <c r="B65" s="11" t="s">
        <v>3425</v>
      </c>
      <c r="C65" s="37" t="str">
        <f>LET(
 _xlpm.dOK,COUNTIF('クラス'!A:A,E65)&gt;0,
 _xlpm.eOK,COUNTIF('クラス'!A:A,F65)&gt;0,
 IF(_xlpm.dOK,"○","×") &amp; IF(_xlpm.eOK,"○","×")
)</f>
        <v>××</v>
      </c>
      <c r="S65" s="37" t="str">
        <f t="shared" si="1"/>
        <v>飛竜の巣</v>
      </c>
      <c r="U65" s="37" t="s">
        <v>3429</v>
      </c>
      <c r="V65" s="37" t="s">
        <v>3316</v>
      </c>
      <c r="W65" s="37" t="s">
        <v>3430</v>
      </c>
      <c r="X65" s="39" t="s">
        <v>29</v>
      </c>
      <c r="Y65" s="39" t="s">
        <v>29</v>
      </c>
      <c r="AA65" s="37"/>
      <c r="AD65" s="39">
        <v>1.0</v>
      </c>
      <c r="AE65" s="39"/>
      <c r="AF65" s="39"/>
      <c r="AG65" s="39"/>
    </row>
    <row r="66" ht="18.75" customHeight="1" outlineLevel="1">
      <c r="A66" s="1" t="s">
        <v>57</v>
      </c>
      <c r="B66" s="11" t="s">
        <v>3427</v>
      </c>
      <c r="C66" s="37" t="str">
        <f>LET(
 _xlpm.dOK,COUNTIF('クラス'!A:A,E66)&gt;0,
 _xlpm.eOK,COUNTIF('クラス'!A:A,F66)&gt;0,
 IF(_xlpm.dOK,"○","×") &amp; IF(_xlpm.eOK,"○","×")
)</f>
        <v>××</v>
      </c>
      <c r="S66" s="37" t="str">
        <f t="shared" si="1"/>
        <v>鳥系生物の巣</v>
      </c>
      <c r="W66" s="37" t="s">
        <v>3431</v>
      </c>
      <c r="X66" s="39" t="s">
        <v>29</v>
      </c>
      <c r="Y66" s="39" t="s">
        <v>29</v>
      </c>
      <c r="AA66" s="37"/>
      <c r="AD66" s="39">
        <v>1.0</v>
      </c>
      <c r="AE66" s="39"/>
      <c r="AF66" s="39"/>
      <c r="AG66" s="39"/>
    </row>
    <row r="67" ht="18.75" customHeight="1" outlineLevel="1">
      <c r="A67" s="1" t="s">
        <v>57</v>
      </c>
      <c r="B67" s="11" t="s">
        <v>3429</v>
      </c>
      <c r="C67" s="37" t="str">
        <f>LET(
 _xlpm.dOK,COUNTIF('クラス'!A:A,E67)&gt;0,
 _xlpm.eOK,COUNTIF('クラス'!A:A,F67)&gt;0,
 IF(_xlpm.dOK,"○","×") &amp; IF(_xlpm.eOK,"○","×")
)</f>
        <v>××</v>
      </c>
      <c r="S67" s="37" t="str">
        <f t="shared" si="1"/>
        <v>肉食生物の巣</v>
      </c>
      <c r="U67" s="37" t="s">
        <v>3423</v>
      </c>
      <c r="V67" s="37" t="s">
        <v>3324</v>
      </c>
      <c r="W67" s="37" t="s">
        <v>3432</v>
      </c>
      <c r="X67" s="39" t="s">
        <v>3328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3331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3326</v>
      </c>
      <c r="V69" s="37" t="s">
        <v>3316</v>
      </c>
      <c r="X69" s="39" t="s">
        <v>29</v>
      </c>
      <c r="Y69" s="39" t="s">
        <v>29</v>
      </c>
      <c r="AA69" s="37"/>
      <c r="AD69" s="37"/>
      <c r="AE69" s="37"/>
      <c r="AF69" s="37"/>
      <c r="AG69" s="37"/>
    </row>
    <row r="70" ht="18.75" customHeight="1">
      <c r="A70" s="1" t="s">
        <v>64</v>
      </c>
      <c r="B70" s="11" t="s">
        <v>3423</v>
      </c>
      <c r="C70" s="37" t="str">
        <f>LET(
 _xlpm.dOK,COUNTIF('クラス'!A:A,E70)&gt;0,
 _xlpm.eOK,COUNTIF('クラス'!A:A,F70)&gt;0,
 IF(_xlpm.dOK,"○","×") &amp; IF(_xlpm.eOK,"○","×")
)</f>
        <v>××</v>
      </c>
      <c r="S70" s="37" t="str">
        <f t="shared" si="1"/>
        <v>地中生物の巣</v>
      </c>
      <c r="U70" s="37" t="s">
        <v>3417</v>
      </c>
      <c r="V70" s="37" t="s">
        <v>3324</v>
      </c>
      <c r="W70" s="37" t="s">
        <v>3433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3434</v>
      </c>
      <c r="V71" s="37" t="s">
        <v>3313</v>
      </c>
      <c r="W71" s="37" t="s">
        <v>3435</v>
      </c>
      <c r="X71" s="39" t="s">
        <v>29</v>
      </c>
      <c r="Y71" s="39" t="s">
        <v>29</v>
      </c>
      <c r="AA71" s="37"/>
      <c r="AD71" s="39">
        <v>1.0</v>
      </c>
      <c r="AE71" s="39"/>
      <c r="AF71" s="39"/>
      <c r="AG71" s="39"/>
    </row>
    <row r="72" ht="18.75" customHeight="1" outlineLevel="1">
      <c r="A72" s="1" t="s">
        <v>64</v>
      </c>
      <c r="B72" s="11" t="s">
        <v>3326</v>
      </c>
      <c r="C72" s="37" t="str">
        <f>LET(
 _xlpm.dOK,COUNTIF('クラス'!A:A,E72)&gt;0,
 _xlpm.eOK,COUNTIF('クラス'!A:A,F72)&gt;0,
 IF(_xlpm.dOK,"○","×") &amp; IF(_xlpm.eOK,"○","×")
)</f>
        <v>××</v>
      </c>
      <c r="S72" s="37" t="str">
        <f t="shared" si="1"/>
        <v>肉食生物の巣</v>
      </c>
      <c r="W72" s="37" t="s">
        <v>3436</v>
      </c>
      <c r="X72" s="39" t="s">
        <v>3328</v>
      </c>
      <c r="Y72" s="39">
        <v>1.0</v>
      </c>
      <c r="AA72" s="37"/>
      <c r="AD72" s="39">
        <v>1.0</v>
      </c>
      <c r="AE72" s="39"/>
      <c r="AF72" s="39"/>
      <c r="AG72" s="39"/>
    </row>
    <row r="73" ht="18.75" customHeight="1" outlineLevel="1">
      <c r="A73" s="1" t="s">
        <v>64</v>
      </c>
      <c r="B73" s="11" t="s">
        <v>3417</v>
      </c>
      <c r="C73" s="37" t="str">
        <f>LET(
 _xlpm.dOK,COUNTIF('クラス'!A:A,E73)&gt;0,
 _xlpm.eOK,COUNTIF('クラス'!A:A,F73)&gt;0,
 IF(_xlpm.dOK,"○","×") &amp; IF(_xlpm.eOK,"○","×")
)</f>
        <v>××</v>
      </c>
      <c r="S73" s="37" t="str">
        <f t="shared" si="1"/>
        <v>地中生物の巣</v>
      </c>
      <c r="U73" s="37" t="s">
        <v>3437</v>
      </c>
      <c r="V73" s="37" t="s">
        <v>3388</v>
      </c>
      <c r="W73" s="37" t="s">
        <v>3438</v>
      </c>
      <c r="X73" s="39" t="s">
        <v>29</v>
      </c>
      <c r="Y73" s="39" t="s">
        <v>29</v>
      </c>
      <c r="AA73" s="37"/>
      <c r="AD73" s="39">
        <v>1.0</v>
      </c>
      <c r="AE73" s="39"/>
      <c r="AF73" s="39"/>
      <c r="AG73" s="39"/>
    </row>
    <row r="74" ht="18.75" customHeight="1" outlineLevel="1">
      <c r="A74" s="1" t="s">
        <v>64</v>
      </c>
      <c r="B74" s="11" t="s">
        <v>3434</v>
      </c>
      <c r="C74" s="37" t="str">
        <f>LET(
 _xlpm.dOK,COUNTIF('クラス'!A:A,E74)&gt;0,
 _xlpm.eOK,COUNTIF('クラス'!A:A,F74)&gt;0,
 IF(_xlpm.dOK,"○","×") &amp; IF(_xlpm.eOK,"○","×")
)</f>
        <v>××</v>
      </c>
      <c r="S74" s="37" t="str">
        <f t="shared" si="1"/>
        <v>鳥系生物の巣</v>
      </c>
      <c r="U74" s="37" t="s">
        <v>3439</v>
      </c>
      <c r="V74" s="37" t="s">
        <v>3388</v>
      </c>
      <c r="W74" s="37" t="s">
        <v>3440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3319</v>
      </c>
      <c r="V75" s="37" t="s">
        <v>3320</v>
      </c>
      <c r="X75" s="39" t="s">
        <v>29</v>
      </c>
      <c r="Y75" s="39" t="s">
        <v>29</v>
      </c>
      <c r="AA75" s="37"/>
      <c r="AD75" s="37"/>
      <c r="AE75" s="37"/>
      <c r="AF75" s="37"/>
      <c r="AG75" s="37"/>
    </row>
    <row r="76" ht="18.75" customHeight="1" outlineLevel="1">
      <c r="A76" s="1" t="s">
        <v>65</v>
      </c>
      <c r="B76" s="11" t="s">
        <v>3437</v>
      </c>
      <c r="C76" s="37" t="str">
        <f>LET(
 _xlpm.dOK,COUNTIF('クラス'!A:A,E76)&gt;0,
 _xlpm.eOK,COUNTIF('クラス'!A:A,F76)&gt;0,
 IF(_xlpm.dOK,"○","×") &amp; IF(_xlpm.eOK,"○","×")
)</f>
        <v>××</v>
      </c>
      <c r="S76" s="37" t="str">
        <f t="shared" si="1"/>
        <v>闇の輪</v>
      </c>
      <c r="U76" s="37" t="s">
        <v>3423</v>
      </c>
      <c r="V76" s="37" t="s">
        <v>3324</v>
      </c>
      <c r="W76" s="37" t="s">
        <v>3441</v>
      </c>
      <c r="X76" s="39" t="s">
        <v>29</v>
      </c>
      <c r="Y76" s="39" t="s">
        <v>29</v>
      </c>
      <c r="AA76" s="39" t="s">
        <v>3442</v>
      </c>
      <c r="AB76" s="39">
        <v>1.0</v>
      </c>
      <c r="AC76" s="39">
        <v>1.0</v>
      </c>
      <c r="AD76" s="39">
        <v>1.0</v>
      </c>
      <c r="AE76" s="39"/>
      <c r="AF76" s="39"/>
      <c r="AG76" s="39"/>
    </row>
    <row r="77" ht="18.75" customHeight="1" outlineLevel="1">
      <c r="A77" s="1" t="s">
        <v>65</v>
      </c>
      <c r="B77" s="11" t="s">
        <v>3439</v>
      </c>
      <c r="C77" s="37" t="str">
        <f>LET(
 _xlpm.dOK,COUNTIF('クラス'!A:A,E77)&gt;0,
 _xlpm.eOK,COUNTIF('クラス'!A:A,F77)&gt;0,
 IF(_xlpm.dOK,"○","×") &amp; IF(_xlpm.eOK,"○","×")
)</f>
        <v>××</v>
      </c>
      <c r="S77" s="37" t="str">
        <f t="shared" si="1"/>
        <v>闇の輪</v>
      </c>
      <c r="U77" s="37" t="s">
        <v>3429</v>
      </c>
      <c r="V77" s="37" t="s">
        <v>3316</v>
      </c>
      <c r="W77" s="37" t="s">
        <v>3443</v>
      </c>
      <c r="X77" s="39" t="s">
        <v>29</v>
      </c>
      <c r="Y77" s="39" t="s">
        <v>29</v>
      </c>
      <c r="AA77" s="39" t="s">
        <v>3444</v>
      </c>
      <c r="AB77" s="39">
        <v>2.0</v>
      </c>
      <c r="AC77" s="39">
        <v>3.0</v>
      </c>
      <c r="AD77" s="39">
        <v>1.0</v>
      </c>
      <c r="AE77" s="39"/>
      <c r="AF77" s="39"/>
      <c r="AG77" s="39"/>
    </row>
    <row r="78" ht="18.75" customHeight="1" outlineLevel="1">
      <c r="A78" s="1" t="s">
        <v>65</v>
      </c>
      <c r="B78" s="11" t="s">
        <v>3319</v>
      </c>
      <c r="C78" s="37" t="str">
        <f>LET(
 _xlpm.dOK,COUNTIF('クラス'!A:A,E78)&gt;0,
 _xlpm.eOK,COUNTIF('クラス'!A:A,F78)&gt;0,
 IF(_xlpm.dOK,"○","×") &amp; IF(_xlpm.eOK,"○","×")
)</f>
        <v>××</v>
      </c>
      <c r="G78" s="39">
        <v>5.0</v>
      </c>
      <c r="H78" s="39">
        <v>10.0</v>
      </c>
      <c r="S78" s="37" t="str">
        <f t="shared" si="1"/>
        <v>虫系の巣</v>
      </c>
      <c r="U78" s="37" t="s">
        <v>3353</v>
      </c>
      <c r="V78" s="37" t="s">
        <v>3324</v>
      </c>
      <c r="W78" s="37" t="s">
        <v>3445</v>
      </c>
      <c r="X78" s="39" t="s">
        <v>3322</v>
      </c>
      <c r="Y78" s="39">
        <v>1.0</v>
      </c>
      <c r="AA78" s="39" t="s">
        <v>3442</v>
      </c>
      <c r="AB78" s="39">
        <v>1.0</v>
      </c>
      <c r="AC78" s="39">
        <v>1.0</v>
      </c>
      <c r="AD78" s="39">
        <v>1.0</v>
      </c>
      <c r="AE78" s="39"/>
      <c r="AF78" s="39"/>
      <c r="AG78" s="39"/>
    </row>
    <row r="79" ht="18.75" customHeight="1" outlineLevel="1">
      <c r="A79" s="1" t="s">
        <v>65</v>
      </c>
      <c r="B79" s="11" t="s">
        <v>3423</v>
      </c>
      <c r="C79" s="37" t="str">
        <f>LET(
 _xlpm.dOK,COUNTIF('クラス'!A:A,E79)&gt;0,
 _xlpm.eOK,COUNTIF('クラス'!A:A,F79)&gt;0,
 IF(_xlpm.dOK,"○","×") &amp; IF(_xlpm.eOK,"○","×")
)</f>
        <v>××</v>
      </c>
      <c r="S79" s="37" t="str">
        <f t="shared" si="1"/>
        <v>地中生物の巣</v>
      </c>
      <c r="W79" s="37" t="s">
        <v>3446</v>
      </c>
      <c r="X79" s="39" t="s">
        <v>29</v>
      </c>
      <c r="Y79" s="39" t="s">
        <v>29</v>
      </c>
      <c r="AA79" s="39" t="s">
        <v>3442</v>
      </c>
      <c r="AB79" s="39">
        <v>1.0</v>
      </c>
      <c r="AC79" s="39">
        <v>1.0</v>
      </c>
      <c r="AD79" s="39">
        <v>1.0</v>
      </c>
      <c r="AE79" s="39"/>
      <c r="AF79" s="39"/>
      <c r="AG79" s="39"/>
    </row>
    <row r="80" ht="18.75" customHeight="1" outlineLevel="1">
      <c r="A80" s="1" t="s">
        <v>65</v>
      </c>
      <c r="B80" s="11" t="s">
        <v>3429</v>
      </c>
      <c r="C80" s="37" t="str">
        <f>LET(
 _xlpm.dOK,COUNTIF('クラス'!A:A,E80)&gt;0,
 _xlpm.eOK,COUNTIF('クラス'!A:A,F80)&gt;0,
 IF(_xlpm.dOK,"○","×") &amp; IF(_xlpm.eOK,"○","×")
)</f>
        <v>××</v>
      </c>
      <c r="R80" s="37" t="s">
        <v>3429</v>
      </c>
      <c r="S80" s="37" t="str">
        <f t="shared" si="1"/>
        <v>肉食生物の巣</v>
      </c>
      <c r="U80" s="37" t="s">
        <v>1480</v>
      </c>
      <c r="V80" s="37" t="s">
        <v>3421</v>
      </c>
      <c r="W80" s="37" t="s">
        <v>3447</v>
      </c>
      <c r="X80" s="39" t="s">
        <v>3328</v>
      </c>
      <c r="Y80" s="39">
        <v>7.0</v>
      </c>
      <c r="AA80" s="39" t="s">
        <v>3442</v>
      </c>
      <c r="AB80" s="39">
        <v>1.0</v>
      </c>
      <c r="AC80" s="39">
        <v>1.0</v>
      </c>
      <c r="AD80" s="39">
        <v>1.0</v>
      </c>
      <c r="AE80" s="39"/>
      <c r="AF80" s="39"/>
      <c r="AG80" s="39"/>
    </row>
    <row r="81" ht="18.75" customHeight="1" outlineLevel="1">
      <c r="A81" s="1" t="s">
        <v>65</v>
      </c>
      <c r="B81" s="11" t="s">
        <v>3353</v>
      </c>
      <c r="C81" s="37" t="str">
        <f>LET(
 _xlpm.dOK,COUNTIF('クラス'!A:A,E81)&gt;0,
 _xlpm.eOK,COUNTIF('クラス'!A:A,F81)&gt;0,
 IF(_xlpm.dOK,"○","×") &amp; IF(_xlpm.eOK,"○","×")
)</f>
        <v>××</v>
      </c>
      <c r="R81" s="37" t="s">
        <v>3353</v>
      </c>
      <c r="S81" s="37" t="str">
        <f t="shared" si="1"/>
        <v>地中生物の巣</v>
      </c>
      <c r="U81" s="37" t="s">
        <v>3448</v>
      </c>
      <c r="V81" s="37" t="s">
        <v>3349</v>
      </c>
      <c r="W81" s="37" t="s">
        <v>3449</v>
      </c>
      <c r="X81" s="39" t="s">
        <v>3341</v>
      </c>
      <c r="Y81" s="39">
        <v>3.0</v>
      </c>
      <c r="AA81" s="39" t="s">
        <v>3442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3421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3450</v>
      </c>
      <c r="V84" s="37" t="s">
        <v>3316</v>
      </c>
      <c r="W84" s="37" t="s">
        <v>3451</v>
      </c>
      <c r="X84" s="39" t="s">
        <v>3452</v>
      </c>
      <c r="Y84" s="39">
        <v>9.0</v>
      </c>
      <c r="Z84" s="39" t="b">
        <v>1</v>
      </c>
      <c r="AA84" s="39"/>
      <c r="AB84" s="39"/>
      <c r="AC84" s="39"/>
      <c r="AD84" s="39">
        <v>1.0</v>
      </c>
      <c r="AE84" s="39"/>
      <c r="AF84" s="39"/>
      <c r="AG84" s="39"/>
    </row>
    <row r="85" ht="18.75" customHeight="1" outlineLevel="1">
      <c r="A85" s="1" t="s">
        <v>59</v>
      </c>
      <c r="B85" s="11" t="s">
        <v>3448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3453</v>
      </c>
      <c r="X85" s="39" t="s">
        <v>3315</v>
      </c>
      <c r="Y85" s="39">
        <v>8.0</v>
      </c>
      <c r="AA85" s="37"/>
      <c r="AD85" s="39">
        <v>1.0</v>
      </c>
      <c r="AE85" s="39">
        <v>0.0</v>
      </c>
      <c r="AF85" s="39">
        <v>45.0</v>
      </c>
      <c r="AG85" s="39" t="s">
        <v>3318</v>
      </c>
    </row>
    <row r="86" ht="18.75" customHeight="1" outlineLevel="1">
      <c r="A86" s="1"/>
      <c r="B86" s="11"/>
      <c r="C86" s="37" t="str">
        <f>LET(
 _xlpm.dOK,COUNTIF('クラス'!A:A,E86)&gt;0,
 _xlpm.eOK,COUNTIF('クラス'!A:A,F86)&gt;0,
 IF(_xlpm.dOK,"○","×") &amp; IF(_xlpm.eOK,"○","×")
)</f>
        <v>××</v>
      </c>
      <c r="S86" s="37" t="str">
        <f t="shared" si="1"/>
        <v/>
      </c>
      <c r="U86" s="37" t="s">
        <v>3450</v>
      </c>
      <c r="V86" s="37" t="s">
        <v>3316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3421</v>
      </c>
      <c r="W87" s="37" t="s">
        <v>3454</v>
      </c>
      <c r="X87" s="39" t="s">
        <v>3452</v>
      </c>
      <c r="Y87" s="39">
        <v>9.0</v>
      </c>
      <c r="Z87" s="39" t="b">
        <v>1</v>
      </c>
      <c r="AA87" s="39"/>
      <c r="AB87" s="39"/>
      <c r="AC87" s="39"/>
      <c r="AD87" s="39">
        <v>1.0</v>
      </c>
      <c r="AE87" s="39"/>
      <c r="AF87" s="39"/>
      <c r="AG87" s="39"/>
    </row>
    <row r="88" ht="18.75" customHeight="1" outlineLevel="1">
      <c r="A88" s="1" t="s">
        <v>60</v>
      </c>
      <c r="B88" s="11" t="s">
        <v>3450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3455</v>
      </c>
      <c r="X88" s="39" t="s">
        <v>29</v>
      </c>
      <c r="Y88" s="39" t="s">
        <v>29</v>
      </c>
      <c r="AA88" s="37"/>
      <c r="AD88" s="39">
        <v>1.0</v>
      </c>
      <c r="AE88" s="39">
        <v>0.0</v>
      </c>
      <c r="AF88" s="39">
        <v>45.0</v>
      </c>
      <c r="AG88" s="39" t="s">
        <v>3318</v>
      </c>
    </row>
    <row r="89" ht="18.75" customHeight="1" outlineLevel="1">
      <c r="A89" s="1"/>
      <c r="B89" s="11"/>
      <c r="C89" s="37" t="str">
        <f>LET(
 _xlpm.dOK,COUNTIF('クラス'!A:A,E89)&gt;0,
 _xlpm.eOK,COUNTIF('クラス'!A:A,F89)&gt;0,
 IF(_xlpm.dOK,"○","×") &amp; IF(_xlpm.eOK,"○","×")
)</f>
        <v>××</v>
      </c>
      <c r="S89" s="37" t="str">
        <f t="shared" si="1"/>
        <v/>
      </c>
      <c r="U89" s="37" t="s">
        <v>3425</v>
      </c>
      <c r="V89" s="37" t="s">
        <v>3331</v>
      </c>
      <c r="X89" s="39" t="s">
        <v>29</v>
      </c>
      <c r="Y89" s="39" t="s">
        <v>29</v>
      </c>
      <c r="AA89" s="37"/>
      <c r="AD89" s="37"/>
      <c r="AE89" s="37"/>
      <c r="AF89" s="37"/>
      <c r="AG89" s="37"/>
    </row>
    <row r="90" ht="18.75" customHeight="1" outlineLevel="1">
      <c r="A90" s="1" t="s">
        <v>61</v>
      </c>
      <c r="B90" s="11" t="s">
        <v>3450</v>
      </c>
      <c r="C90" s="37" t="str">
        <f>LET(
 _xlpm.dOK,COUNTIF('クラス'!A:A,E90)&gt;0,
 _xlpm.eOK,COUNTIF('クラス'!A:A,F90)&gt;0,
 IF(_xlpm.dOK,"○","×") &amp; IF(_xlpm.eOK,"○","×")
)</f>
        <v>○○</v>
      </c>
      <c r="E90" s="37" t="s">
        <v>1504</v>
      </c>
      <c r="F90" s="37" t="s">
        <v>1781</v>
      </c>
      <c r="G90" s="39">
        <v>8.0</v>
      </c>
      <c r="H90" s="39">
        <v>13.0</v>
      </c>
      <c r="S90" s="37" t="str">
        <f t="shared" si="1"/>
        <v>肉食生物の巣</v>
      </c>
      <c r="U90" s="37" t="s">
        <v>3456</v>
      </c>
      <c r="V90" s="37" t="s">
        <v>3457</v>
      </c>
      <c r="W90" s="37" t="s">
        <v>3458</v>
      </c>
      <c r="X90" s="39" t="s">
        <v>29</v>
      </c>
      <c r="Y90" s="39" t="s">
        <v>29</v>
      </c>
      <c r="AA90" s="37"/>
      <c r="AD90" s="39">
        <v>1.0</v>
      </c>
      <c r="AE90" s="39">
        <v>0.0</v>
      </c>
      <c r="AF90" s="39">
        <v>45.0</v>
      </c>
      <c r="AG90" s="39" t="s">
        <v>3318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3459</v>
      </c>
      <c r="V91" s="37" t="s">
        <v>3457</v>
      </c>
      <c r="W91" s="37" t="s">
        <v>3460</v>
      </c>
      <c r="X91" s="39" t="s">
        <v>3452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3456</v>
      </c>
      <c r="V93" s="37" t="s">
        <v>3457</v>
      </c>
      <c r="X93" s="39" t="s">
        <v>29</v>
      </c>
      <c r="Y93" s="39" t="s">
        <v>29</v>
      </c>
      <c r="AA93" s="37"/>
      <c r="AD93" s="37"/>
      <c r="AE93" s="37"/>
      <c r="AF93" s="37"/>
      <c r="AG93" s="37"/>
    </row>
    <row r="94" ht="18.75" customHeight="1">
      <c r="A94" s="1" t="s">
        <v>67</v>
      </c>
      <c r="B94" s="11" t="s">
        <v>3425</v>
      </c>
      <c r="C94" s="37" t="str">
        <f>LET(
 _xlpm.dOK,COUNTIF('クラス'!A:A,E94)&gt;0,
 _xlpm.eOK,COUNTIF('クラス'!A:A,F94)&gt;0,
 IF(_xlpm.dOK,"○","×") &amp; IF(_xlpm.eOK,"○","×")
)</f>
        <v>××</v>
      </c>
      <c r="S94" s="37" t="str">
        <f t="shared" si="1"/>
        <v>飛竜の巣</v>
      </c>
      <c r="U94" s="37" t="s">
        <v>3461</v>
      </c>
      <c r="V94" s="37" t="s">
        <v>3457</v>
      </c>
      <c r="W94" s="37" t="s">
        <v>3462</v>
      </c>
      <c r="X94" s="39" t="s">
        <v>29</v>
      </c>
      <c r="Y94" s="39" t="s">
        <v>29</v>
      </c>
      <c r="AA94" s="37"/>
      <c r="AD94" s="39">
        <v>1.0</v>
      </c>
      <c r="AE94" s="39"/>
      <c r="AF94" s="39"/>
      <c r="AG94" s="39"/>
    </row>
    <row r="95" ht="18.75" customHeight="1" outlineLevel="1">
      <c r="A95" s="1" t="s">
        <v>67</v>
      </c>
      <c r="B95" s="11" t="s">
        <v>3456</v>
      </c>
      <c r="C95" s="37" t="str">
        <f>LET(
 _xlpm.dOK,COUNTIF('クラス'!A:A,E95)&gt;0,
 _xlpm.eOK,COUNTIF('クラス'!A:A,F95)&gt;0,
 IF(_xlpm.dOK,"○","×") &amp; IF(_xlpm.eOK,"○","×")
)</f>
        <v>○×</v>
      </c>
      <c r="D95" s="11"/>
      <c r="E95" s="11" t="s">
        <v>1477</v>
      </c>
      <c r="G95" s="37">
        <v>15.0</v>
      </c>
      <c r="H95" s="37">
        <v>30.0</v>
      </c>
      <c r="R95" s="37" t="s">
        <v>3463</v>
      </c>
      <c r="S95" s="37" t="str">
        <f t="shared" si="1"/>
        <v>炎の輪</v>
      </c>
      <c r="U95" s="37" t="s">
        <v>1942</v>
      </c>
      <c r="V95" s="37" t="s">
        <v>3349</v>
      </c>
      <c r="W95" s="37" t="s">
        <v>3464</v>
      </c>
      <c r="X95" s="39" t="s">
        <v>3465</v>
      </c>
      <c r="Y95" s="39">
        <v>1.0</v>
      </c>
      <c r="Z95" s="39" t="b">
        <v>1</v>
      </c>
      <c r="AA95" s="39"/>
      <c r="AB95" s="39"/>
      <c r="AC95" s="39"/>
      <c r="AD95" s="39">
        <v>1.0</v>
      </c>
      <c r="AE95" s="39">
        <v>15.0</v>
      </c>
      <c r="AF95" s="39">
        <v>60.0</v>
      </c>
      <c r="AG95" s="39" t="s">
        <v>3466</v>
      </c>
    </row>
    <row r="96" ht="18.75" customHeight="1" outlineLevel="1">
      <c r="A96" s="1" t="s">
        <v>67</v>
      </c>
      <c r="B96" s="11" t="s">
        <v>3459</v>
      </c>
      <c r="C96" s="37" t="str">
        <f>LET(
 _xlpm.dOK,COUNTIF('クラス'!A:A,E96)&gt;0,
 _xlpm.eOK,COUNTIF('クラス'!A:A,F96)&gt;0,
 IF(_xlpm.dOK,"○","×") &amp; IF(_xlpm.eOK,"○","×")
)</f>
        <v>××</v>
      </c>
      <c r="S96" s="37" t="str">
        <f t="shared" si="1"/>
        <v>炎の輪</v>
      </c>
      <c r="W96" s="37" t="s">
        <v>3467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3420</v>
      </c>
      <c r="V97" s="37" t="s">
        <v>3421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3468</v>
      </c>
      <c r="V98" s="37" t="s">
        <v>3316</v>
      </c>
      <c r="X98" s="39" t="s">
        <v>29</v>
      </c>
      <c r="Y98" s="39" t="s">
        <v>29</v>
      </c>
      <c r="AA98" s="37"/>
      <c r="AD98" s="37"/>
      <c r="AE98" s="37"/>
      <c r="AF98" s="37"/>
      <c r="AG98" s="37"/>
    </row>
    <row r="99" ht="18.75" customHeight="1" outlineLevel="1">
      <c r="A99" s="1" t="s">
        <v>68</v>
      </c>
      <c r="B99" s="11" t="s">
        <v>3456</v>
      </c>
      <c r="C99" s="37" t="str">
        <f>LET(
 _xlpm.dOK,COUNTIF('クラス'!A:A,E99)&gt;0,
 _xlpm.eOK,COUNTIF('クラス'!A:A,F99)&gt;0,
 IF(_xlpm.dOK,"○","×") &amp; IF(_xlpm.eOK,"○","×")
)</f>
        <v>○×</v>
      </c>
      <c r="D99" s="11"/>
      <c r="E99" s="11" t="s">
        <v>1477</v>
      </c>
      <c r="G99" s="39">
        <v>5.0</v>
      </c>
      <c r="H99" s="39">
        <v>15.0</v>
      </c>
      <c r="R99" s="37" t="s">
        <v>3463</v>
      </c>
      <c r="S99" s="37" t="str">
        <f t="shared" si="1"/>
        <v>炎の輪</v>
      </c>
      <c r="U99" s="37" t="s">
        <v>3469</v>
      </c>
      <c r="V99" s="37" t="s">
        <v>3316</v>
      </c>
      <c r="W99" s="37" t="s">
        <v>3470</v>
      </c>
      <c r="X99" s="39" t="s">
        <v>3465</v>
      </c>
      <c r="Y99" s="39">
        <v>1.0</v>
      </c>
      <c r="Z99" s="39" t="b">
        <v>1</v>
      </c>
      <c r="AA99" s="39"/>
      <c r="AB99" s="39"/>
      <c r="AC99" s="39"/>
      <c r="AD99" s="39">
        <v>1.0</v>
      </c>
      <c r="AE99" s="39">
        <v>15.0</v>
      </c>
      <c r="AF99" s="39">
        <v>60.0</v>
      </c>
      <c r="AG99" s="39" t="s">
        <v>3466</v>
      </c>
    </row>
    <row r="100" ht="18.75" customHeight="1" outlineLevel="1">
      <c r="A100" s="1" t="s">
        <v>68</v>
      </c>
      <c r="B100" s="11" t="s">
        <v>3461</v>
      </c>
      <c r="C100" s="37" t="str">
        <f>LET(
 _xlpm.dOK,COUNTIF('クラス'!A:A,E100)&gt;0,
 _xlpm.eOK,COUNTIF('クラス'!A:A,F100)&gt;0,
 IF(_xlpm.dOK,"○","×") &amp; IF(_xlpm.eOK,"○","×")
)</f>
        <v>××</v>
      </c>
      <c r="S100" s="37" t="str">
        <f t="shared" si="1"/>
        <v>炎の輪</v>
      </c>
      <c r="U100" s="37" t="s">
        <v>1479</v>
      </c>
      <c r="V100" s="37" t="s">
        <v>3421</v>
      </c>
      <c r="W100" s="37" t="s">
        <v>3471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3472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3420</v>
      </c>
      <c r="C104" s="37" t="str">
        <f>LET(
 _xlpm.dOK,COUNTIF('クラス'!A:A,E104)&gt;0,
 _xlpm.eOK,COUNTIF('クラス'!A:A,F104)&gt;0,
 IF(_xlpm.dOK,"○","×") &amp; IF(_xlpm.eOK,"○","×")
)</f>
        <v>××</v>
      </c>
      <c r="S104" s="37" t="str">
        <f t="shared" si="1"/>
        <v>水の輪</v>
      </c>
      <c r="W104" s="37" t="s">
        <v>3473</v>
      </c>
      <c r="X104" s="39" t="s">
        <v>29</v>
      </c>
      <c r="Y104" s="39" t="s">
        <v>29</v>
      </c>
      <c r="AA104" s="37"/>
      <c r="AD104" s="39">
        <v>1.0</v>
      </c>
      <c r="AE104" s="39"/>
      <c r="AF104" s="39"/>
      <c r="AG104" s="39"/>
    </row>
    <row r="105" ht="18.75" customHeight="1" outlineLevel="1">
      <c r="A105" s="1" t="s">
        <v>66</v>
      </c>
      <c r="B105" s="11" t="s">
        <v>3468</v>
      </c>
      <c r="C105" s="37" t="str">
        <f>LET(
 _xlpm.dOK,COUNTIF('クラス'!A:A,E105)&gt;0,
 _xlpm.eOK,COUNTIF('クラス'!A:A,F105)&gt;0,
 IF(_xlpm.dOK,"○","×") &amp; IF(_xlpm.eOK,"○","×")
)</f>
        <v>××</v>
      </c>
      <c r="S105" s="37" t="str">
        <f t="shared" si="1"/>
        <v>肉食生物の巣</v>
      </c>
      <c r="W105" s="37" t="s">
        <v>3474</v>
      </c>
      <c r="X105" s="39" t="s">
        <v>29</v>
      </c>
      <c r="Y105" s="39" t="s">
        <v>29</v>
      </c>
      <c r="AA105" s="37"/>
      <c r="AD105" s="39">
        <v>1.0</v>
      </c>
      <c r="AE105" s="39"/>
      <c r="AF105" s="39"/>
      <c r="AG105" s="39"/>
    </row>
    <row r="106" ht="18.75" customHeight="1" outlineLevel="1">
      <c r="A106" s="1" t="s">
        <v>66</v>
      </c>
      <c r="B106" s="11" t="s">
        <v>3469</v>
      </c>
      <c r="C106" s="37" t="str">
        <f>LET(
 _xlpm.dOK,COUNTIF('クラス'!A:A,E106)&gt;0,
 _xlpm.eOK,COUNTIF('クラス'!A:A,F106)&gt;0,
 IF(_xlpm.dOK,"○","×") &amp; IF(_xlpm.eOK,"○","×")
)</f>
        <v>××</v>
      </c>
      <c r="S106" s="37" t="str">
        <f t="shared" si="1"/>
        <v>肉食生物の巣</v>
      </c>
      <c r="W106" s="37" t="s">
        <v>3475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3476</v>
      </c>
      <c r="X107" s="39" t="s">
        <v>3465</v>
      </c>
      <c r="Y107" s="39">
        <v>5.0</v>
      </c>
      <c r="Z107" s="39" t="b">
        <v>1</v>
      </c>
      <c r="AA107" s="39"/>
      <c r="AB107" s="39"/>
      <c r="AC107" s="39"/>
      <c r="AD107" s="39">
        <v>1.0</v>
      </c>
      <c r="AE107" s="39">
        <v>-40.0</v>
      </c>
      <c r="AF107" s="39">
        <v>15.0</v>
      </c>
      <c r="AG107" s="39" t="s">
        <v>3477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3478</v>
      </c>
      <c r="R108" s="39" t="s">
        <v>1521</v>
      </c>
      <c r="S108" s="39" t="s">
        <v>3479</v>
      </c>
      <c r="W108" s="39" t="s">
        <v>3480</v>
      </c>
      <c r="X108" s="39" t="s">
        <v>3481</v>
      </c>
      <c r="Y108" s="39">
        <v>7.0</v>
      </c>
      <c r="Z108" s="39" t="b">
        <v>0</v>
      </c>
      <c r="AA108" s="39"/>
      <c r="AB108" s="39"/>
      <c r="AC108" s="39"/>
      <c r="AD108" s="39">
        <v>1.0</v>
      </c>
      <c r="AE108" s="39"/>
      <c r="AF108" s="39"/>
      <c r="AG108" s="39"/>
    </row>
    <row r="109" ht="18.75" customHeight="1" outlineLevel="1">
      <c r="A109" s="26" t="s">
        <v>3224</v>
      </c>
      <c r="B109" s="22" t="s">
        <v>1521</v>
      </c>
      <c r="C109" s="37" t="str">
        <f>IF(COUNTIF('クラス'!A:A,E109)&gt;0,"○","×")&amp;IF(COUNTIF('クラス'!A:A,F109)&gt;0,"○","×")</f>
        <v>○×</v>
      </c>
      <c r="D109" s="39" t="b">
        <v>0</v>
      </c>
      <c r="E109" s="39" t="s">
        <v>1521</v>
      </c>
      <c r="G109" s="39">
        <v>2.0</v>
      </c>
      <c r="H109" s="39">
        <v>5.0</v>
      </c>
      <c r="J109" s="39" t="s">
        <v>3478</v>
      </c>
      <c r="R109" s="39" t="s">
        <v>1521</v>
      </c>
      <c r="S109" s="39" t="s">
        <v>3479</v>
      </c>
      <c r="W109" s="39" t="s">
        <v>3482</v>
      </c>
      <c r="X109" s="39" t="s">
        <v>3481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3478</v>
      </c>
      <c r="R110" s="39" t="s">
        <v>1528</v>
      </c>
      <c r="S110" s="39" t="s">
        <v>3316</v>
      </c>
      <c r="W110" s="39" t="s">
        <v>3483</v>
      </c>
      <c r="X110" s="39" t="s">
        <v>3484</v>
      </c>
      <c r="Y110" s="39">
        <v>7.0</v>
      </c>
      <c r="Z110" s="39" t="b">
        <v>0</v>
      </c>
      <c r="AA110" s="39"/>
      <c r="AB110" s="39"/>
      <c r="AC110" s="39"/>
      <c r="AD110" s="39">
        <v>1.0</v>
      </c>
      <c r="AE110" s="39"/>
      <c r="AF110" s="39"/>
      <c r="AG110" s="39"/>
    </row>
    <row r="111" ht="18.75" customHeight="1" outlineLevel="1">
      <c r="A111" s="26" t="s">
        <v>3224</v>
      </c>
      <c r="B111" s="22" t="s">
        <v>1528</v>
      </c>
      <c r="C111" s="37" t="str">
        <f>IF(COUNTIF('クラス'!A:A,E111)&gt;0,"○","×")&amp;IF(COUNTIF('クラス'!A:A,F111)&gt;0,"○","×")</f>
        <v>○×</v>
      </c>
      <c r="D111" s="39" t="b">
        <v>0</v>
      </c>
      <c r="E111" s="39" t="s">
        <v>1528</v>
      </c>
      <c r="G111" s="39">
        <v>3.0</v>
      </c>
      <c r="H111" s="39">
        <v>7.0</v>
      </c>
      <c r="J111" s="39" t="s">
        <v>3478</v>
      </c>
      <c r="R111" s="39" t="s">
        <v>1528</v>
      </c>
      <c r="S111" s="39" t="s">
        <v>3316</v>
      </c>
      <c r="W111" s="39" t="s">
        <v>3485</v>
      </c>
      <c r="X111" s="39" t="s">
        <v>3484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3478</v>
      </c>
      <c r="R112" s="39" t="s">
        <v>1528</v>
      </c>
      <c r="S112" s="39" t="s">
        <v>3316</v>
      </c>
      <c r="W112" s="39" t="s">
        <v>3486</v>
      </c>
      <c r="X112" s="39" t="s">
        <v>3484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3478</v>
      </c>
      <c r="R113" s="39" t="s">
        <v>1914</v>
      </c>
      <c r="S113" s="39" t="s">
        <v>3331</v>
      </c>
      <c r="W113" s="39" t="s">
        <v>3487</v>
      </c>
      <c r="X113" s="39" t="s">
        <v>3488</v>
      </c>
      <c r="Y113" s="39">
        <v>7.0</v>
      </c>
      <c r="Z113" s="39" t="b">
        <v>0</v>
      </c>
      <c r="AA113" s="39" t="s">
        <v>3442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3489</v>
      </c>
      <c r="R114" s="39" t="s">
        <v>1598</v>
      </c>
      <c r="S114" s="39" t="s">
        <v>3320</v>
      </c>
      <c r="W114" s="39" t="s">
        <v>3490</v>
      </c>
      <c r="X114" s="39" t="s">
        <v>3491</v>
      </c>
      <c r="Y114" s="39">
        <v>1.0</v>
      </c>
      <c r="Z114" s="39" t="b">
        <v>0</v>
      </c>
      <c r="AA114" s="39"/>
      <c r="AB114" s="39"/>
      <c r="AC114" s="39"/>
      <c r="AD114" s="39">
        <v>1.0</v>
      </c>
      <c r="AE114" s="39">
        <v>5.0</v>
      </c>
      <c r="AF114" s="39">
        <v>45.0</v>
      </c>
      <c r="AG114" s="39" t="s">
        <v>3492</v>
      </c>
    </row>
    <row r="115" ht="18.75" customHeight="1">
      <c r="A115" s="26" t="s">
        <v>54</v>
      </c>
      <c r="B115" s="22" t="s">
        <v>1617</v>
      </c>
      <c r="C115" s="37" t="str">
        <f>IF(COUNTIF('クラス'!A:A,E115)&gt;0,"○","×")&amp;IF(COUNTIF('クラス'!A:A,F115)&gt;0,"○","×")</f>
        <v>○×</v>
      </c>
      <c r="D115" s="39" t="b">
        <v>1</v>
      </c>
      <c r="E115" s="39" t="s">
        <v>1617</v>
      </c>
      <c r="G115" s="39">
        <v>3.0</v>
      </c>
      <c r="H115" s="39">
        <v>7.0</v>
      </c>
      <c r="J115" s="39" t="s">
        <v>3489</v>
      </c>
      <c r="R115" s="39" t="s">
        <v>1617</v>
      </c>
      <c r="S115" s="39" t="s">
        <v>3320</v>
      </c>
      <c r="W115" s="39" t="s">
        <v>3493</v>
      </c>
      <c r="X115" s="39" t="s">
        <v>3494</v>
      </c>
      <c r="Y115" s="39">
        <v>1.0</v>
      </c>
      <c r="Z115" s="39" t="b">
        <v>0</v>
      </c>
      <c r="AA115" s="39"/>
      <c r="AB115" s="39"/>
      <c r="AC115" s="39"/>
      <c r="AD115" s="39">
        <v>1.0</v>
      </c>
      <c r="AE115" s="39">
        <v>5.0</v>
      </c>
      <c r="AF115" s="39">
        <v>45.0</v>
      </c>
      <c r="AG115" s="39" t="s">
        <v>3466</v>
      </c>
    </row>
    <row r="116" ht="18.75" customHeight="1">
      <c r="A116" s="26" t="s">
        <v>54</v>
      </c>
      <c r="B116" s="22" t="s">
        <v>1625</v>
      </c>
      <c r="C116" s="37" t="str">
        <f>IF(COUNTIF('クラス'!A:A,E116)&gt;0,"○","×")&amp;IF(COUNTIF('クラス'!A:A,F116)&gt;0,"○","×")</f>
        <v>○×</v>
      </c>
      <c r="D116" s="39" t="b">
        <v>1</v>
      </c>
      <c r="E116" s="39" t="s">
        <v>1625</v>
      </c>
      <c r="G116" s="39">
        <v>1.0</v>
      </c>
      <c r="H116" s="39">
        <v>5.0</v>
      </c>
      <c r="J116" s="39" t="s">
        <v>3489</v>
      </c>
      <c r="R116" s="39" t="s">
        <v>1625</v>
      </c>
      <c r="S116" s="39" t="s">
        <v>3320</v>
      </c>
      <c r="W116" s="39" t="s">
        <v>3495</v>
      </c>
      <c r="X116" s="39" t="s">
        <v>3496</v>
      </c>
      <c r="Y116" s="39">
        <v>7.0</v>
      </c>
      <c r="Z116" s="39" t="b">
        <v>0</v>
      </c>
      <c r="AA116" s="39"/>
      <c r="AB116" s="39"/>
      <c r="AC116" s="39"/>
      <c r="AD116" s="39">
        <v>1.0</v>
      </c>
      <c r="AE116" s="39">
        <v>5.0</v>
      </c>
      <c r="AF116" s="39">
        <v>45.0</v>
      </c>
      <c r="AG116" s="39" t="s">
        <v>3466</v>
      </c>
    </row>
    <row r="117" ht="18.75" customHeight="1">
      <c r="A117" s="26" t="s">
        <v>54</v>
      </c>
      <c r="B117" s="22" t="s">
        <v>1633</v>
      </c>
      <c r="C117" s="37" t="str">
        <f>IF(COUNTIF('クラス'!A:A,E117)&gt;0,"○","×")&amp;IF(COUNTIF('クラス'!A:A,F117)&gt;0,"○","×")</f>
        <v>○×</v>
      </c>
      <c r="D117" s="39" t="b">
        <v>1</v>
      </c>
      <c r="E117" s="39" t="s">
        <v>1633</v>
      </c>
      <c r="G117" s="39">
        <v>1.0</v>
      </c>
      <c r="H117" s="39">
        <v>4.0</v>
      </c>
      <c r="J117" s="39" t="s">
        <v>3489</v>
      </c>
      <c r="R117" s="39" t="s">
        <v>1633</v>
      </c>
      <c r="S117" s="39" t="s">
        <v>3320</v>
      </c>
      <c r="W117" s="39" t="s">
        <v>3497</v>
      </c>
      <c r="X117" s="39" t="s">
        <v>3496</v>
      </c>
      <c r="Y117" s="39">
        <v>1.0</v>
      </c>
      <c r="Z117" s="39" t="b">
        <v>0</v>
      </c>
      <c r="AA117" s="39"/>
      <c r="AB117" s="39"/>
      <c r="AC117" s="39"/>
      <c r="AD117" s="39">
        <v>1.0</v>
      </c>
      <c r="AE117" s="39">
        <v>5.0</v>
      </c>
      <c r="AF117" s="39">
        <v>45.0</v>
      </c>
      <c r="AG117" s="39" t="s">
        <v>3492</v>
      </c>
    </row>
    <row r="118" ht="18.75" customHeight="1">
      <c r="A118" s="26" t="s">
        <v>3224</v>
      </c>
      <c r="B118" s="22" t="s">
        <v>1598</v>
      </c>
      <c r="C118" s="37" t="str">
        <f>IF(COUNTIF('クラス'!A:A,E118)&gt;0,"○","×")&amp;IF(COUNTIF('クラス'!A:A,F118)&gt;0,"○","×")</f>
        <v>○×</v>
      </c>
      <c r="D118" s="39" t="b">
        <v>0</v>
      </c>
      <c r="E118" s="39" t="s">
        <v>1598</v>
      </c>
      <c r="G118" s="39">
        <v>2.0</v>
      </c>
      <c r="H118" s="39">
        <v>5.0</v>
      </c>
      <c r="J118" s="39" t="s">
        <v>3489</v>
      </c>
      <c r="R118" s="39" t="s">
        <v>1598</v>
      </c>
      <c r="S118" s="39" t="s">
        <v>3320</v>
      </c>
      <c r="W118" s="39" t="s">
        <v>3498</v>
      </c>
      <c r="X118" s="39" t="s">
        <v>3491</v>
      </c>
      <c r="Y118" s="39">
        <v>1.0</v>
      </c>
      <c r="Z118" s="39" t="b">
        <v>0</v>
      </c>
      <c r="AA118" s="39"/>
      <c r="AB118" s="39"/>
      <c r="AC118" s="39"/>
      <c r="AD118" s="39">
        <v>1.0</v>
      </c>
      <c r="AE118" s="39">
        <v>5.0</v>
      </c>
      <c r="AF118" s="39">
        <v>45.0</v>
      </c>
      <c r="AG118" s="39" t="s">
        <v>3492</v>
      </c>
    </row>
    <row r="119" ht="18.75" customHeight="1">
      <c r="A119" s="26" t="s">
        <v>3224</v>
      </c>
      <c r="B119" s="22" t="s">
        <v>1633</v>
      </c>
      <c r="C119" s="37" t="str">
        <f>IF(COUNTIF('クラス'!A:A,E119)&gt;0,"○","×")&amp;IF(COUNTIF('クラス'!A:A,F119)&gt;0,"○","×")</f>
        <v>○×</v>
      </c>
      <c r="D119" s="39" t="b">
        <v>1</v>
      </c>
      <c r="E119" s="39" t="s">
        <v>1633</v>
      </c>
      <c r="G119" s="39">
        <v>1.0</v>
      </c>
      <c r="H119" s="39">
        <v>4.0</v>
      </c>
      <c r="J119" s="39" t="s">
        <v>3489</v>
      </c>
      <c r="R119" s="39" t="s">
        <v>1633</v>
      </c>
      <c r="S119" s="39" t="s">
        <v>3320</v>
      </c>
      <c r="W119" s="39" t="s">
        <v>3499</v>
      </c>
      <c r="X119" s="39" t="s">
        <v>3496</v>
      </c>
      <c r="Y119" s="39">
        <v>1.0</v>
      </c>
      <c r="Z119" s="39" t="b">
        <v>0</v>
      </c>
      <c r="AA119" s="39"/>
      <c r="AB119" s="39"/>
      <c r="AC119" s="39"/>
      <c r="AD119" s="39">
        <v>1.0</v>
      </c>
      <c r="AE119" s="39">
        <v>5.0</v>
      </c>
      <c r="AF119" s="39">
        <v>45.0</v>
      </c>
      <c r="AG119" s="39" t="s">
        <v>3492</v>
      </c>
    </row>
    <row r="120" ht="18.75" customHeight="1">
      <c r="A120" s="26" t="s">
        <v>3224</v>
      </c>
      <c r="B120" s="22" t="s">
        <v>1656</v>
      </c>
      <c r="C120" s="37" t="str">
        <f>IF(COUNTIF('クラス'!A:A,E120)&gt;0,"○","×")&amp;IF(COUNTIF('クラス'!A:A,F120)&gt;0,"○","×")</f>
        <v>○×</v>
      </c>
      <c r="D120" s="39" t="b">
        <v>1</v>
      </c>
      <c r="E120" s="39" t="s">
        <v>1656</v>
      </c>
      <c r="G120" s="39">
        <v>3.0</v>
      </c>
      <c r="H120" s="39">
        <v>8.0</v>
      </c>
      <c r="J120" s="39" t="s">
        <v>3489</v>
      </c>
      <c r="R120" s="39" t="s">
        <v>1656</v>
      </c>
      <c r="S120" s="39" t="s">
        <v>3320</v>
      </c>
      <c r="W120" s="39" t="s">
        <v>3500</v>
      </c>
      <c r="X120" s="39" t="s">
        <v>3322</v>
      </c>
      <c r="Y120" s="39">
        <v>7.0</v>
      </c>
      <c r="Z120" s="39" t="b">
        <v>0</v>
      </c>
      <c r="AA120" s="39"/>
      <c r="AB120" s="39"/>
      <c r="AC120" s="39"/>
      <c r="AD120" s="39">
        <v>1.0</v>
      </c>
      <c r="AE120" s="39">
        <v>5.0</v>
      </c>
      <c r="AF120" s="39">
        <v>45.0</v>
      </c>
      <c r="AG120" s="39" t="s">
        <v>3492</v>
      </c>
    </row>
    <row r="121" ht="18.75" customHeight="1">
      <c r="A121" s="26" t="s">
        <v>62</v>
      </c>
      <c r="B121" s="22" t="s">
        <v>1656</v>
      </c>
      <c r="C121" s="37" t="str">
        <f>IF(COUNTIF('クラス'!A:A,E121)&gt;0,"○","×")&amp;IF(COUNTIF('クラス'!A:A,F121)&gt;0,"○","×")</f>
        <v>○×</v>
      </c>
      <c r="D121" s="39" t="b">
        <v>1</v>
      </c>
      <c r="E121" s="39" t="s">
        <v>1656</v>
      </c>
      <c r="G121" s="39">
        <v>3.0</v>
      </c>
      <c r="H121" s="39">
        <v>8.0</v>
      </c>
      <c r="J121" s="39" t="s">
        <v>3489</v>
      </c>
      <c r="R121" s="39" t="s">
        <v>1656</v>
      </c>
      <c r="S121" s="39" t="s">
        <v>3320</v>
      </c>
      <c r="W121" s="39" t="s">
        <v>3501</v>
      </c>
      <c r="X121" s="39" t="s">
        <v>3322</v>
      </c>
      <c r="Y121" s="39">
        <v>7.0</v>
      </c>
      <c r="Z121" s="39" t="b">
        <v>0</v>
      </c>
      <c r="AA121" s="39"/>
      <c r="AB121" s="39"/>
      <c r="AC121" s="39"/>
      <c r="AD121" s="39">
        <v>1.0</v>
      </c>
      <c r="AE121" s="39">
        <v>5.0</v>
      </c>
      <c r="AF121" s="39">
        <v>45.0</v>
      </c>
      <c r="AG121" s="39" t="s">
        <v>3492</v>
      </c>
    </row>
    <row r="122" ht="18.75" customHeight="1">
      <c r="A122" s="26" t="s">
        <v>62</v>
      </c>
      <c r="B122" s="22" t="s">
        <v>1647</v>
      </c>
      <c r="C122" s="37" t="str">
        <f>IF(COUNTIF('クラス'!A:A,E122)&gt;0,"○","×")&amp;IF(COUNTIF('クラス'!A:A,F122)&gt;0,"○","×")</f>
        <v>○×</v>
      </c>
      <c r="D122" s="39" t="b">
        <v>1</v>
      </c>
      <c r="E122" s="39" t="s">
        <v>1647</v>
      </c>
      <c r="G122" s="39">
        <v>3.0</v>
      </c>
      <c r="H122" s="39">
        <v>7.0</v>
      </c>
      <c r="J122" s="39" t="s">
        <v>3489</v>
      </c>
      <c r="R122" s="39" t="s">
        <v>1647</v>
      </c>
      <c r="S122" s="39" t="s">
        <v>3320</v>
      </c>
      <c r="W122" s="39" t="s">
        <v>3502</v>
      </c>
      <c r="X122" s="39" t="s">
        <v>3503</v>
      </c>
      <c r="Y122" s="39">
        <v>7.0</v>
      </c>
      <c r="Z122" s="39" t="b">
        <v>0</v>
      </c>
      <c r="AA122" s="39"/>
      <c r="AB122" s="39"/>
      <c r="AC122" s="39"/>
      <c r="AD122" s="39">
        <v>1.0</v>
      </c>
      <c r="AE122" s="39">
        <v>5.0</v>
      </c>
      <c r="AF122" s="39">
        <v>45.0</v>
      </c>
      <c r="AG122" s="39" t="s">
        <v>3492</v>
      </c>
    </row>
    <row r="123" ht="18.75" customHeight="1">
      <c r="A123" s="26" t="s">
        <v>56</v>
      </c>
      <c r="B123" s="22" t="s">
        <v>1609</v>
      </c>
      <c r="C123" s="37" t="str">
        <f>IF(COUNTIF('クラス'!A:A,E123)&gt;0,"○","×")&amp;IF(COUNTIF('クラス'!A:A,F123)&gt;0,"○","×")</f>
        <v>○×</v>
      </c>
      <c r="D123" s="39" t="b">
        <v>1</v>
      </c>
      <c r="E123" s="39" t="s">
        <v>1609</v>
      </c>
      <c r="G123" s="39">
        <v>2.0</v>
      </c>
      <c r="H123" s="39">
        <v>6.0</v>
      </c>
      <c r="J123" s="39" t="s">
        <v>3489</v>
      </c>
      <c r="R123" s="39"/>
      <c r="S123" s="39" t="s">
        <v>3320</v>
      </c>
      <c r="W123" s="39" t="s">
        <v>3504</v>
      </c>
      <c r="X123" s="39"/>
      <c r="Y123" s="39"/>
      <c r="Z123" s="39" t="b">
        <v>0</v>
      </c>
      <c r="AA123" s="39"/>
      <c r="AB123" s="39"/>
      <c r="AC123" s="39"/>
      <c r="AD123" s="39">
        <v>1.0</v>
      </c>
      <c r="AE123" s="39">
        <v>5.0</v>
      </c>
      <c r="AF123" s="39">
        <v>45.0</v>
      </c>
      <c r="AG123" s="39" t="s">
        <v>3492</v>
      </c>
    </row>
    <row r="124" ht="18.75" customHeight="1">
      <c r="A124" s="26" t="s">
        <v>56</v>
      </c>
      <c r="B124" s="22" t="s">
        <v>1617</v>
      </c>
      <c r="C124" s="37" t="str">
        <f>IF(COUNTIF('クラス'!A:A,E124)&gt;0,"○","×")&amp;IF(COUNTIF('クラス'!A:A,F124)&gt;0,"○","×")</f>
        <v>○×</v>
      </c>
      <c r="D124" s="39" t="b">
        <v>1</v>
      </c>
      <c r="E124" s="39" t="s">
        <v>1617</v>
      </c>
      <c r="G124" s="39">
        <v>3.0</v>
      </c>
      <c r="H124" s="39">
        <v>7.0</v>
      </c>
      <c r="J124" s="39" t="s">
        <v>3489</v>
      </c>
      <c r="R124" s="39" t="s">
        <v>1617</v>
      </c>
      <c r="S124" s="39" t="s">
        <v>3320</v>
      </c>
      <c r="W124" s="39" t="s">
        <v>3505</v>
      </c>
      <c r="X124" s="39" t="s">
        <v>3494</v>
      </c>
      <c r="Y124" s="39">
        <v>1.0</v>
      </c>
      <c r="Z124" s="39" t="b">
        <v>0</v>
      </c>
      <c r="AA124" s="39"/>
      <c r="AB124" s="39"/>
      <c r="AC124" s="39"/>
      <c r="AD124" s="39">
        <v>1.0</v>
      </c>
      <c r="AE124" s="39">
        <v>5.0</v>
      </c>
      <c r="AF124" s="39">
        <v>45.0</v>
      </c>
      <c r="AG124" s="39" t="s">
        <v>3466</v>
      </c>
    </row>
    <row r="125" ht="18.75" customHeight="1">
      <c r="A125" s="26" t="s">
        <v>56</v>
      </c>
      <c r="B125" s="22" t="s">
        <v>1625</v>
      </c>
      <c r="C125" s="37" t="str">
        <f>IF(COUNTIF('クラス'!A:A,E125)&gt;0,"○","×")&amp;IF(COUNTIF('クラス'!A:A,F125)&gt;0,"○","×")</f>
        <v>○×</v>
      </c>
      <c r="D125" s="39" t="b">
        <v>1</v>
      </c>
      <c r="E125" s="39" t="s">
        <v>1625</v>
      </c>
      <c r="G125" s="39">
        <v>1.0</v>
      </c>
      <c r="H125" s="39">
        <v>5.0</v>
      </c>
      <c r="J125" s="39" t="s">
        <v>3489</v>
      </c>
      <c r="R125" s="39" t="s">
        <v>1625</v>
      </c>
      <c r="S125" s="39" t="s">
        <v>3320</v>
      </c>
      <c r="W125" s="39" t="s">
        <v>3506</v>
      </c>
      <c r="X125" s="39" t="s">
        <v>3496</v>
      </c>
      <c r="Y125" s="39">
        <v>7.0</v>
      </c>
      <c r="Z125" s="39" t="b">
        <v>0</v>
      </c>
      <c r="AA125" s="39"/>
      <c r="AB125" s="39"/>
      <c r="AC125" s="39"/>
      <c r="AD125" s="39">
        <v>1.0</v>
      </c>
      <c r="AE125" s="39">
        <v>5.0</v>
      </c>
      <c r="AF125" s="39">
        <v>45.0</v>
      </c>
      <c r="AG125" s="39" t="s">
        <v>3466</v>
      </c>
    </row>
    <row r="126" ht="18.75" customHeight="1">
      <c r="A126" s="26" t="s">
        <v>56</v>
      </c>
      <c r="B126" s="22" t="s">
        <v>1633</v>
      </c>
      <c r="C126" s="37" t="str">
        <f>IF(COUNTIF('クラス'!A:A,E126)&gt;0,"○","×")&amp;IF(COUNTIF('クラス'!A:A,F126)&gt;0,"○","×")</f>
        <v>○×</v>
      </c>
      <c r="D126" s="39" t="b">
        <v>1</v>
      </c>
      <c r="E126" s="39" t="s">
        <v>1633</v>
      </c>
      <c r="G126" s="39">
        <v>1.0</v>
      </c>
      <c r="H126" s="39">
        <v>4.0</v>
      </c>
      <c r="J126" s="39" t="s">
        <v>3489</v>
      </c>
      <c r="R126" s="39" t="s">
        <v>1633</v>
      </c>
      <c r="S126" s="39" t="s">
        <v>3320</v>
      </c>
      <c r="W126" s="39" t="s">
        <v>3507</v>
      </c>
      <c r="X126" s="39" t="s">
        <v>3496</v>
      </c>
      <c r="Y126" s="39">
        <v>1.0</v>
      </c>
      <c r="Z126" s="39" t="b">
        <v>0</v>
      </c>
      <c r="AA126" s="39"/>
      <c r="AB126" s="39"/>
      <c r="AC126" s="39"/>
      <c r="AD126" s="39">
        <v>1.0</v>
      </c>
      <c r="AE126" s="39">
        <v>5.0</v>
      </c>
      <c r="AF126" s="39">
        <v>45.0</v>
      </c>
      <c r="AG126" s="39" t="s">
        <v>3492</v>
      </c>
    </row>
    <row r="127" ht="18.75" customHeight="1">
      <c r="A127" s="26" t="s">
        <v>56</v>
      </c>
      <c r="B127" s="22" t="s">
        <v>1640</v>
      </c>
      <c r="C127" s="37" t="str">
        <f>IF(COUNTIF('クラス'!A:A,E127)&gt;0,"○","×")&amp;IF(COUNTIF('クラス'!A:A,F127)&gt;0,"○","×")</f>
        <v>○×</v>
      </c>
      <c r="D127" s="39" t="b">
        <v>1</v>
      </c>
      <c r="E127" s="39" t="s">
        <v>1640</v>
      </c>
      <c r="G127" s="39">
        <v>2.0</v>
      </c>
      <c r="H127" s="39">
        <v>6.0</v>
      </c>
      <c r="J127" s="39" t="s">
        <v>3489</v>
      </c>
      <c r="R127" s="39" t="s">
        <v>1640</v>
      </c>
      <c r="S127" s="39" t="s">
        <v>3320</v>
      </c>
      <c r="W127" s="39" t="s">
        <v>3508</v>
      </c>
      <c r="X127" s="39" t="s">
        <v>3503</v>
      </c>
      <c r="Y127" s="39">
        <v>1.0</v>
      </c>
      <c r="Z127" s="39" t="b">
        <v>0</v>
      </c>
      <c r="AA127" s="39"/>
      <c r="AB127" s="39"/>
      <c r="AC127" s="39"/>
      <c r="AD127" s="39">
        <v>1.0</v>
      </c>
      <c r="AE127" s="39">
        <v>5.0</v>
      </c>
      <c r="AF127" s="39">
        <v>45.0</v>
      </c>
      <c r="AG127" s="39" t="s">
        <v>3492</v>
      </c>
    </row>
    <row r="128" ht="18.75" customHeight="1">
      <c r="A128" s="26" t="s">
        <v>56</v>
      </c>
      <c r="B128" s="22" t="s">
        <v>1647</v>
      </c>
      <c r="C128" s="37" t="str">
        <f>IF(COUNTIF('クラス'!A:A,E128)&gt;0,"○","×")&amp;IF(COUNTIF('クラス'!A:A,F128)&gt;0,"○","×")</f>
        <v>○×</v>
      </c>
      <c r="D128" s="39" t="b">
        <v>1</v>
      </c>
      <c r="E128" s="39" t="s">
        <v>1647</v>
      </c>
      <c r="G128" s="39">
        <v>3.0</v>
      </c>
      <c r="H128" s="39">
        <v>7.0</v>
      </c>
      <c r="J128" s="39" t="s">
        <v>3489</v>
      </c>
      <c r="R128" s="39" t="s">
        <v>1647</v>
      </c>
      <c r="S128" s="39" t="s">
        <v>3320</v>
      </c>
      <c r="W128" s="39" t="s">
        <v>3509</v>
      </c>
      <c r="X128" s="39" t="s">
        <v>3503</v>
      </c>
      <c r="Y128" s="39">
        <v>7.0</v>
      </c>
      <c r="Z128" s="39" t="b">
        <v>0</v>
      </c>
      <c r="AA128" s="39"/>
      <c r="AB128" s="39"/>
      <c r="AC128" s="39"/>
      <c r="AD128" s="39">
        <v>1.0</v>
      </c>
      <c r="AE128" s="39">
        <v>5.0</v>
      </c>
      <c r="AF128" s="39">
        <v>45.0</v>
      </c>
      <c r="AG128" s="39" t="s">
        <v>3492</v>
      </c>
    </row>
    <row r="129" ht="18.75" customHeight="1">
      <c r="A129" s="26" t="s">
        <v>63</v>
      </c>
      <c r="B129" s="22" t="s">
        <v>1640</v>
      </c>
      <c r="C129" s="37" t="str">
        <f>IF(COUNTIF('クラス'!A:A,E129)&gt;0,"○","×")&amp;IF(COUNTIF('クラス'!A:A,F129)&gt;0,"○","×")</f>
        <v>○×</v>
      </c>
      <c r="D129" s="39" t="b">
        <v>1</v>
      </c>
      <c r="E129" s="39" t="s">
        <v>1640</v>
      </c>
      <c r="G129" s="39">
        <v>2.0</v>
      </c>
      <c r="H129" s="39">
        <v>6.0</v>
      </c>
      <c r="J129" s="39" t="s">
        <v>3489</v>
      </c>
      <c r="R129" s="39" t="s">
        <v>1640</v>
      </c>
      <c r="S129" s="39" t="s">
        <v>3320</v>
      </c>
      <c r="W129" s="39" t="s">
        <v>3510</v>
      </c>
      <c r="X129" s="39" t="s">
        <v>3503</v>
      </c>
      <c r="Y129" s="39">
        <v>1.0</v>
      </c>
      <c r="Z129" s="39" t="b">
        <v>0</v>
      </c>
      <c r="AA129" s="39"/>
      <c r="AB129" s="39"/>
      <c r="AC129" s="39"/>
      <c r="AD129" s="39">
        <v>1.0</v>
      </c>
      <c r="AE129" s="39">
        <v>5.0</v>
      </c>
      <c r="AF129" s="39">
        <v>45.0</v>
      </c>
      <c r="AG129" s="39" t="s">
        <v>3492</v>
      </c>
    </row>
    <row r="130" ht="18.75" customHeight="1">
      <c r="A130" s="26" t="s">
        <v>63</v>
      </c>
      <c r="B130" s="22" t="s">
        <v>1647</v>
      </c>
      <c r="C130" s="37" t="str">
        <f>IF(COUNTIF('クラス'!A:A,E130)&gt;0,"○","×")&amp;IF(COUNTIF('クラス'!A:A,F130)&gt;0,"○","×")</f>
        <v>○×</v>
      </c>
      <c r="D130" s="39" t="b">
        <v>1</v>
      </c>
      <c r="E130" s="39" t="s">
        <v>1647</v>
      </c>
      <c r="G130" s="39">
        <v>3.0</v>
      </c>
      <c r="H130" s="39">
        <v>7.0</v>
      </c>
      <c r="J130" s="39" t="s">
        <v>3489</v>
      </c>
      <c r="R130" s="39" t="s">
        <v>1647</v>
      </c>
      <c r="S130" s="39" t="s">
        <v>3320</v>
      </c>
      <c r="W130" s="39" t="s">
        <v>3511</v>
      </c>
      <c r="X130" s="39" t="s">
        <v>3503</v>
      </c>
      <c r="Y130" s="39">
        <v>7.0</v>
      </c>
      <c r="Z130" s="39" t="b">
        <v>0</v>
      </c>
      <c r="AA130" s="39"/>
      <c r="AB130" s="39"/>
      <c r="AC130" s="39"/>
      <c r="AD130" s="39">
        <v>1.0</v>
      </c>
      <c r="AE130" s="39">
        <v>5.0</v>
      </c>
      <c r="AF130" s="39">
        <v>45.0</v>
      </c>
      <c r="AG130" s="39" t="s">
        <v>3492</v>
      </c>
    </row>
    <row r="131" ht="18.75" customHeight="1">
      <c r="A131" s="26" t="s">
        <v>65</v>
      </c>
      <c r="B131" s="22" t="s">
        <v>1598</v>
      </c>
      <c r="C131" s="37" t="str">
        <f>IF(COUNTIF('クラス'!A:A,E131)&gt;0,"○","×")&amp;IF(COUNTIF('クラス'!A:A,F131)&gt;0,"○","×")</f>
        <v>○×</v>
      </c>
      <c r="D131" s="39" t="b">
        <v>0</v>
      </c>
      <c r="E131" s="39" t="s">
        <v>1598</v>
      </c>
      <c r="G131" s="39">
        <v>2.0</v>
      </c>
      <c r="H131" s="39">
        <v>5.0</v>
      </c>
      <c r="J131" s="39" t="s">
        <v>3489</v>
      </c>
      <c r="R131" s="39" t="s">
        <v>1598</v>
      </c>
      <c r="S131" s="39" t="s">
        <v>3320</v>
      </c>
      <c r="W131" s="39" t="s">
        <v>3512</v>
      </c>
      <c r="X131" s="39" t="s">
        <v>3491</v>
      </c>
      <c r="Y131" s="39">
        <v>1.0</v>
      </c>
      <c r="Z131" s="39" t="b">
        <v>0</v>
      </c>
      <c r="AA131" s="39" t="s">
        <v>3513</v>
      </c>
      <c r="AB131" s="39">
        <v>5.0</v>
      </c>
      <c r="AC131" s="39">
        <v>8.0</v>
      </c>
      <c r="AD131" s="39">
        <v>1.0</v>
      </c>
      <c r="AE131" s="39">
        <v>5.0</v>
      </c>
      <c r="AF131" s="39">
        <v>45.0</v>
      </c>
      <c r="AG131" s="39" t="s">
        <v>3492</v>
      </c>
    </row>
    <row r="132" ht="18.75" customHeight="1">
      <c r="A132" s="26" t="s">
        <v>65</v>
      </c>
      <c r="B132" s="22" t="s">
        <v>1640</v>
      </c>
      <c r="C132" s="37" t="str">
        <f>IF(COUNTIF('クラス'!A:A,E132)&gt;0,"○","×")&amp;IF(COUNTIF('クラス'!A:A,F132)&gt;0,"○","×")</f>
        <v>○×</v>
      </c>
      <c r="D132" s="39" t="b">
        <v>1</v>
      </c>
      <c r="E132" s="39" t="s">
        <v>1640</v>
      </c>
      <c r="G132" s="39">
        <v>2.0</v>
      </c>
      <c r="H132" s="39">
        <v>6.0</v>
      </c>
      <c r="J132" s="39" t="s">
        <v>3489</v>
      </c>
      <c r="R132" s="39" t="s">
        <v>1640</v>
      </c>
      <c r="S132" s="39" t="s">
        <v>3320</v>
      </c>
      <c r="W132" s="39" t="s">
        <v>3514</v>
      </c>
      <c r="X132" s="39" t="s">
        <v>3503</v>
      </c>
      <c r="Y132" s="39">
        <v>1.0</v>
      </c>
      <c r="Z132" s="39" t="b">
        <v>0</v>
      </c>
      <c r="AA132" s="39" t="s">
        <v>3444</v>
      </c>
      <c r="AB132" s="39">
        <v>2.0</v>
      </c>
      <c r="AC132" s="39">
        <v>3.0</v>
      </c>
      <c r="AD132" s="39">
        <v>1.0</v>
      </c>
      <c r="AE132" s="39">
        <v>5.0</v>
      </c>
      <c r="AF132" s="39">
        <v>45.0</v>
      </c>
      <c r="AG132" s="39" t="s">
        <v>3492</v>
      </c>
    </row>
    <row r="133" ht="18.75" customHeight="1">
      <c r="A133" s="26" t="s">
        <v>65</v>
      </c>
      <c r="B133" s="22" t="s">
        <v>1647</v>
      </c>
      <c r="C133" s="37" t="str">
        <f>IF(COUNTIF('クラス'!A:A,E133)&gt;0,"○","×")&amp;IF(COUNTIF('クラス'!A:A,F133)&gt;0,"○","×")</f>
        <v>○×</v>
      </c>
      <c r="D133" s="39" t="b">
        <v>1</v>
      </c>
      <c r="E133" s="39" t="s">
        <v>1647</v>
      </c>
      <c r="G133" s="39">
        <v>3.0</v>
      </c>
      <c r="H133" s="39">
        <v>7.0</v>
      </c>
      <c r="J133" s="39" t="s">
        <v>3489</v>
      </c>
      <c r="R133" s="39" t="s">
        <v>1647</v>
      </c>
      <c r="S133" s="39" t="s">
        <v>3320</v>
      </c>
      <c r="W133" s="39" t="s">
        <v>3515</v>
      </c>
      <c r="X133" s="39" t="s">
        <v>3503</v>
      </c>
      <c r="Y133" s="39">
        <v>7.0</v>
      </c>
      <c r="Z133" s="39" t="b">
        <v>0</v>
      </c>
      <c r="AA133" s="39" t="s">
        <v>3444</v>
      </c>
      <c r="AB133" s="39">
        <v>2.0</v>
      </c>
      <c r="AC133" s="39">
        <v>3.0</v>
      </c>
      <c r="AD133" s="39">
        <v>1.0</v>
      </c>
      <c r="AE133" s="39">
        <v>5.0</v>
      </c>
      <c r="AF133" s="39">
        <v>45.0</v>
      </c>
      <c r="AG133" s="39" t="s">
        <v>3492</v>
      </c>
    </row>
    <row r="134" ht="18.75" customHeight="1">
      <c r="A134" s="26" t="s">
        <v>69</v>
      </c>
      <c r="B134" s="22" t="s">
        <v>1317</v>
      </c>
      <c r="C134" s="37" t="str">
        <f>IF(COUNTIF('クラス'!A:A,E134)&gt;0,"○","×")&amp;IF(COUNTIF('クラス'!A:A,F134)&gt;0,"○","×")</f>
        <v>○×</v>
      </c>
      <c r="D134" s="39" t="b">
        <v>1</v>
      </c>
      <c r="E134" s="39" t="s">
        <v>1317</v>
      </c>
      <c r="G134" s="39">
        <v>5.0</v>
      </c>
      <c r="H134" s="39">
        <v>15.0</v>
      </c>
      <c r="J134" s="39" t="s">
        <v>3516</v>
      </c>
      <c r="R134" s="39" t="s">
        <v>1317</v>
      </c>
      <c r="S134" s="39" t="s">
        <v>3346</v>
      </c>
      <c r="W134" s="39" t="s">
        <v>3517</v>
      </c>
      <c r="X134" s="39" t="s">
        <v>3518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3516</v>
      </c>
      <c r="R135" s="39" t="s">
        <v>1331</v>
      </c>
      <c r="S135" s="39" t="s">
        <v>3346</v>
      </c>
      <c r="W135" s="39" t="s">
        <v>3519</v>
      </c>
      <c r="X135" s="39" t="s">
        <v>3518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3516</v>
      </c>
      <c r="R136" s="39" t="s">
        <v>1344</v>
      </c>
      <c r="S136" s="39" t="s">
        <v>3346</v>
      </c>
      <c r="W136" s="39" t="s">
        <v>3520</v>
      </c>
      <c r="X136" s="39" t="s">
        <v>3518</v>
      </c>
      <c r="Y136" s="39">
        <v>6.0</v>
      </c>
      <c r="Z136" s="39" t="b">
        <v>0</v>
      </c>
      <c r="AA136" s="39"/>
      <c r="AB136" s="39"/>
      <c r="AC136" s="39"/>
      <c r="AD136" s="39">
        <v>1.0</v>
      </c>
      <c r="AE136" s="39"/>
      <c r="AF136" s="39"/>
      <c r="AG136" s="39"/>
    </row>
    <row r="137" ht="18.75" customHeight="1">
      <c r="A137" s="26" t="s">
        <v>56</v>
      </c>
      <c r="B137" s="22" t="s">
        <v>3521</v>
      </c>
      <c r="C137" s="39" t="s">
        <v>3522</v>
      </c>
      <c r="E137" s="39" t="s">
        <v>1501</v>
      </c>
      <c r="F137" s="39" t="s">
        <v>1812</v>
      </c>
      <c r="G137" s="39">
        <v>11.0</v>
      </c>
      <c r="H137" s="39">
        <v>14.0</v>
      </c>
      <c r="J137" s="39" t="s">
        <v>3523</v>
      </c>
      <c r="W137" s="39" t="s">
        <v>3524</v>
      </c>
      <c r="AA137" s="37"/>
      <c r="AD137" s="39">
        <v>1.0</v>
      </c>
      <c r="AE137" s="39"/>
      <c r="AF137" s="39"/>
      <c r="AG137" s="39"/>
    </row>
    <row r="138" ht="18.75" customHeight="1">
      <c r="A138" s="26" t="s">
        <v>3224</v>
      </c>
      <c r="B138" s="22" t="s">
        <v>3521</v>
      </c>
      <c r="C138" s="39" t="s">
        <v>3522</v>
      </c>
      <c r="E138" s="39" t="s">
        <v>1501</v>
      </c>
      <c r="F138" s="39" t="s">
        <v>1812</v>
      </c>
      <c r="G138" s="39">
        <v>11.0</v>
      </c>
      <c r="H138" s="39">
        <v>14.0</v>
      </c>
      <c r="J138" s="39" t="s">
        <v>3523</v>
      </c>
      <c r="W138" s="39" t="s">
        <v>3525</v>
      </c>
      <c r="AA138" s="37"/>
      <c r="AD138" s="39">
        <v>1.0</v>
      </c>
      <c r="AE138" s="39"/>
      <c r="AF138" s="39"/>
      <c r="AG138" s="39"/>
    </row>
    <row r="139" ht="18.75" customHeight="1">
      <c r="A139" s="26" t="s">
        <v>66</v>
      </c>
      <c r="B139" s="22" t="s">
        <v>3526</v>
      </c>
      <c r="C139" s="39" t="s">
        <v>3522</v>
      </c>
      <c r="E139" s="39" t="s">
        <v>1501</v>
      </c>
      <c r="F139" s="39" t="s">
        <v>1763</v>
      </c>
      <c r="G139" s="39">
        <v>11.0</v>
      </c>
      <c r="H139" s="39">
        <v>14.0</v>
      </c>
      <c r="J139" s="39" t="s">
        <v>3523</v>
      </c>
      <c r="W139" s="39" t="s">
        <v>3527</v>
      </c>
      <c r="AA139" s="37"/>
      <c r="AD139" s="39">
        <v>1.0</v>
      </c>
      <c r="AE139" s="39">
        <v>-40.0</v>
      </c>
      <c r="AF139" s="39">
        <v>15.0</v>
      </c>
      <c r="AG139" s="39" t="s">
        <v>3477</v>
      </c>
    </row>
    <row r="140" ht="18.75" customHeight="1">
      <c r="A140" s="26" t="s">
        <v>57</v>
      </c>
      <c r="B140" s="22" t="s">
        <v>3526</v>
      </c>
      <c r="C140" s="39" t="s">
        <v>3522</v>
      </c>
      <c r="E140" s="39" t="s">
        <v>1501</v>
      </c>
      <c r="F140" s="39" t="s">
        <v>1763</v>
      </c>
      <c r="G140" s="39">
        <v>11.0</v>
      </c>
      <c r="H140" s="39">
        <v>14.0</v>
      </c>
      <c r="J140" s="39" t="s">
        <v>3523</v>
      </c>
      <c r="W140" s="39" t="s">
        <v>3528</v>
      </c>
      <c r="AA140" s="37"/>
      <c r="AD140" s="39">
        <v>1.0</v>
      </c>
      <c r="AE140" s="39">
        <v>-40.0</v>
      </c>
      <c r="AF140" s="39">
        <v>15.0</v>
      </c>
      <c r="AG140" s="39" t="s">
        <v>3477</v>
      </c>
    </row>
    <row r="141" ht="18.75" customHeight="1">
      <c r="A141" s="26" t="s">
        <v>54</v>
      </c>
      <c r="B141" s="22" t="s">
        <v>3529</v>
      </c>
      <c r="C141" s="39" t="s">
        <v>3522</v>
      </c>
      <c r="E141" s="39" t="s">
        <v>1521</v>
      </c>
      <c r="F141" s="39" t="s">
        <v>1812</v>
      </c>
      <c r="G141" s="39">
        <v>11.0</v>
      </c>
      <c r="H141" s="39">
        <v>14.0</v>
      </c>
      <c r="J141" s="39" t="s">
        <v>3523</v>
      </c>
      <c r="W141" s="39" t="s">
        <v>3530</v>
      </c>
      <c r="AA141" s="37"/>
      <c r="AD141" s="39">
        <v>1.0</v>
      </c>
      <c r="AE141" s="39"/>
      <c r="AF141" s="39"/>
      <c r="AG141" s="39"/>
    </row>
    <row r="142" ht="18.75" customHeight="1">
      <c r="A142" s="26" t="s">
        <v>3224</v>
      </c>
      <c r="B142" s="22" t="s">
        <v>3529</v>
      </c>
      <c r="C142" s="39" t="s">
        <v>3522</v>
      </c>
      <c r="E142" s="39" t="s">
        <v>1521</v>
      </c>
      <c r="F142" s="39" t="s">
        <v>1812</v>
      </c>
      <c r="G142" s="39">
        <v>11.0</v>
      </c>
      <c r="H142" s="39">
        <v>14.0</v>
      </c>
      <c r="J142" s="39" t="s">
        <v>3523</v>
      </c>
      <c r="W142" s="39" t="s">
        <v>3531</v>
      </c>
      <c r="AA142" s="37"/>
      <c r="AD142" s="39">
        <v>1.0</v>
      </c>
      <c r="AE142" s="39"/>
      <c r="AF142" s="39"/>
      <c r="AG142" s="39"/>
    </row>
    <row r="143" ht="18.75" customHeight="1">
      <c r="A143" s="26" t="s">
        <v>58</v>
      </c>
      <c r="B143" s="22" t="s">
        <v>3532</v>
      </c>
      <c r="C143" s="39" t="s">
        <v>3522</v>
      </c>
      <c r="E143" s="39" t="s">
        <v>1507</v>
      </c>
      <c r="F143" s="39" t="s">
        <v>1775</v>
      </c>
      <c r="G143" s="39">
        <v>11.0</v>
      </c>
      <c r="H143" s="39">
        <v>14.0</v>
      </c>
      <c r="J143" s="39" t="s">
        <v>3523</v>
      </c>
      <c r="W143" s="39" t="s">
        <v>3533</v>
      </c>
      <c r="AA143" s="37"/>
      <c r="AD143" s="39">
        <v>1.0</v>
      </c>
      <c r="AE143" s="39"/>
      <c r="AF143" s="39"/>
      <c r="AG143" s="39"/>
    </row>
    <row r="144" ht="18.75" customHeight="1">
      <c r="A144" s="26" t="s">
        <v>57</v>
      </c>
      <c r="B144" s="22" t="s">
        <v>3532</v>
      </c>
      <c r="C144" s="39" t="s">
        <v>3522</v>
      </c>
      <c r="E144" s="39" t="s">
        <v>1507</v>
      </c>
      <c r="F144" s="39" t="s">
        <v>1775</v>
      </c>
      <c r="G144" s="39">
        <v>11.0</v>
      </c>
      <c r="H144" s="39">
        <v>14.0</v>
      </c>
      <c r="J144" s="39" t="s">
        <v>3523</v>
      </c>
      <c r="W144" s="39" t="s">
        <v>3534</v>
      </c>
      <c r="AA144" s="37"/>
      <c r="AD144" s="39">
        <v>1.0</v>
      </c>
      <c r="AE144" s="39"/>
      <c r="AF144" s="39"/>
      <c r="AG144" s="39"/>
    </row>
    <row r="145" ht="18.75" customHeight="1">
      <c r="A145" s="26" t="s">
        <v>54</v>
      </c>
      <c r="B145" s="22" t="s">
        <v>3535</v>
      </c>
      <c r="C145" s="39" t="s">
        <v>3522</v>
      </c>
      <c r="E145" s="39" t="s">
        <v>1507</v>
      </c>
      <c r="F145" s="39" t="s">
        <v>1766</v>
      </c>
      <c r="G145" s="39">
        <v>11.0</v>
      </c>
      <c r="H145" s="39">
        <v>14.0</v>
      </c>
      <c r="J145" s="39" t="s">
        <v>3523</v>
      </c>
      <c r="W145" s="39" t="s">
        <v>3536</v>
      </c>
      <c r="AA145" s="37"/>
      <c r="AD145" s="39">
        <v>1.0</v>
      </c>
      <c r="AE145" s="39"/>
      <c r="AF145" s="39"/>
      <c r="AG145" s="39"/>
    </row>
    <row r="146" ht="18.75" customHeight="1">
      <c r="A146" s="26" t="s">
        <v>58</v>
      </c>
      <c r="B146" s="22" t="s">
        <v>3535</v>
      </c>
      <c r="C146" s="39" t="s">
        <v>3522</v>
      </c>
      <c r="E146" s="39" t="s">
        <v>1507</v>
      </c>
      <c r="F146" s="39" t="s">
        <v>1766</v>
      </c>
      <c r="G146" s="39">
        <v>11.0</v>
      </c>
      <c r="H146" s="39">
        <v>14.0</v>
      </c>
      <c r="J146" s="39" t="s">
        <v>3523</v>
      </c>
      <c r="W146" s="39" t="s">
        <v>3537</v>
      </c>
      <c r="AA146" s="37"/>
      <c r="AD146" s="39">
        <v>1.0</v>
      </c>
      <c r="AE146" s="39"/>
      <c r="AF146" s="39"/>
      <c r="AG146" s="39"/>
    </row>
    <row r="147" ht="18.75" customHeight="1">
      <c r="A147" s="26" t="s">
        <v>57</v>
      </c>
      <c r="B147" s="22" t="s">
        <v>3535</v>
      </c>
      <c r="C147" s="39" t="s">
        <v>3522</v>
      </c>
      <c r="E147" s="39" t="s">
        <v>1507</v>
      </c>
      <c r="F147" s="39" t="s">
        <v>1766</v>
      </c>
      <c r="G147" s="39">
        <v>11.0</v>
      </c>
      <c r="H147" s="39">
        <v>14.0</v>
      </c>
      <c r="J147" s="39" t="s">
        <v>3523</v>
      </c>
      <c r="W147" s="39" t="s">
        <v>3538</v>
      </c>
      <c r="AA147" s="37"/>
      <c r="AD147" s="39">
        <v>1.0</v>
      </c>
      <c r="AE147" s="39"/>
      <c r="AF147" s="39"/>
      <c r="AG147" s="39"/>
    </row>
    <row r="148" ht="18.75" customHeight="1">
      <c r="A148" s="26" t="s">
        <v>63</v>
      </c>
      <c r="B148" s="22" t="s">
        <v>3539</v>
      </c>
      <c r="C148" s="39" t="s">
        <v>3522</v>
      </c>
      <c r="E148" s="39" t="s">
        <v>1504</v>
      </c>
      <c r="F148" s="39" t="s">
        <v>1778</v>
      </c>
      <c r="G148" s="39">
        <v>11.0</v>
      </c>
      <c r="H148" s="39">
        <v>14.0</v>
      </c>
      <c r="J148" s="39" t="s">
        <v>3523</v>
      </c>
      <c r="W148" s="39" t="s">
        <v>3540</v>
      </c>
      <c r="AA148" s="37"/>
      <c r="AD148" s="39">
        <v>1.0</v>
      </c>
      <c r="AE148" s="39">
        <v>0.0</v>
      </c>
      <c r="AF148" s="39">
        <v>45.0</v>
      </c>
      <c r="AG148" s="39" t="s">
        <v>3318</v>
      </c>
    </row>
    <row r="149" ht="18.75" customHeight="1">
      <c r="A149" s="26" t="s">
        <v>59</v>
      </c>
      <c r="B149" s="22" t="s">
        <v>3539</v>
      </c>
      <c r="C149" s="39" t="s">
        <v>3522</v>
      </c>
      <c r="E149" s="39" t="s">
        <v>1504</v>
      </c>
      <c r="F149" s="39" t="s">
        <v>1778</v>
      </c>
      <c r="G149" s="39">
        <v>11.0</v>
      </c>
      <c r="H149" s="39">
        <v>14.0</v>
      </c>
      <c r="J149" s="39" t="s">
        <v>3523</v>
      </c>
      <c r="W149" s="39" t="s">
        <v>3541</v>
      </c>
      <c r="AA149" s="37"/>
      <c r="AD149" s="39">
        <v>1.0</v>
      </c>
      <c r="AE149" s="39">
        <v>0.0</v>
      </c>
      <c r="AF149" s="39">
        <v>45.0</v>
      </c>
      <c r="AG149" s="39" t="s">
        <v>3318</v>
      </c>
    </row>
    <row r="150" ht="18.75" customHeight="1">
      <c r="A150" s="26" t="s">
        <v>56</v>
      </c>
      <c r="B150" s="22" t="s">
        <v>3539</v>
      </c>
      <c r="C150" s="39" t="s">
        <v>3522</v>
      </c>
      <c r="E150" s="39" t="s">
        <v>1504</v>
      </c>
      <c r="F150" s="39" t="s">
        <v>1778</v>
      </c>
      <c r="G150" s="39">
        <v>11.0</v>
      </c>
      <c r="H150" s="39">
        <v>14.0</v>
      </c>
      <c r="J150" s="39" t="s">
        <v>3523</v>
      </c>
      <c r="W150" s="39" t="s">
        <v>3542</v>
      </c>
      <c r="AA150" s="37"/>
      <c r="AD150" s="39">
        <v>1.0</v>
      </c>
      <c r="AE150" s="39">
        <v>0.0</v>
      </c>
      <c r="AF150" s="39">
        <v>45.0</v>
      </c>
      <c r="AG150" s="39" t="s">
        <v>3318</v>
      </c>
    </row>
    <row r="151" ht="18.75" customHeight="1">
      <c r="A151" s="26" t="s">
        <v>59</v>
      </c>
      <c r="B151" s="22" t="s">
        <v>3543</v>
      </c>
      <c r="C151" s="39" t="s">
        <v>3522</v>
      </c>
      <c r="E151" s="39" t="s">
        <v>1504</v>
      </c>
      <c r="F151" s="39" t="s">
        <v>1781</v>
      </c>
      <c r="G151" s="39">
        <v>11.0</v>
      </c>
      <c r="H151" s="39">
        <v>14.0</v>
      </c>
      <c r="J151" s="39" t="s">
        <v>3523</v>
      </c>
      <c r="W151" s="39" t="s">
        <v>3544</v>
      </c>
      <c r="AA151" s="37"/>
      <c r="AD151" s="39">
        <v>1.0</v>
      </c>
      <c r="AE151" s="39">
        <v>0.0</v>
      </c>
      <c r="AF151" s="39">
        <v>45.0</v>
      </c>
      <c r="AG151" s="39" t="s">
        <v>3318</v>
      </c>
    </row>
    <row r="152" ht="18.75" customHeight="1">
      <c r="A152" s="26" t="s">
        <v>60</v>
      </c>
      <c r="B152" s="22" t="s">
        <v>3543</v>
      </c>
      <c r="C152" s="39" t="s">
        <v>3522</v>
      </c>
      <c r="E152" s="39" t="s">
        <v>1504</v>
      </c>
      <c r="F152" s="39" t="s">
        <v>1781</v>
      </c>
      <c r="G152" s="39">
        <v>11.0</v>
      </c>
      <c r="H152" s="39">
        <v>14.0</v>
      </c>
      <c r="J152" s="39" t="s">
        <v>3523</v>
      </c>
      <c r="W152" s="39" t="s">
        <v>3545</v>
      </c>
      <c r="AA152" s="37"/>
      <c r="AD152" s="39">
        <v>1.0</v>
      </c>
      <c r="AE152" s="39">
        <v>0.0</v>
      </c>
      <c r="AF152" s="39">
        <v>45.0</v>
      </c>
      <c r="AG152" s="39" t="s">
        <v>3318</v>
      </c>
    </row>
    <row r="153" ht="18.75" customHeight="1">
      <c r="A153" s="26" t="s">
        <v>61</v>
      </c>
      <c r="B153" s="22" t="s">
        <v>3543</v>
      </c>
      <c r="C153" s="39" t="s">
        <v>3522</v>
      </c>
      <c r="E153" s="39" t="s">
        <v>1504</v>
      </c>
      <c r="F153" s="39" t="s">
        <v>1781</v>
      </c>
      <c r="G153" s="39">
        <v>11.0</v>
      </c>
      <c r="H153" s="39">
        <v>14.0</v>
      </c>
      <c r="J153" s="39" t="s">
        <v>3523</v>
      </c>
      <c r="W153" s="39" t="s">
        <v>3546</v>
      </c>
      <c r="AA153" s="37"/>
      <c r="AD153" s="39">
        <v>1.0</v>
      </c>
      <c r="AE153" s="39">
        <v>0.0</v>
      </c>
      <c r="AF153" s="39">
        <v>45.0</v>
      </c>
      <c r="AG153" s="39" t="s">
        <v>3318</v>
      </c>
    </row>
    <row r="154" ht="18.75" customHeight="1">
      <c r="A154" s="26" t="s">
        <v>59</v>
      </c>
      <c r="B154" s="22" t="s">
        <v>3547</v>
      </c>
      <c r="C154" s="39" t="s">
        <v>3522</v>
      </c>
      <c r="E154" s="39" t="s">
        <v>1516</v>
      </c>
      <c r="F154" s="39" t="s">
        <v>1781</v>
      </c>
      <c r="G154" s="39">
        <v>13.0</v>
      </c>
      <c r="H154" s="39">
        <v>16.0</v>
      </c>
      <c r="J154" s="39" t="s">
        <v>3548</v>
      </c>
      <c r="W154" s="39" t="s">
        <v>3549</v>
      </c>
      <c r="AA154" s="37"/>
      <c r="AD154" s="39">
        <v>1.0</v>
      </c>
      <c r="AE154" s="39">
        <v>0.0</v>
      </c>
      <c r="AF154" s="39">
        <v>45.0</v>
      </c>
      <c r="AG154" s="39" t="s">
        <v>3318</v>
      </c>
    </row>
    <row r="155" ht="18.75" customHeight="1">
      <c r="A155" s="26" t="s">
        <v>60</v>
      </c>
      <c r="B155" s="22" t="s">
        <v>3547</v>
      </c>
      <c r="C155" s="39" t="s">
        <v>3522</v>
      </c>
      <c r="E155" s="39" t="s">
        <v>1516</v>
      </c>
      <c r="F155" s="39" t="s">
        <v>1781</v>
      </c>
      <c r="G155" s="39">
        <v>13.0</v>
      </c>
      <c r="H155" s="39">
        <v>16.0</v>
      </c>
      <c r="J155" s="39" t="s">
        <v>3548</v>
      </c>
      <c r="W155" s="39" t="s">
        <v>3550</v>
      </c>
      <c r="AA155" s="37"/>
      <c r="AD155" s="39">
        <v>1.0</v>
      </c>
      <c r="AE155" s="39">
        <v>0.0</v>
      </c>
      <c r="AF155" s="39">
        <v>45.0</v>
      </c>
      <c r="AG155" s="39" t="s">
        <v>3318</v>
      </c>
    </row>
    <row r="156" ht="18.75" customHeight="1">
      <c r="A156" s="26" t="s">
        <v>63</v>
      </c>
      <c r="B156" s="22" t="s">
        <v>3547</v>
      </c>
      <c r="C156" s="39" t="s">
        <v>3522</v>
      </c>
      <c r="E156" s="39" t="s">
        <v>1516</v>
      </c>
      <c r="F156" s="39" t="s">
        <v>1781</v>
      </c>
      <c r="G156" s="39">
        <v>13.0</v>
      </c>
      <c r="H156" s="39">
        <v>16.0</v>
      </c>
      <c r="J156" s="39" t="s">
        <v>3548</v>
      </c>
      <c r="W156" s="39" t="s">
        <v>3551</v>
      </c>
      <c r="AA156" s="37"/>
      <c r="AD156" s="39">
        <v>1.0</v>
      </c>
      <c r="AE156" s="39">
        <v>0.0</v>
      </c>
      <c r="AF156" s="39">
        <v>45.0</v>
      </c>
      <c r="AG156" s="39" t="s">
        <v>3318</v>
      </c>
    </row>
    <row r="157" ht="18.75" customHeight="1">
      <c r="A157" s="26" t="s">
        <v>3224</v>
      </c>
      <c r="B157" s="22" t="s">
        <v>3552</v>
      </c>
      <c r="C157" s="39" t="s">
        <v>3522</v>
      </c>
      <c r="E157" s="39" t="s">
        <v>1516</v>
      </c>
      <c r="F157" s="39" t="s">
        <v>1788</v>
      </c>
      <c r="G157" s="39">
        <v>13.0</v>
      </c>
      <c r="H157" s="39">
        <v>16.0</v>
      </c>
      <c r="J157" s="39" t="s">
        <v>3548</v>
      </c>
      <c r="W157" s="39" t="s">
        <v>3553</v>
      </c>
      <c r="AA157" s="37"/>
      <c r="AD157" s="39">
        <v>1.0</v>
      </c>
      <c r="AE157" s="39">
        <v>0.0</v>
      </c>
      <c r="AF157" s="39">
        <v>45.0</v>
      </c>
      <c r="AG157" s="39" t="s">
        <v>3318</v>
      </c>
    </row>
    <row r="158" ht="18.75" customHeight="1">
      <c r="A158" s="26" t="s">
        <v>63</v>
      </c>
      <c r="B158" s="22" t="s">
        <v>3552</v>
      </c>
      <c r="C158" s="39" t="s">
        <v>3522</v>
      </c>
      <c r="E158" s="39" t="s">
        <v>1516</v>
      </c>
      <c r="F158" s="39" t="s">
        <v>1788</v>
      </c>
      <c r="G158" s="39">
        <v>13.0</v>
      </c>
      <c r="H158" s="39">
        <v>16.0</v>
      </c>
      <c r="J158" s="39" t="s">
        <v>3548</v>
      </c>
      <c r="W158" s="39" t="s">
        <v>3554</v>
      </c>
      <c r="AA158" s="37"/>
      <c r="AD158" s="39">
        <v>1.0</v>
      </c>
      <c r="AE158" s="39">
        <v>0.0</v>
      </c>
      <c r="AF158" s="39">
        <v>45.0</v>
      </c>
      <c r="AG158" s="39" t="s">
        <v>3318</v>
      </c>
    </row>
    <row r="159" ht="18.75" customHeight="1">
      <c r="A159" s="26" t="s">
        <v>63</v>
      </c>
      <c r="B159" s="22" t="s">
        <v>3555</v>
      </c>
      <c r="C159" s="39" t="s">
        <v>3522</v>
      </c>
      <c r="E159" s="39" t="s">
        <v>1516</v>
      </c>
      <c r="F159" s="39" t="s">
        <v>1778</v>
      </c>
      <c r="G159" s="39">
        <v>13.0</v>
      </c>
      <c r="H159" s="39">
        <v>16.0</v>
      </c>
      <c r="J159" s="39" t="s">
        <v>3548</v>
      </c>
      <c r="W159" s="39" t="s">
        <v>3556</v>
      </c>
      <c r="AA159" s="37"/>
      <c r="AD159" s="39">
        <v>1.0</v>
      </c>
      <c r="AE159" s="39">
        <v>0.0</v>
      </c>
      <c r="AF159" s="39">
        <v>45.0</v>
      </c>
      <c r="AG159" s="39" t="s">
        <v>3318</v>
      </c>
    </row>
    <row r="160" ht="18.75" customHeight="1">
      <c r="A160" s="26" t="s">
        <v>56</v>
      </c>
      <c r="B160" s="22" t="s">
        <v>3557</v>
      </c>
      <c r="C160" s="39" t="s">
        <v>3522</v>
      </c>
      <c r="E160" s="39" t="s">
        <v>1494</v>
      </c>
      <c r="F160" s="39" t="s">
        <v>1775</v>
      </c>
      <c r="G160" s="39">
        <v>13.0</v>
      </c>
      <c r="H160" s="39">
        <v>16.0</v>
      </c>
      <c r="J160" s="39" t="s">
        <v>3548</v>
      </c>
      <c r="W160" s="39" t="s">
        <v>3558</v>
      </c>
      <c r="AA160" s="37"/>
      <c r="AD160" s="39">
        <v>1.0</v>
      </c>
      <c r="AE160" s="39"/>
      <c r="AF160" s="39"/>
      <c r="AG160" s="39"/>
    </row>
    <row r="161" ht="18.75" customHeight="1">
      <c r="A161" s="26" t="s">
        <v>58</v>
      </c>
      <c r="B161" s="22" t="s">
        <v>3557</v>
      </c>
      <c r="C161" s="39" t="s">
        <v>3522</v>
      </c>
      <c r="E161" s="39" t="s">
        <v>1494</v>
      </c>
      <c r="F161" s="39" t="s">
        <v>1775</v>
      </c>
      <c r="G161" s="39">
        <v>13.0</v>
      </c>
      <c r="H161" s="39">
        <v>16.0</v>
      </c>
      <c r="J161" s="39" t="s">
        <v>3548</v>
      </c>
      <c r="W161" s="39" t="s">
        <v>3559</v>
      </c>
      <c r="AA161" s="37"/>
      <c r="AD161" s="39">
        <v>1.0</v>
      </c>
      <c r="AE161" s="39"/>
      <c r="AF161" s="39"/>
      <c r="AG161" s="39"/>
    </row>
    <row r="162" ht="18.75" customHeight="1">
      <c r="A162" s="26" t="s">
        <v>56</v>
      </c>
      <c r="B162" s="22" t="s">
        <v>3560</v>
      </c>
      <c r="C162" s="39" t="s">
        <v>3522</v>
      </c>
      <c r="E162" s="39" t="s">
        <v>1494</v>
      </c>
      <c r="F162" s="39" t="s">
        <v>1788</v>
      </c>
      <c r="G162" s="39">
        <v>13.0</v>
      </c>
      <c r="H162" s="39">
        <v>16.0</v>
      </c>
      <c r="J162" s="39" t="s">
        <v>3548</v>
      </c>
      <c r="W162" s="39" t="s">
        <v>3561</v>
      </c>
      <c r="AA162" s="37"/>
      <c r="AD162" s="39">
        <v>1.0</v>
      </c>
      <c r="AE162" s="39"/>
      <c r="AF162" s="39"/>
      <c r="AG162" s="39"/>
    </row>
    <row r="163" ht="18.75" customHeight="1">
      <c r="A163" s="26" t="s">
        <v>58</v>
      </c>
      <c r="B163" s="22" t="s">
        <v>3560</v>
      </c>
      <c r="C163" s="39" t="s">
        <v>3522</v>
      </c>
      <c r="E163" s="39" t="s">
        <v>1494</v>
      </c>
      <c r="F163" s="39" t="s">
        <v>1788</v>
      </c>
      <c r="G163" s="39">
        <v>13.0</v>
      </c>
      <c r="H163" s="39">
        <v>16.0</v>
      </c>
      <c r="J163" s="39" t="s">
        <v>3548</v>
      </c>
      <c r="W163" s="39" t="s">
        <v>3562</v>
      </c>
      <c r="AA163" s="37"/>
      <c r="AD163" s="39">
        <v>1.0</v>
      </c>
      <c r="AE163" s="39"/>
      <c r="AF163" s="39"/>
      <c r="AG163" s="39"/>
    </row>
    <row r="164" ht="18.75" customHeight="1">
      <c r="A164" s="26" t="s">
        <v>57</v>
      </c>
      <c r="B164" s="22" t="s">
        <v>3560</v>
      </c>
      <c r="C164" s="39" t="s">
        <v>3522</v>
      </c>
      <c r="E164" s="39" t="s">
        <v>1494</v>
      </c>
      <c r="F164" s="39" t="s">
        <v>1788</v>
      </c>
      <c r="G164" s="39">
        <v>13.0</v>
      </c>
      <c r="H164" s="39">
        <v>16.0</v>
      </c>
      <c r="J164" s="39" t="s">
        <v>3548</v>
      </c>
      <c r="W164" s="39" t="s">
        <v>3563</v>
      </c>
      <c r="AA164" s="37"/>
      <c r="AD164" s="39">
        <v>1.0</v>
      </c>
      <c r="AE164" s="39"/>
      <c r="AF164" s="39"/>
      <c r="AG164" s="39"/>
    </row>
    <row r="165" ht="18.75" customHeight="1">
      <c r="A165" s="26" t="s">
        <v>54</v>
      </c>
      <c r="B165" s="22" t="s">
        <v>3564</v>
      </c>
      <c r="C165" s="39" t="s">
        <v>3522</v>
      </c>
      <c r="E165" s="39" t="s">
        <v>1494</v>
      </c>
      <c r="F165" s="39" t="s">
        <v>1797</v>
      </c>
      <c r="G165" s="39">
        <v>13.0</v>
      </c>
      <c r="H165" s="39">
        <v>16.0</v>
      </c>
      <c r="J165" s="39" t="s">
        <v>3548</v>
      </c>
      <c r="W165" s="39" t="s">
        <v>3565</v>
      </c>
      <c r="AA165" s="37"/>
      <c r="AD165" s="39">
        <v>1.0</v>
      </c>
      <c r="AE165" s="39">
        <v>5.0</v>
      </c>
      <c r="AF165" s="39">
        <v>50.0</v>
      </c>
      <c r="AG165" s="39" t="s">
        <v>3466</v>
      </c>
    </row>
    <row r="166" ht="18.75" customHeight="1">
      <c r="A166" s="26" t="s">
        <v>3224</v>
      </c>
      <c r="B166" s="22" t="s">
        <v>3564</v>
      </c>
      <c r="C166" s="39" t="s">
        <v>3522</v>
      </c>
      <c r="E166" s="39" t="s">
        <v>1494</v>
      </c>
      <c r="F166" s="39" t="s">
        <v>1797</v>
      </c>
      <c r="G166" s="39">
        <v>13.0</v>
      </c>
      <c r="H166" s="39">
        <v>16.0</v>
      </c>
      <c r="J166" s="39" t="s">
        <v>3548</v>
      </c>
      <c r="W166" s="39" t="s">
        <v>3566</v>
      </c>
      <c r="AA166" s="37"/>
      <c r="AD166" s="39">
        <v>1.0</v>
      </c>
      <c r="AE166" s="39">
        <v>5.0</v>
      </c>
      <c r="AF166" s="39">
        <v>50.0</v>
      </c>
      <c r="AG166" s="39" t="s">
        <v>3466</v>
      </c>
    </row>
    <row r="167" ht="18.75" customHeight="1">
      <c r="A167" s="26" t="s">
        <v>56</v>
      </c>
      <c r="B167" s="22" t="s">
        <v>3567</v>
      </c>
      <c r="C167" s="39" t="s">
        <v>3522</v>
      </c>
      <c r="E167" s="39" t="s">
        <v>1528</v>
      </c>
      <c r="F167" s="39" t="s">
        <v>1788</v>
      </c>
      <c r="G167" s="39">
        <v>11.0</v>
      </c>
      <c r="H167" s="39">
        <v>14.0</v>
      </c>
      <c r="J167" s="39" t="s">
        <v>3523</v>
      </c>
      <c r="W167" s="39" t="s">
        <v>3568</v>
      </c>
      <c r="AA167" s="37"/>
      <c r="AD167" s="39">
        <v>1.0</v>
      </c>
      <c r="AE167" s="39"/>
      <c r="AF167" s="39"/>
      <c r="AG167" s="39"/>
    </row>
    <row r="168" ht="18.75" customHeight="1">
      <c r="A168" s="26" t="s">
        <v>3224</v>
      </c>
      <c r="B168" s="22" t="s">
        <v>3567</v>
      </c>
      <c r="C168" s="39" t="s">
        <v>3522</v>
      </c>
      <c r="E168" s="39" t="s">
        <v>1528</v>
      </c>
      <c r="F168" s="39" t="s">
        <v>1788</v>
      </c>
      <c r="G168" s="39">
        <v>11.0</v>
      </c>
      <c r="H168" s="39">
        <v>14.0</v>
      </c>
      <c r="J168" s="39" t="s">
        <v>3523</v>
      </c>
      <c r="W168" s="39" t="s">
        <v>3569</v>
      </c>
      <c r="AA168" s="37"/>
      <c r="AD168" s="39">
        <v>1.0</v>
      </c>
      <c r="AE168" s="39"/>
      <c r="AF168" s="39"/>
      <c r="AG168" s="39"/>
    </row>
    <row r="169" ht="18.75" customHeight="1">
      <c r="A169" s="26" t="s">
        <v>58</v>
      </c>
      <c r="B169" s="22" t="s">
        <v>3567</v>
      </c>
      <c r="C169" s="39" t="s">
        <v>3522</v>
      </c>
      <c r="E169" s="39" t="s">
        <v>1528</v>
      </c>
      <c r="F169" s="39" t="s">
        <v>1788</v>
      </c>
      <c r="G169" s="39">
        <v>11.0</v>
      </c>
      <c r="H169" s="39">
        <v>14.0</v>
      </c>
      <c r="J169" s="39" t="s">
        <v>3523</v>
      </c>
      <c r="W169" s="39" t="s">
        <v>3570</v>
      </c>
      <c r="AA169" s="37"/>
      <c r="AD169" s="39">
        <v>1.0</v>
      </c>
      <c r="AE169" s="39"/>
      <c r="AF169" s="39"/>
      <c r="AG169" s="39"/>
    </row>
    <row r="170" ht="18.75" customHeight="1">
      <c r="A170" s="26" t="s">
        <v>56</v>
      </c>
      <c r="B170" s="22" t="s">
        <v>3571</v>
      </c>
      <c r="C170" s="39" t="s">
        <v>3522</v>
      </c>
      <c r="E170" s="39" t="s">
        <v>1528</v>
      </c>
      <c r="F170" s="39" t="s">
        <v>1778</v>
      </c>
      <c r="G170" s="39">
        <v>11.0</v>
      </c>
      <c r="H170" s="39">
        <v>14.0</v>
      </c>
      <c r="J170" s="39" t="s">
        <v>3523</v>
      </c>
      <c r="W170" s="39" t="s">
        <v>3572</v>
      </c>
      <c r="AA170" s="37"/>
      <c r="AD170" s="39">
        <v>1.0</v>
      </c>
      <c r="AE170" s="39"/>
      <c r="AF170" s="39"/>
      <c r="AG170" s="39"/>
    </row>
    <row r="171" ht="18.75" customHeight="1">
      <c r="A171" s="26" t="s">
        <v>63</v>
      </c>
      <c r="B171" s="22" t="s">
        <v>3571</v>
      </c>
      <c r="C171" s="39" t="s">
        <v>3522</v>
      </c>
      <c r="E171" s="39" t="s">
        <v>1528</v>
      </c>
      <c r="F171" s="39" t="s">
        <v>1778</v>
      </c>
      <c r="G171" s="39">
        <v>11.0</v>
      </c>
      <c r="H171" s="39">
        <v>14.0</v>
      </c>
      <c r="J171" s="39" t="s">
        <v>3523</v>
      </c>
      <c r="W171" s="39" t="s">
        <v>3573</v>
      </c>
      <c r="AA171" s="37"/>
      <c r="AD171" s="39">
        <v>1.0</v>
      </c>
      <c r="AE171" s="39"/>
      <c r="AF171" s="39"/>
      <c r="AG171" s="39"/>
    </row>
    <row r="172" ht="18.75" customHeight="1">
      <c r="A172" s="26" t="s">
        <v>3224</v>
      </c>
      <c r="B172" s="22" t="s">
        <v>3574</v>
      </c>
      <c r="C172" s="39" t="s">
        <v>3522</v>
      </c>
      <c r="E172" s="39" t="s">
        <v>1528</v>
      </c>
      <c r="F172" s="39" t="s">
        <v>1760</v>
      </c>
      <c r="G172" s="39">
        <v>11.0</v>
      </c>
      <c r="H172" s="39">
        <v>14.0</v>
      </c>
      <c r="J172" s="39" t="s">
        <v>3523</v>
      </c>
      <c r="W172" s="39" t="s">
        <v>3575</v>
      </c>
      <c r="AA172" s="37"/>
      <c r="AD172" s="39">
        <v>1.0</v>
      </c>
      <c r="AE172" s="39">
        <v>15.0</v>
      </c>
      <c r="AF172" s="39">
        <v>60.0</v>
      </c>
      <c r="AG172" s="39" t="s">
        <v>3466</v>
      </c>
    </row>
    <row r="173" ht="18.75" customHeight="1">
      <c r="A173" s="26" t="s">
        <v>67</v>
      </c>
      <c r="B173" s="22" t="s">
        <v>3574</v>
      </c>
      <c r="C173" s="39" t="s">
        <v>3522</v>
      </c>
      <c r="E173" s="39" t="s">
        <v>1528</v>
      </c>
      <c r="F173" s="39" t="s">
        <v>1760</v>
      </c>
      <c r="G173" s="39">
        <v>11.0</v>
      </c>
      <c r="H173" s="39">
        <v>14.0</v>
      </c>
      <c r="J173" s="39" t="s">
        <v>3523</v>
      </c>
      <c r="W173" s="39" t="s">
        <v>3576</v>
      </c>
      <c r="AA173" s="37"/>
      <c r="AD173" s="39">
        <v>1.0</v>
      </c>
      <c r="AE173" s="39">
        <v>15.0</v>
      </c>
      <c r="AF173" s="39">
        <v>60.0</v>
      </c>
      <c r="AG173" s="39" t="s">
        <v>3466</v>
      </c>
    </row>
    <row r="174" ht="18.75" customHeight="1">
      <c r="A174" s="26" t="s">
        <v>56</v>
      </c>
      <c r="B174" s="22" t="s">
        <v>3577</v>
      </c>
      <c r="C174" s="39" t="s">
        <v>3522</v>
      </c>
      <c r="E174" s="39" t="s">
        <v>1573</v>
      </c>
      <c r="F174" s="39" t="s">
        <v>1760</v>
      </c>
      <c r="G174" s="39">
        <v>11.0</v>
      </c>
      <c r="H174" s="39">
        <v>14.0</v>
      </c>
      <c r="J174" s="39" t="s">
        <v>3523</v>
      </c>
      <c r="W174" s="39" t="s">
        <v>3578</v>
      </c>
      <c r="AA174" s="37"/>
      <c r="AD174" s="39">
        <v>1.0</v>
      </c>
      <c r="AE174" s="39">
        <v>15.0</v>
      </c>
      <c r="AF174" s="39">
        <v>60.0</v>
      </c>
      <c r="AG174" s="39" t="s">
        <v>3466</v>
      </c>
    </row>
    <row r="175" ht="18.75" customHeight="1">
      <c r="A175" s="26" t="s">
        <v>3224</v>
      </c>
      <c r="B175" s="22" t="s">
        <v>3577</v>
      </c>
      <c r="C175" s="39" t="s">
        <v>3522</v>
      </c>
      <c r="E175" s="39" t="s">
        <v>1573</v>
      </c>
      <c r="F175" s="39" t="s">
        <v>1760</v>
      </c>
      <c r="G175" s="39">
        <v>11.0</v>
      </c>
      <c r="H175" s="39">
        <v>14.0</v>
      </c>
      <c r="J175" s="39" t="s">
        <v>3523</v>
      </c>
      <c r="W175" s="39" t="s">
        <v>3579</v>
      </c>
      <c r="AA175" s="37"/>
      <c r="AD175" s="39">
        <v>1.0</v>
      </c>
      <c r="AE175" s="39">
        <v>15.0</v>
      </c>
      <c r="AF175" s="39">
        <v>60.0</v>
      </c>
      <c r="AG175" s="39" t="s">
        <v>3466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3312</v>
      </c>
      <c r="S178" s="37" t="str">
        <f t="shared" ref="S178:S197" si="2">IFERROR(VLOOKUP(B178,$U:$V,2,FALSE),"")</f>
        <v>鳥系生物の巣</v>
      </c>
      <c r="W178" s="39" t="s">
        <v>3580</v>
      </c>
      <c r="X178" s="39" t="s">
        <v>3315</v>
      </c>
      <c r="Y178" s="39">
        <v>1.0</v>
      </c>
      <c r="AA178" s="39" t="s">
        <v>3442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3581</v>
      </c>
      <c r="X179" s="39" t="s">
        <v>3315</v>
      </c>
      <c r="Y179" s="39">
        <v>7.0</v>
      </c>
      <c r="AA179" s="39" t="s">
        <v>3442</v>
      </c>
      <c r="AB179" s="39">
        <v>1.0</v>
      </c>
      <c r="AC179" s="39">
        <v>1.0</v>
      </c>
      <c r="AD179" s="39">
        <v>3.0</v>
      </c>
      <c r="AE179" s="39">
        <v>0.0</v>
      </c>
      <c r="AF179" s="39">
        <v>45.0</v>
      </c>
      <c r="AG179" s="39" t="s">
        <v>3318</v>
      </c>
    </row>
    <row r="180" ht="18.75" customHeight="1">
      <c r="A180" s="1" t="s">
        <v>54</v>
      </c>
      <c r="B180" s="11" t="s">
        <v>3326</v>
      </c>
      <c r="C180" s="37" t="str">
        <f>LET(
 _xlpm.dOK,COUNTIF('クラス'!A:A,E180)&gt;0,
 _xlpm.eOK,COUNTIF('クラス'!A:A,F180)&gt;0,
 IF(_xlpm.dOK,"○","×") &amp; IF(_xlpm.eOK,"○","×")
)</f>
        <v>○○</v>
      </c>
      <c r="D180" s="37" t="b">
        <v>1</v>
      </c>
      <c r="E180" s="37" t="s">
        <v>1494</v>
      </c>
      <c r="F180" s="37" t="s">
        <v>1507</v>
      </c>
      <c r="G180" s="39">
        <v>1.0</v>
      </c>
      <c r="H180" s="39">
        <v>10.0</v>
      </c>
      <c r="R180" s="37" t="s">
        <v>3326</v>
      </c>
      <c r="S180" s="37" t="str">
        <f t="shared" si="2"/>
        <v>肉食生物の巣</v>
      </c>
      <c r="W180" s="39" t="s">
        <v>3582</v>
      </c>
      <c r="X180" s="39" t="s">
        <v>3328</v>
      </c>
      <c r="Y180" s="39">
        <v>1.0</v>
      </c>
      <c r="AA180" s="39" t="s">
        <v>3442</v>
      </c>
      <c r="AB180" s="39">
        <v>1.0</v>
      </c>
      <c r="AC180" s="39">
        <v>1.0</v>
      </c>
      <c r="AD180" s="39">
        <v>3.0</v>
      </c>
      <c r="AE180" s="39"/>
      <c r="AF180" s="39"/>
      <c r="AG180" s="39"/>
    </row>
    <row r="181" ht="18.75" customHeight="1">
      <c r="A181" s="1" t="s">
        <v>54</v>
      </c>
      <c r="B181" s="11" t="s">
        <v>3329</v>
      </c>
      <c r="C181" s="37" t="str">
        <f>LET(
 _xlpm.dOK,COUNTIF('クラス'!A:A,E181)&gt;0,
 _xlpm.eOK,COUNTIF('クラス'!A:A,F181)&gt;0,
 IF(_xlpm.dOK,"○","×") &amp; IF(_xlpm.eOK,"○","×")
)</f>
        <v>○○</v>
      </c>
      <c r="E181" s="37" t="s">
        <v>1501</v>
      </c>
      <c r="F181" s="37" t="s">
        <v>1344</v>
      </c>
      <c r="G181" s="39">
        <v>1.0</v>
      </c>
      <c r="H181" s="39">
        <v>10.0</v>
      </c>
      <c r="R181" s="37" t="s">
        <v>3329</v>
      </c>
      <c r="S181" s="37" t="str">
        <f t="shared" si="2"/>
        <v>肉食生物の巣</v>
      </c>
      <c r="W181" s="39" t="s">
        <v>3583</v>
      </c>
      <c r="X181" s="39" t="s">
        <v>3328</v>
      </c>
      <c r="Y181" s="39">
        <v>6.0</v>
      </c>
      <c r="AA181" s="39" t="s">
        <v>3442</v>
      </c>
      <c r="AB181" s="39">
        <v>1.0</v>
      </c>
      <c r="AC181" s="39">
        <v>1.0</v>
      </c>
      <c r="AD181" s="39">
        <v>3.0</v>
      </c>
      <c r="AE181" s="39"/>
      <c r="AF181" s="39"/>
      <c r="AG181" s="39"/>
    </row>
    <row r="182" ht="18.75" customHeight="1">
      <c r="A182" s="1" t="s">
        <v>3224</v>
      </c>
      <c r="B182" s="11" t="s">
        <v>1501</v>
      </c>
      <c r="C182" s="37" t="str">
        <f>LET(
 _xlpm.dOK,COUNTIF('クラス'!A:A,E182)&gt;0,
 _xlpm.eOK,COUNTIF('クラス'!A:A,F182)&gt;0,
 IF(_xlpm.dOK,"○","×") &amp; IF(_xlpm.eOK,"○","×")
)</f>
        <v>○×</v>
      </c>
      <c r="D182" s="37" t="b">
        <v>1</v>
      </c>
      <c r="E182" s="37" t="s">
        <v>1501</v>
      </c>
      <c r="G182" s="39">
        <v>3.0</v>
      </c>
      <c r="H182" s="39">
        <v>7.0</v>
      </c>
      <c r="R182" s="37" t="s">
        <v>3333</v>
      </c>
      <c r="S182" s="37" t="str">
        <f t="shared" si="2"/>
        <v>肉食生物の巣</v>
      </c>
      <c r="W182" s="39" t="s">
        <v>3584</v>
      </c>
      <c r="X182" s="39" t="s">
        <v>3335</v>
      </c>
      <c r="Y182" s="39">
        <v>3.0</v>
      </c>
      <c r="AA182" s="39" t="s">
        <v>3442</v>
      </c>
      <c r="AB182" s="39">
        <v>1.0</v>
      </c>
      <c r="AC182" s="39">
        <v>1.0</v>
      </c>
      <c r="AD182" s="39">
        <v>3.0</v>
      </c>
      <c r="AE182" s="39"/>
      <c r="AF182" s="39"/>
      <c r="AG182" s="39"/>
    </row>
    <row r="183" ht="18.75" customHeight="1">
      <c r="A183" s="1" t="s">
        <v>3224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3585</v>
      </c>
      <c r="X183" s="39" t="s">
        <v>3315</v>
      </c>
      <c r="Y183" s="39">
        <v>7.0</v>
      </c>
      <c r="AA183" s="39" t="s">
        <v>3442</v>
      </c>
      <c r="AB183" s="39">
        <v>1.0</v>
      </c>
      <c r="AC183" s="39">
        <v>1.0</v>
      </c>
      <c r="AD183" s="39">
        <v>3.0</v>
      </c>
      <c r="AE183" s="39">
        <v>0.0</v>
      </c>
      <c r="AF183" s="39">
        <v>45.0</v>
      </c>
      <c r="AG183" s="39" t="s">
        <v>3318</v>
      </c>
    </row>
    <row r="184" ht="18.75" customHeight="1">
      <c r="A184" s="1" t="s">
        <v>3224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3586</v>
      </c>
      <c r="X184" s="39" t="s">
        <v>3338</v>
      </c>
      <c r="Y184" s="39">
        <v>1.0</v>
      </c>
      <c r="AA184" s="39" t="s">
        <v>3442</v>
      </c>
      <c r="AB184" s="39">
        <v>1.0</v>
      </c>
      <c r="AC184" s="39">
        <v>1.0</v>
      </c>
      <c r="AD184" s="39">
        <v>3.0</v>
      </c>
      <c r="AE184" s="39">
        <v>0.0</v>
      </c>
      <c r="AF184" s="39">
        <v>45.0</v>
      </c>
      <c r="AG184" s="39" t="s">
        <v>3318</v>
      </c>
    </row>
    <row r="185" ht="18.75" customHeight="1">
      <c r="A185" s="1" t="s">
        <v>3224</v>
      </c>
      <c r="B185" s="11" t="s">
        <v>3339</v>
      </c>
      <c r="C185" s="37" t="str">
        <f>LET(
 _xlpm.dOK,COUNTIF('クラス'!A:A,E185)&gt;0,
 _xlpm.eOK,COUNTIF('クラス'!A:A,F185)&gt;0,
 IF(_xlpm.dOK,"○","×") &amp; IF(_xlpm.eOK,"○","×")
)</f>
        <v>○×</v>
      </c>
      <c r="E185" s="37" t="s">
        <v>1504</v>
      </c>
      <c r="G185" s="39">
        <v>5.0</v>
      </c>
      <c r="H185" s="39">
        <v>10.0</v>
      </c>
      <c r="S185" s="37" t="str">
        <f t="shared" si="2"/>
        <v>地中生物の巣</v>
      </c>
      <c r="W185" s="39" t="s">
        <v>3587</v>
      </c>
      <c r="X185" s="39" t="s">
        <v>3341</v>
      </c>
      <c r="Y185" s="39">
        <v>2.0</v>
      </c>
      <c r="AA185" s="39" t="s">
        <v>3442</v>
      </c>
      <c r="AB185" s="39">
        <v>1.0</v>
      </c>
      <c r="AC185" s="39">
        <v>1.0</v>
      </c>
      <c r="AD185" s="39">
        <v>3.0</v>
      </c>
      <c r="AE185" s="39">
        <v>0.0</v>
      </c>
      <c r="AF185" s="39">
        <v>45.0</v>
      </c>
      <c r="AG185" s="39" t="s">
        <v>3318</v>
      </c>
    </row>
    <row r="186" ht="18.75" customHeight="1">
      <c r="A186" s="1" t="s">
        <v>3224</v>
      </c>
      <c r="B186" s="11" t="s">
        <v>3326</v>
      </c>
      <c r="C186" s="37" t="str">
        <f>LET(
 _xlpm.dOK,COUNTIF('クラス'!A:A,E186)&gt;0,
 _xlpm.eOK,COUNTIF('クラス'!A:A,F186)&gt;0,
 IF(_xlpm.dOK,"○","×") &amp; IF(_xlpm.eOK,"○","×")
)</f>
        <v>○○</v>
      </c>
      <c r="D186" s="37" t="b">
        <v>1</v>
      </c>
      <c r="E186" s="37" t="s">
        <v>1494</v>
      </c>
      <c r="F186" s="37" t="s">
        <v>1507</v>
      </c>
      <c r="G186" s="39">
        <v>1.0</v>
      </c>
      <c r="H186" s="39">
        <v>10.0</v>
      </c>
      <c r="R186" s="37" t="s">
        <v>3326</v>
      </c>
      <c r="S186" s="37" t="str">
        <f t="shared" si="2"/>
        <v>肉食生物の巣</v>
      </c>
      <c r="W186" s="39" t="s">
        <v>3588</v>
      </c>
      <c r="X186" s="39" t="s">
        <v>3328</v>
      </c>
      <c r="Y186" s="39">
        <v>1.0</v>
      </c>
      <c r="AA186" s="39" t="s">
        <v>3442</v>
      </c>
      <c r="AB186" s="39">
        <v>1.0</v>
      </c>
      <c r="AC186" s="39">
        <v>1.0</v>
      </c>
      <c r="AD186" s="39">
        <v>3.0</v>
      </c>
      <c r="AE186" s="39"/>
      <c r="AF186" s="39"/>
      <c r="AG186" s="39"/>
    </row>
    <row r="187" ht="18.75" customHeight="1">
      <c r="A187" s="1" t="s">
        <v>3224</v>
      </c>
      <c r="B187" s="11" t="s">
        <v>3329</v>
      </c>
      <c r="C187" s="37" t="str">
        <f>LET(
 _xlpm.dOK,COUNTIF('クラス'!A:A,E187)&gt;0,
 _xlpm.eOK,COUNTIF('クラス'!A:A,F187)&gt;0,
 IF(_xlpm.dOK,"○","×") &amp; IF(_xlpm.eOK,"○","×")
)</f>
        <v>○○</v>
      </c>
      <c r="E187" s="37" t="s">
        <v>1501</v>
      </c>
      <c r="F187" s="37" t="s">
        <v>1344</v>
      </c>
      <c r="G187" s="39">
        <v>1.0</v>
      </c>
      <c r="H187" s="39">
        <v>10.0</v>
      </c>
      <c r="R187" s="37" t="s">
        <v>3329</v>
      </c>
      <c r="S187" s="37" t="str">
        <f t="shared" si="2"/>
        <v>肉食生物の巣</v>
      </c>
      <c r="W187" s="39" t="s">
        <v>3589</v>
      </c>
      <c r="X187" s="39" t="s">
        <v>3328</v>
      </c>
      <c r="Y187" s="39">
        <v>6.0</v>
      </c>
      <c r="AA187" s="39" t="s">
        <v>3442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3590</v>
      </c>
      <c r="X188" s="39" t="s">
        <v>3338</v>
      </c>
      <c r="Y188" s="39">
        <v>7.0</v>
      </c>
      <c r="AA188" s="39" t="s">
        <v>3442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3333</v>
      </c>
      <c r="S189" s="37" t="str">
        <f t="shared" si="2"/>
        <v>肉食生物の巣</v>
      </c>
      <c r="W189" s="39" t="s">
        <v>3591</v>
      </c>
      <c r="X189" s="39" t="s">
        <v>3335</v>
      </c>
      <c r="Y189" s="39">
        <v>3.0</v>
      </c>
      <c r="AA189" s="39" t="s">
        <v>3442</v>
      </c>
      <c r="AB189" s="39">
        <v>1.0</v>
      </c>
      <c r="AC189" s="39">
        <v>1.0</v>
      </c>
      <c r="AD189" s="39">
        <v>3.0</v>
      </c>
      <c r="AE189" s="39"/>
      <c r="AF189" s="39"/>
      <c r="AG189" s="39"/>
    </row>
    <row r="190" ht="18.75" customHeight="1">
      <c r="A190" s="1" t="s">
        <v>58</v>
      </c>
      <c r="B190" s="11" t="s">
        <v>3398</v>
      </c>
      <c r="C190" s="37" t="str">
        <f>LET(
 _xlpm.dOK,COUNTIF('クラス'!A:A,E190)&gt;0,
 _xlpm.eOK,COUNTIF('クラス'!A:A,F190)&gt;0,
 IF(_xlpm.dOK,"○","×") &amp; IF(_xlpm.eOK,"○","×")
)</f>
        <v>○○</v>
      </c>
      <c r="D190" s="37" t="b">
        <v>1</v>
      </c>
      <c r="E190" s="37" t="s">
        <v>1494</v>
      </c>
      <c r="F190" s="37" t="s">
        <v>1507</v>
      </c>
      <c r="G190" s="39">
        <v>1.0</v>
      </c>
      <c r="H190" s="39">
        <v>10.0</v>
      </c>
      <c r="R190" s="37" t="s">
        <v>3398</v>
      </c>
      <c r="S190" s="37" t="str">
        <f t="shared" si="2"/>
        <v>鳥系生物の巣</v>
      </c>
      <c r="W190" s="39" t="s">
        <v>3592</v>
      </c>
      <c r="X190" s="39" t="s">
        <v>3328</v>
      </c>
      <c r="Y190" s="39">
        <v>3.0</v>
      </c>
      <c r="AA190" s="39" t="s">
        <v>3442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3400</v>
      </c>
      <c r="R191" s="37" t="s">
        <v>1507</v>
      </c>
      <c r="S191" s="37" t="str">
        <f t="shared" si="2"/>
        <v>鳥系生物の巣</v>
      </c>
      <c r="W191" s="39" t="s">
        <v>3593</v>
      </c>
      <c r="X191" s="39" t="s">
        <v>3315</v>
      </c>
      <c r="Y191" s="39">
        <v>1.0</v>
      </c>
      <c r="AA191" s="39" t="s">
        <v>3442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3403</v>
      </c>
      <c r="S192" s="37" t="str">
        <f t="shared" si="2"/>
        <v>土の輪</v>
      </c>
      <c r="W192" s="39" t="s">
        <v>3594</v>
      </c>
      <c r="X192" s="39" t="s">
        <v>3405</v>
      </c>
      <c r="Y192" s="39">
        <v>1.0</v>
      </c>
      <c r="Z192" s="39" t="b">
        <v>1</v>
      </c>
      <c r="AA192" s="39" t="s">
        <v>3442</v>
      </c>
      <c r="AB192" s="39">
        <v>1.0</v>
      </c>
      <c r="AC192" s="39">
        <v>1.0</v>
      </c>
      <c r="AD192" s="39">
        <v>3.0</v>
      </c>
      <c r="AE192" s="39"/>
      <c r="AF192" s="39"/>
      <c r="AG192" s="39"/>
    </row>
    <row r="193" ht="18.75" customHeight="1">
      <c r="A193" s="1" t="s">
        <v>58</v>
      </c>
      <c r="B193" s="11" t="s">
        <v>3401</v>
      </c>
      <c r="C193" s="37" t="str">
        <f>LET(
 _xlpm.dOK,COUNTIF('クラス'!A:A,E193)&gt;0,
 _xlpm.eOK,COUNTIF('クラス'!A:A,F193)&gt;0,
 IF(_xlpm.dOK,"○","×") &amp; IF(_xlpm.eOK,"○","×")
)</f>
        <v>○○</v>
      </c>
      <c r="E193" s="37" t="s">
        <v>1494</v>
      </c>
      <c r="F193" s="37" t="s">
        <v>1504</v>
      </c>
      <c r="G193" s="39">
        <v>1.0</v>
      </c>
      <c r="H193" s="39">
        <v>10.0</v>
      </c>
      <c r="R193" s="37" t="s">
        <v>3401</v>
      </c>
      <c r="S193" s="37" t="str">
        <f t="shared" si="2"/>
        <v>肉食生物の巣</v>
      </c>
      <c r="W193" s="39" t="s">
        <v>3595</v>
      </c>
      <c r="X193" s="39" t="s">
        <v>3328</v>
      </c>
      <c r="Y193" s="39">
        <v>2.0</v>
      </c>
      <c r="AA193" s="39" t="s">
        <v>3442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3596</v>
      </c>
      <c r="X194" s="39" t="s">
        <v>3452</v>
      </c>
      <c r="Y194" s="39">
        <v>9.0</v>
      </c>
      <c r="Z194" s="39" t="b">
        <v>1</v>
      </c>
      <c r="AA194" s="39" t="s">
        <v>3442</v>
      </c>
      <c r="AB194" s="39">
        <v>1.0</v>
      </c>
      <c r="AC194" s="39">
        <v>1.0</v>
      </c>
      <c r="AD194" s="39">
        <v>3.0</v>
      </c>
      <c r="AE194" s="39"/>
      <c r="AF194" s="39"/>
      <c r="AG194" s="39"/>
    </row>
    <row r="195" ht="18.75" customHeight="1">
      <c r="A195" s="1" t="s">
        <v>59</v>
      </c>
      <c r="B195" s="11" t="s">
        <v>3448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3597</v>
      </c>
      <c r="X195" s="39" t="s">
        <v>3315</v>
      </c>
      <c r="Y195" s="39">
        <v>8.0</v>
      </c>
      <c r="AA195" s="39" t="s">
        <v>3442</v>
      </c>
      <c r="AB195" s="39">
        <v>1.0</v>
      </c>
      <c r="AC195" s="39">
        <v>1.0</v>
      </c>
      <c r="AD195" s="39">
        <v>3.0</v>
      </c>
      <c r="AE195" s="39">
        <v>0.0</v>
      </c>
      <c r="AF195" s="39">
        <v>45.0</v>
      </c>
      <c r="AG195" s="39" t="s">
        <v>3318</v>
      </c>
    </row>
    <row r="196" ht="18.75" customHeight="1">
      <c r="A196" s="1" t="s">
        <v>61</v>
      </c>
      <c r="B196" s="11" t="s">
        <v>3450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3598</v>
      </c>
      <c r="X196" s="39" t="s">
        <v>29</v>
      </c>
      <c r="Y196" s="39" t="s">
        <v>29</v>
      </c>
      <c r="AA196" s="39" t="s">
        <v>3442</v>
      </c>
      <c r="AB196" s="39">
        <v>1.0</v>
      </c>
      <c r="AC196" s="39">
        <v>1.0</v>
      </c>
      <c r="AD196" s="39">
        <v>3.0</v>
      </c>
      <c r="AE196" s="39">
        <v>0.0</v>
      </c>
      <c r="AF196" s="39">
        <v>45.0</v>
      </c>
      <c r="AG196" s="39" t="s">
        <v>3318</v>
      </c>
    </row>
    <row r="197" ht="18.75" customHeight="1">
      <c r="A197" s="1" t="s">
        <v>68</v>
      </c>
      <c r="B197" s="11" t="s">
        <v>3456</v>
      </c>
      <c r="C197" s="37" t="str">
        <f>LET(
 _xlpm.dOK,COUNTIF('クラス'!A:A,E197)&gt;0,
 _xlpm.eOK,COUNTIF('クラス'!A:A,F197)&gt;0,
 IF(_xlpm.dOK,"○","×") &amp; IF(_xlpm.eOK,"○","×")
)</f>
        <v>○×</v>
      </c>
      <c r="D197" s="11"/>
      <c r="E197" s="11" t="s">
        <v>1477</v>
      </c>
      <c r="G197" s="39">
        <v>1.0</v>
      </c>
      <c r="H197" s="39">
        <v>10.0</v>
      </c>
      <c r="R197" s="37" t="s">
        <v>3463</v>
      </c>
      <c r="S197" s="37" t="str">
        <f t="shared" si="2"/>
        <v>炎の輪</v>
      </c>
      <c r="W197" s="39" t="s">
        <v>3599</v>
      </c>
      <c r="X197" s="39" t="s">
        <v>3465</v>
      </c>
      <c r="Y197" s="39">
        <v>1.0</v>
      </c>
      <c r="Z197" s="39" t="b">
        <v>1</v>
      </c>
      <c r="AA197" s="39" t="s">
        <v>3442</v>
      </c>
      <c r="AB197" s="39">
        <v>1.0</v>
      </c>
      <c r="AC197" s="39">
        <v>1.0</v>
      </c>
      <c r="AD197" s="39">
        <v>3.0</v>
      </c>
      <c r="AE197" s="39">
        <v>15.0</v>
      </c>
      <c r="AF197" s="39">
        <v>60.0</v>
      </c>
      <c r="AG197" s="39" t="s">
        <v>3466</v>
      </c>
    </row>
    <row r="198" ht="18.75" customHeight="1">
      <c r="A198" s="26" t="s">
        <v>54</v>
      </c>
      <c r="B198" s="22" t="s">
        <v>1521</v>
      </c>
      <c r="C198" s="37" t="str">
        <f>IF(COUNTIF('クラス'!A:A,E198)&gt;0,"○","×")&amp;IF(COUNTIF('クラス'!A:A,F198)&gt;0,"○","×")</f>
        <v>○×</v>
      </c>
      <c r="D198" s="39" t="b">
        <v>0</v>
      </c>
      <c r="E198" s="39" t="s">
        <v>1521</v>
      </c>
      <c r="G198" s="39">
        <v>2.0</v>
      </c>
      <c r="H198" s="39">
        <v>5.0</v>
      </c>
      <c r="J198" s="39" t="s">
        <v>3478</v>
      </c>
      <c r="R198" s="39" t="s">
        <v>1521</v>
      </c>
      <c r="S198" s="39" t="s">
        <v>3479</v>
      </c>
      <c r="W198" s="39" t="s">
        <v>3600</v>
      </c>
      <c r="X198" s="39" t="s">
        <v>3481</v>
      </c>
      <c r="Y198" s="39">
        <v>7.0</v>
      </c>
      <c r="Z198" s="39" t="b">
        <v>0</v>
      </c>
      <c r="AA198" s="39" t="s">
        <v>3442</v>
      </c>
      <c r="AB198" s="39">
        <v>1.0</v>
      </c>
      <c r="AC198" s="39">
        <v>1.0</v>
      </c>
      <c r="AD198" s="39">
        <v>3.0</v>
      </c>
      <c r="AE198" s="39"/>
      <c r="AF198" s="39"/>
      <c r="AG198" s="39"/>
    </row>
    <row r="199" ht="18.75" customHeight="1">
      <c r="A199" s="26" t="s">
        <v>3224</v>
      </c>
      <c r="B199" s="22" t="s">
        <v>1521</v>
      </c>
      <c r="C199" s="37" t="str">
        <f>IF(COUNTIF('クラス'!A:A,E199)&gt;0,"○","×")&amp;IF(COUNTIF('クラス'!A:A,F199)&gt;0,"○","×")</f>
        <v>○×</v>
      </c>
      <c r="D199" s="39" t="b">
        <v>0</v>
      </c>
      <c r="E199" s="39" t="s">
        <v>1521</v>
      </c>
      <c r="G199" s="39">
        <v>2.0</v>
      </c>
      <c r="H199" s="39">
        <v>5.0</v>
      </c>
      <c r="J199" s="39" t="s">
        <v>3478</v>
      </c>
      <c r="R199" s="39" t="s">
        <v>1521</v>
      </c>
      <c r="S199" s="39" t="s">
        <v>3479</v>
      </c>
      <c r="W199" s="39" t="s">
        <v>3601</v>
      </c>
      <c r="X199" s="39" t="s">
        <v>3481</v>
      </c>
      <c r="Y199" s="39">
        <v>7.0</v>
      </c>
      <c r="Z199" s="39" t="b">
        <v>0</v>
      </c>
      <c r="AA199" s="39" t="s">
        <v>3442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3478</v>
      </c>
      <c r="R200" s="39" t="s">
        <v>1528</v>
      </c>
      <c r="S200" s="39" t="s">
        <v>3316</v>
      </c>
      <c r="W200" s="39" t="s">
        <v>3602</v>
      </c>
      <c r="X200" s="39" t="s">
        <v>3484</v>
      </c>
      <c r="Y200" s="39">
        <v>7.0</v>
      </c>
      <c r="Z200" s="39" t="b">
        <v>0</v>
      </c>
      <c r="AA200" s="39" t="s">
        <v>3442</v>
      </c>
      <c r="AB200" s="39">
        <v>1.0</v>
      </c>
      <c r="AC200" s="39">
        <v>1.0</v>
      </c>
      <c r="AD200" s="39">
        <v>3.0</v>
      </c>
      <c r="AE200" s="39"/>
      <c r="AF200" s="39"/>
      <c r="AG200" s="39"/>
    </row>
    <row r="201" ht="18.75" customHeight="1">
      <c r="A201" s="26" t="s">
        <v>3224</v>
      </c>
      <c r="B201" s="22" t="s">
        <v>1528</v>
      </c>
      <c r="C201" s="37" t="str">
        <f>IF(COUNTIF('クラス'!A:A,E201)&gt;0,"○","×")&amp;IF(COUNTIF('クラス'!A:A,F201)&gt;0,"○","×")</f>
        <v>○×</v>
      </c>
      <c r="D201" s="39" t="b">
        <v>0</v>
      </c>
      <c r="E201" s="39" t="s">
        <v>1528</v>
      </c>
      <c r="G201" s="39">
        <v>3.0</v>
      </c>
      <c r="H201" s="39">
        <v>7.0</v>
      </c>
      <c r="J201" s="39" t="s">
        <v>3478</v>
      </c>
      <c r="R201" s="39" t="s">
        <v>1528</v>
      </c>
      <c r="S201" s="39" t="s">
        <v>3316</v>
      </c>
      <c r="W201" s="39" t="s">
        <v>3603</v>
      </c>
      <c r="X201" s="39" t="s">
        <v>3484</v>
      </c>
      <c r="Y201" s="39">
        <v>7.0</v>
      </c>
      <c r="Z201" s="39" t="b">
        <v>0</v>
      </c>
      <c r="AA201" s="39" t="s">
        <v>3442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3478</v>
      </c>
      <c r="R202" s="39" t="s">
        <v>1528</v>
      </c>
      <c r="S202" s="39" t="s">
        <v>3316</v>
      </c>
      <c r="W202" s="39" t="s">
        <v>3604</v>
      </c>
      <c r="X202" s="39" t="s">
        <v>3484</v>
      </c>
      <c r="Y202" s="39">
        <v>7.0</v>
      </c>
      <c r="Z202" s="39" t="b">
        <v>0</v>
      </c>
      <c r="AA202" s="39" t="s">
        <v>3442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3489</v>
      </c>
      <c r="R203" s="39" t="s">
        <v>1598</v>
      </c>
      <c r="S203" s="39" t="s">
        <v>3320</v>
      </c>
      <c r="W203" s="39" t="s">
        <v>3605</v>
      </c>
      <c r="X203" s="39" t="s">
        <v>3491</v>
      </c>
      <c r="Y203" s="39">
        <v>1.0</v>
      </c>
      <c r="Z203" s="39" t="b">
        <v>0</v>
      </c>
      <c r="AA203" s="39" t="s">
        <v>3442</v>
      </c>
      <c r="AB203" s="39">
        <v>1.0</v>
      </c>
      <c r="AC203" s="39">
        <v>1.0</v>
      </c>
      <c r="AD203" s="39">
        <v>3.0</v>
      </c>
      <c r="AE203" s="39">
        <v>5.0</v>
      </c>
      <c r="AF203" s="39">
        <v>45.0</v>
      </c>
      <c r="AG203" s="39" t="s">
        <v>3492</v>
      </c>
    </row>
    <row r="204" ht="18.75" customHeight="1">
      <c r="A204" s="26" t="s">
        <v>54</v>
      </c>
      <c r="B204" s="22" t="s">
        <v>1617</v>
      </c>
      <c r="C204" s="37" t="str">
        <f>IF(COUNTIF('クラス'!A:A,E204)&gt;0,"○","×")&amp;IF(COUNTIF('クラス'!A:A,F204)&gt;0,"○","×")</f>
        <v>○×</v>
      </c>
      <c r="D204" s="39" t="b">
        <v>1</v>
      </c>
      <c r="E204" s="39" t="s">
        <v>1617</v>
      </c>
      <c r="G204" s="39">
        <v>3.0</v>
      </c>
      <c r="H204" s="39">
        <v>7.0</v>
      </c>
      <c r="J204" s="39" t="s">
        <v>3489</v>
      </c>
      <c r="R204" s="39" t="s">
        <v>1617</v>
      </c>
      <c r="S204" s="39" t="s">
        <v>3320</v>
      </c>
      <c r="W204" s="39" t="s">
        <v>3606</v>
      </c>
      <c r="X204" s="39" t="s">
        <v>3494</v>
      </c>
      <c r="Y204" s="39">
        <v>1.0</v>
      </c>
      <c r="Z204" s="39" t="b">
        <v>0</v>
      </c>
      <c r="AA204" s="39" t="s">
        <v>3442</v>
      </c>
      <c r="AB204" s="39">
        <v>1.0</v>
      </c>
      <c r="AC204" s="39">
        <v>1.0</v>
      </c>
      <c r="AD204" s="39">
        <v>3.0</v>
      </c>
      <c r="AE204" s="39">
        <v>5.0</v>
      </c>
      <c r="AF204" s="39">
        <v>45.0</v>
      </c>
      <c r="AG204" s="39" t="s">
        <v>3466</v>
      </c>
    </row>
    <row r="205" ht="18.75" customHeight="1">
      <c r="A205" s="26" t="s">
        <v>54</v>
      </c>
      <c r="B205" s="22" t="s">
        <v>1625</v>
      </c>
      <c r="C205" s="37" t="str">
        <f>IF(COUNTIF('クラス'!A:A,E205)&gt;0,"○","×")&amp;IF(COUNTIF('クラス'!A:A,F205)&gt;0,"○","×")</f>
        <v>○×</v>
      </c>
      <c r="D205" s="39" t="b">
        <v>1</v>
      </c>
      <c r="E205" s="39" t="s">
        <v>1625</v>
      </c>
      <c r="G205" s="39">
        <v>1.0</v>
      </c>
      <c r="H205" s="39">
        <v>5.0</v>
      </c>
      <c r="J205" s="39" t="s">
        <v>3489</v>
      </c>
      <c r="R205" s="39" t="s">
        <v>1625</v>
      </c>
      <c r="S205" s="39" t="s">
        <v>3320</v>
      </c>
      <c r="W205" s="39" t="s">
        <v>3607</v>
      </c>
      <c r="X205" s="39" t="s">
        <v>3496</v>
      </c>
      <c r="Y205" s="39">
        <v>7.0</v>
      </c>
      <c r="Z205" s="39" t="b">
        <v>0</v>
      </c>
      <c r="AA205" s="39" t="s">
        <v>3442</v>
      </c>
      <c r="AB205" s="39">
        <v>1.0</v>
      </c>
      <c r="AC205" s="39">
        <v>1.0</v>
      </c>
      <c r="AD205" s="39">
        <v>3.0</v>
      </c>
      <c r="AE205" s="39">
        <v>5.0</v>
      </c>
      <c r="AF205" s="39">
        <v>45.0</v>
      </c>
      <c r="AG205" s="39" t="s">
        <v>3466</v>
      </c>
    </row>
    <row r="206" ht="18.75" customHeight="1">
      <c r="A206" s="26" t="s">
        <v>54</v>
      </c>
      <c r="B206" s="22" t="s">
        <v>1633</v>
      </c>
      <c r="C206" s="37" t="str">
        <f>IF(COUNTIF('クラス'!A:A,E206)&gt;0,"○","×")&amp;IF(COUNTIF('クラス'!A:A,F206)&gt;0,"○","×")</f>
        <v>○×</v>
      </c>
      <c r="D206" s="39" t="b">
        <v>1</v>
      </c>
      <c r="E206" s="39" t="s">
        <v>1633</v>
      </c>
      <c r="G206" s="39">
        <v>1.0</v>
      </c>
      <c r="H206" s="39">
        <v>4.0</v>
      </c>
      <c r="J206" s="39" t="s">
        <v>3489</v>
      </c>
      <c r="R206" s="39" t="s">
        <v>1633</v>
      </c>
      <c r="S206" s="39" t="s">
        <v>3320</v>
      </c>
      <c r="W206" s="39" t="s">
        <v>3608</v>
      </c>
      <c r="X206" s="39" t="s">
        <v>3496</v>
      </c>
      <c r="Y206" s="39">
        <v>1.0</v>
      </c>
      <c r="Z206" s="39" t="b">
        <v>0</v>
      </c>
      <c r="AA206" s="39" t="s">
        <v>3442</v>
      </c>
      <c r="AB206" s="39">
        <v>1.0</v>
      </c>
      <c r="AC206" s="39">
        <v>1.0</v>
      </c>
      <c r="AD206" s="39">
        <v>3.0</v>
      </c>
      <c r="AE206" s="39">
        <v>5.0</v>
      </c>
      <c r="AF206" s="39">
        <v>45.0</v>
      </c>
      <c r="AG206" s="39" t="s">
        <v>3492</v>
      </c>
    </row>
    <row r="207" ht="18.75" customHeight="1">
      <c r="A207" s="26" t="s">
        <v>3224</v>
      </c>
      <c r="B207" s="22" t="s">
        <v>1598</v>
      </c>
      <c r="C207" s="37" t="str">
        <f>IF(COUNTIF('クラス'!A:A,E207)&gt;0,"○","×")&amp;IF(COUNTIF('クラス'!A:A,F207)&gt;0,"○","×")</f>
        <v>○×</v>
      </c>
      <c r="D207" s="39" t="b">
        <v>0</v>
      </c>
      <c r="E207" s="39" t="s">
        <v>1598</v>
      </c>
      <c r="G207" s="39">
        <v>2.0</v>
      </c>
      <c r="H207" s="39">
        <v>5.0</v>
      </c>
      <c r="J207" s="39" t="s">
        <v>3489</v>
      </c>
      <c r="R207" s="39" t="s">
        <v>1598</v>
      </c>
      <c r="S207" s="39" t="s">
        <v>3320</v>
      </c>
      <c r="W207" s="39" t="s">
        <v>3609</v>
      </c>
      <c r="X207" s="39" t="s">
        <v>3491</v>
      </c>
      <c r="Y207" s="39">
        <v>1.0</v>
      </c>
      <c r="Z207" s="39" t="b">
        <v>0</v>
      </c>
      <c r="AA207" s="39" t="s">
        <v>3442</v>
      </c>
      <c r="AB207" s="39">
        <v>1.0</v>
      </c>
      <c r="AC207" s="39">
        <v>1.0</v>
      </c>
      <c r="AD207" s="39">
        <v>3.0</v>
      </c>
      <c r="AE207" s="39">
        <v>5.0</v>
      </c>
      <c r="AF207" s="39">
        <v>45.0</v>
      </c>
      <c r="AG207" s="39" t="s">
        <v>3492</v>
      </c>
    </row>
    <row r="208" ht="18.75" customHeight="1">
      <c r="A208" s="26" t="s">
        <v>3224</v>
      </c>
      <c r="B208" s="22" t="s">
        <v>1633</v>
      </c>
      <c r="C208" s="37" t="str">
        <f>IF(COUNTIF('クラス'!A:A,E208)&gt;0,"○","×")&amp;IF(COUNTIF('クラス'!A:A,F208)&gt;0,"○","×")</f>
        <v>○×</v>
      </c>
      <c r="D208" s="39" t="b">
        <v>1</v>
      </c>
      <c r="E208" s="39" t="s">
        <v>1633</v>
      </c>
      <c r="G208" s="39">
        <v>1.0</v>
      </c>
      <c r="H208" s="39">
        <v>4.0</v>
      </c>
      <c r="J208" s="39" t="s">
        <v>3489</v>
      </c>
      <c r="R208" s="39" t="s">
        <v>1633</v>
      </c>
      <c r="S208" s="39" t="s">
        <v>3320</v>
      </c>
      <c r="W208" s="39" t="s">
        <v>3610</v>
      </c>
      <c r="X208" s="39" t="s">
        <v>3496</v>
      </c>
      <c r="Y208" s="39">
        <v>1.0</v>
      </c>
      <c r="Z208" s="39" t="b">
        <v>0</v>
      </c>
      <c r="AA208" s="39" t="s">
        <v>3442</v>
      </c>
      <c r="AB208" s="39">
        <v>1.0</v>
      </c>
      <c r="AC208" s="39">
        <v>1.0</v>
      </c>
      <c r="AD208" s="39">
        <v>3.0</v>
      </c>
      <c r="AE208" s="39">
        <v>5.0</v>
      </c>
      <c r="AF208" s="39">
        <v>45.0</v>
      </c>
      <c r="AG208" s="39" t="s">
        <v>3492</v>
      </c>
    </row>
    <row r="209" ht="18.75" customHeight="1">
      <c r="A209" s="26" t="s">
        <v>3224</v>
      </c>
      <c r="B209" s="22" t="s">
        <v>1656</v>
      </c>
      <c r="C209" s="37" t="str">
        <f>IF(COUNTIF('クラス'!A:A,E209)&gt;0,"○","×")&amp;IF(COUNTIF('クラス'!A:A,F209)&gt;0,"○","×")</f>
        <v>○×</v>
      </c>
      <c r="D209" s="39" t="b">
        <v>1</v>
      </c>
      <c r="E209" s="39" t="s">
        <v>1656</v>
      </c>
      <c r="G209" s="39">
        <v>3.0</v>
      </c>
      <c r="H209" s="39">
        <v>8.0</v>
      </c>
      <c r="J209" s="39" t="s">
        <v>3489</v>
      </c>
      <c r="R209" s="39" t="s">
        <v>1656</v>
      </c>
      <c r="S209" s="39" t="s">
        <v>3320</v>
      </c>
      <c r="W209" s="39" t="s">
        <v>3611</v>
      </c>
      <c r="X209" s="39" t="s">
        <v>3322</v>
      </c>
      <c r="Y209" s="39">
        <v>7.0</v>
      </c>
      <c r="Z209" s="39" t="b">
        <v>0</v>
      </c>
      <c r="AA209" s="39" t="s">
        <v>3442</v>
      </c>
      <c r="AB209" s="39">
        <v>1.0</v>
      </c>
      <c r="AC209" s="39">
        <v>1.0</v>
      </c>
      <c r="AD209" s="39">
        <v>3.0</v>
      </c>
      <c r="AE209" s="39">
        <v>5.0</v>
      </c>
      <c r="AF209" s="39">
        <v>45.0</v>
      </c>
      <c r="AG209" s="39" t="s">
        <v>3492</v>
      </c>
    </row>
    <row r="210" ht="18.75" customHeight="1">
      <c r="A210" s="26" t="s">
        <v>62</v>
      </c>
      <c r="B210" s="22" t="s">
        <v>1656</v>
      </c>
      <c r="C210" s="37" t="str">
        <f>IF(COUNTIF('クラス'!A:A,E210)&gt;0,"○","×")&amp;IF(COUNTIF('クラス'!A:A,F210)&gt;0,"○","×")</f>
        <v>○×</v>
      </c>
      <c r="D210" s="39" t="b">
        <v>1</v>
      </c>
      <c r="E210" s="39" t="s">
        <v>1656</v>
      </c>
      <c r="G210" s="39">
        <v>3.0</v>
      </c>
      <c r="H210" s="39">
        <v>8.0</v>
      </c>
      <c r="J210" s="39" t="s">
        <v>3489</v>
      </c>
      <c r="R210" s="39" t="s">
        <v>1656</v>
      </c>
      <c r="S210" s="39" t="s">
        <v>3320</v>
      </c>
      <c r="W210" s="39" t="s">
        <v>3612</v>
      </c>
      <c r="X210" s="39" t="s">
        <v>3322</v>
      </c>
      <c r="Y210" s="39">
        <v>7.0</v>
      </c>
      <c r="Z210" s="39" t="b">
        <v>0</v>
      </c>
      <c r="AA210" s="39" t="s">
        <v>3442</v>
      </c>
      <c r="AB210" s="39">
        <v>1.0</v>
      </c>
      <c r="AC210" s="39">
        <v>1.0</v>
      </c>
      <c r="AD210" s="39">
        <v>3.0</v>
      </c>
      <c r="AE210" s="39">
        <v>5.0</v>
      </c>
      <c r="AF210" s="39">
        <v>45.0</v>
      </c>
      <c r="AG210" s="39" t="s">
        <v>3492</v>
      </c>
    </row>
    <row r="211" ht="18.75" customHeight="1">
      <c r="A211" s="26" t="s">
        <v>62</v>
      </c>
      <c r="B211" s="22" t="s">
        <v>1647</v>
      </c>
      <c r="C211" s="37" t="str">
        <f>IF(COUNTIF('クラス'!A:A,E211)&gt;0,"○","×")&amp;IF(COUNTIF('クラス'!A:A,F211)&gt;0,"○","×")</f>
        <v>○×</v>
      </c>
      <c r="D211" s="39" t="b">
        <v>1</v>
      </c>
      <c r="E211" s="39" t="s">
        <v>1647</v>
      </c>
      <c r="G211" s="39">
        <v>3.0</v>
      </c>
      <c r="H211" s="39">
        <v>7.0</v>
      </c>
      <c r="J211" s="39" t="s">
        <v>3489</v>
      </c>
      <c r="R211" s="39" t="s">
        <v>1647</v>
      </c>
      <c r="S211" s="39" t="s">
        <v>3320</v>
      </c>
      <c r="W211" s="39" t="s">
        <v>3613</v>
      </c>
      <c r="X211" s="39" t="s">
        <v>3503</v>
      </c>
      <c r="Y211" s="39">
        <v>7.0</v>
      </c>
      <c r="Z211" s="39" t="b">
        <v>0</v>
      </c>
      <c r="AA211" s="39" t="s">
        <v>3442</v>
      </c>
      <c r="AB211" s="39">
        <v>1.0</v>
      </c>
      <c r="AC211" s="39">
        <v>1.0</v>
      </c>
      <c r="AD211" s="39">
        <v>3.0</v>
      </c>
      <c r="AE211" s="39">
        <v>5.0</v>
      </c>
      <c r="AF211" s="39">
        <v>45.0</v>
      </c>
      <c r="AG211" s="39" t="s">
        <v>3492</v>
      </c>
    </row>
    <row r="212" ht="18.75" customHeight="1">
      <c r="A212" s="26" t="s">
        <v>56</v>
      </c>
      <c r="B212" s="22" t="s">
        <v>1609</v>
      </c>
      <c r="C212" s="37" t="str">
        <f>IF(COUNTIF('クラス'!A:A,E212)&gt;0,"○","×")&amp;IF(COUNTIF('クラス'!A:A,F212)&gt;0,"○","×")</f>
        <v>○×</v>
      </c>
      <c r="D212" s="39" t="b">
        <v>1</v>
      </c>
      <c r="E212" s="39" t="s">
        <v>1609</v>
      </c>
      <c r="G212" s="39">
        <v>2.0</v>
      </c>
      <c r="H212" s="39">
        <v>6.0</v>
      </c>
      <c r="J212" s="39" t="s">
        <v>3489</v>
      </c>
      <c r="R212" s="39"/>
      <c r="S212" s="39" t="s">
        <v>3320</v>
      </c>
      <c r="W212" s="39" t="s">
        <v>3614</v>
      </c>
      <c r="X212" s="39"/>
      <c r="Y212" s="39"/>
      <c r="Z212" s="39" t="b">
        <v>0</v>
      </c>
      <c r="AA212" s="39" t="s">
        <v>3442</v>
      </c>
      <c r="AB212" s="39">
        <v>1.0</v>
      </c>
      <c r="AC212" s="39">
        <v>1.0</v>
      </c>
      <c r="AD212" s="39">
        <v>3.0</v>
      </c>
      <c r="AE212" s="39">
        <v>5.0</v>
      </c>
      <c r="AF212" s="39">
        <v>45.0</v>
      </c>
      <c r="AG212" s="39" t="s">
        <v>3492</v>
      </c>
    </row>
    <row r="213" ht="18.75" customHeight="1">
      <c r="A213" s="26" t="s">
        <v>56</v>
      </c>
      <c r="B213" s="22" t="s">
        <v>1617</v>
      </c>
      <c r="C213" s="37" t="str">
        <f>IF(COUNTIF('クラス'!A:A,E213)&gt;0,"○","×")&amp;IF(COUNTIF('クラス'!A:A,F213)&gt;0,"○","×")</f>
        <v>○×</v>
      </c>
      <c r="D213" s="39" t="b">
        <v>1</v>
      </c>
      <c r="E213" s="39" t="s">
        <v>1617</v>
      </c>
      <c r="G213" s="39">
        <v>3.0</v>
      </c>
      <c r="H213" s="39">
        <v>7.0</v>
      </c>
      <c r="J213" s="39" t="s">
        <v>3489</v>
      </c>
      <c r="R213" s="39" t="s">
        <v>1617</v>
      </c>
      <c r="S213" s="39" t="s">
        <v>3320</v>
      </c>
      <c r="W213" s="39" t="s">
        <v>3615</v>
      </c>
      <c r="X213" s="39" t="s">
        <v>3494</v>
      </c>
      <c r="Y213" s="39">
        <v>1.0</v>
      </c>
      <c r="Z213" s="39" t="b">
        <v>0</v>
      </c>
      <c r="AA213" s="39" t="s">
        <v>3442</v>
      </c>
      <c r="AB213" s="39">
        <v>1.0</v>
      </c>
      <c r="AC213" s="39">
        <v>1.0</v>
      </c>
      <c r="AD213" s="39">
        <v>3.0</v>
      </c>
      <c r="AE213" s="39">
        <v>5.0</v>
      </c>
      <c r="AF213" s="39">
        <v>45.0</v>
      </c>
      <c r="AG213" s="39" t="s">
        <v>3466</v>
      </c>
    </row>
    <row r="214" ht="18.75" customHeight="1">
      <c r="A214" s="26" t="s">
        <v>56</v>
      </c>
      <c r="B214" s="22" t="s">
        <v>1625</v>
      </c>
      <c r="C214" s="37" t="str">
        <f>IF(COUNTIF('クラス'!A:A,E214)&gt;0,"○","×")&amp;IF(COUNTIF('クラス'!A:A,F214)&gt;0,"○","×")</f>
        <v>○×</v>
      </c>
      <c r="D214" s="39" t="b">
        <v>1</v>
      </c>
      <c r="E214" s="39" t="s">
        <v>1625</v>
      </c>
      <c r="G214" s="39">
        <v>1.0</v>
      </c>
      <c r="H214" s="39">
        <v>5.0</v>
      </c>
      <c r="J214" s="39" t="s">
        <v>3489</v>
      </c>
      <c r="R214" s="39" t="s">
        <v>1625</v>
      </c>
      <c r="S214" s="39" t="s">
        <v>3320</v>
      </c>
      <c r="W214" s="39" t="s">
        <v>3616</v>
      </c>
      <c r="X214" s="39" t="s">
        <v>3496</v>
      </c>
      <c r="Y214" s="39">
        <v>7.0</v>
      </c>
      <c r="Z214" s="39" t="b">
        <v>0</v>
      </c>
      <c r="AA214" s="39" t="s">
        <v>3442</v>
      </c>
      <c r="AB214" s="39">
        <v>1.0</v>
      </c>
      <c r="AC214" s="39">
        <v>1.0</v>
      </c>
      <c r="AD214" s="39">
        <v>3.0</v>
      </c>
      <c r="AE214" s="39">
        <v>5.0</v>
      </c>
      <c r="AF214" s="39">
        <v>45.0</v>
      </c>
      <c r="AG214" s="39" t="s">
        <v>3466</v>
      </c>
    </row>
    <row r="215" ht="18.75" customHeight="1">
      <c r="A215" s="26" t="s">
        <v>56</v>
      </c>
      <c r="B215" s="22" t="s">
        <v>1633</v>
      </c>
      <c r="C215" s="37" t="str">
        <f>IF(COUNTIF('クラス'!A:A,E215)&gt;0,"○","×")&amp;IF(COUNTIF('クラス'!A:A,F215)&gt;0,"○","×")</f>
        <v>○×</v>
      </c>
      <c r="D215" s="39" t="b">
        <v>1</v>
      </c>
      <c r="E215" s="39" t="s">
        <v>1633</v>
      </c>
      <c r="G215" s="39">
        <v>1.0</v>
      </c>
      <c r="H215" s="39">
        <v>4.0</v>
      </c>
      <c r="J215" s="39" t="s">
        <v>3489</v>
      </c>
      <c r="R215" s="39" t="s">
        <v>1633</v>
      </c>
      <c r="S215" s="39" t="s">
        <v>3320</v>
      </c>
      <c r="W215" s="39" t="s">
        <v>3617</v>
      </c>
      <c r="X215" s="39" t="s">
        <v>3496</v>
      </c>
      <c r="Y215" s="39">
        <v>1.0</v>
      </c>
      <c r="Z215" s="39" t="b">
        <v>0</v>
      </c>
      <c r="AA215" s="39" t="s">
        <v>3442</v>
      </c>
      <c r="AB215" s="39">
        <v>1.0</v>
      </c>
      <c r="AC215" s="39">
        <v>1.0</v>
      </c>
      <c r="AD215" s="39">
        <v>3.0</v>
      </c>
      <c r="AE215" s="39">
        <v>5.0</v>
      </c>
      <c r="AF215" s="39">
        <v>45.0</v>
      </c>
      <c r="AG215" s="39" t="s">
        <v>3492</v>
      </c>
    </row>
    <row r="216" ht="18.75" customHeight="1">
      <c r="A216" s="26" t="s">
        <v>56</v>
      </c>
      <c r="B216" s="22" t="s">
        <v>1640</v>
      </c>
      <c r="C216" s="37" t="str">
        <f>IF(COUNTIF('クラス'!A:A,E216)&gt;0,"○","×")&amp;IF(COUNTIF('クラス'!A:A,F216)&gt;0,"○","×")</f>
        <v>○×</v>
      </c>
      <c r="D216" s="39" t="b">
        <v>1</v>
      </c>
      <c r="E216" s="39" t="s">
        <v>1640</v>
      </c>
      <c r="G216" s="39">
        <v>2.0</v>
      </c>
      <c r="H216" s="39">
        <v>6.0</v>
      </c>
      <c r="J216" s="39" t="s">
        <v>3489</v>
      </c>
      <c r="R216" s="39" t="s">
        <v>1640</v>
      </c>
      <c r="S216" s="39" t="s">
        <v>3320</v>
      </c>
      <c r="W216" s="39" t="s">
        <v>3618</v>
      </c>
      <c r="X216" s="39" t="s">
        <v>3503</v>
      </c>
      <c r="Y216" s="39">
        <v>1.0</v>
      </c>
      <c r="Z216" s="39" t="b">
        <v>0</v>
      </c>
      <c r="AA216" s="39" t="s">
        <v>3442</v>
      </c>
      <c r="AB216" s="39">
        <v>1.0</v>
      </c>
      <c r="AC216" s="39">
        <v>1.0</v>
      </c>
      <c r="AD216" s="39">
        <v>3.0</v>
      </c>
      <c r="AE216" s="39">
        <v>5.0</v>
      </c>
      <c r="AF216" s="39">
        <v>45.0</v>
      </c>
      <c r="AG216" s="39" t="s">
        <v>3492</v>
      </c>
    </row>
    <row r="217" ht="18.75" customHeight="1">
      <c r="A217" s="26" t="s">
        <v>56</v>
      </c>
      <c r="B217" s="22" t="s">
        <v>1647</v>
      </c>
      <c r="C217" s="37" t="str">
        <f>IF(COUNTIF('クラス'!A:A,E217)&gt;0,"○","×")&amp;IF(COUNTIF('クラス'!A:A,F217)&gt;0,"○","×")</f>
        <v>○×</v>
      </c>
      <c r="D217" s="39" t="b">
        <v>1</v>
      </c>
      <c r="E217" s="39" t="s">
        <v>1647</v>
      </c>
      <c r="G217" s="39">
        <v>3.0</v>
      </c>
      <c r="H217" s="39">
        <v>7.0</v>
      </c>
      <c r="J217" s="39" t="s">
        <v>3489</v>
      </c>
      <c r="R217" s="39" t="s">
        <v>1647</v>
      </c>
      <c r="S217" s="39" t="s">
        <v>3320</v>
      </c>
      <c r="W217" s="39" t="s">
        <v>3619</v>
      </c>
      <c r="X217" s="39" t="s">
        <v>3503</v>
      </c>
      <c r="Y217" s="39">
        <v>7.0</v>
      </c>
      <c r="Z217" s="39" t="b">
        <v>0</v>
      </c>
      <c r="AA217" s="39" t="s">
        <v>3442</v>
      </c>
      <c r="AB217" s="39">
        <v>1.0</v>
      </c>
      <c r="AC217" s="39">
        <v>1.0</v>
      </c>
      <c r="AD217" s="39">
        <v>3.0</v>
      </c>
      <c r="AE217" s="39">
        <v>5.0</v>
      </c>
      <c r="AF217" s="39">
        <v>45.0</v>
      </c>
      <c r="AG217" s="39" t="s">
        <v>3492</v>
      </c>
    </row>
    <row r="218" ht="18.75" customHeight="1">
      <c r="A218" s="26" t="s">
        <v>63</v>
      </c>
      <c r="B218" s="22" t="s">
        <v>1640</v>
      </c>
      <c r="C218" s="37" t="str">
        <f>IF(COUNTIF('クラス'!A:A,E218)&gt;0,"○","×")&amp;IF(COUNTIF('クラス'!A:A,F218)&gt;0,"○","×")</f>
        <v>○×</v>
      </c>
      <c r="D218" s="39" t="b">
        <v>1</v>
      </c>
      <c r="E218" s="39" t="s">
        <v>1640</v>
      </c>
      <c r="G218" s="39">
        <v>2.0</v>
      </c>
      <c r="H218" s="39">
        <v>6.0</v>
      </c>
      <c r="J218" s="39" t="s">
        <v>3489</v>
      </c>
      <c r="R218" s="39" t="s">
        <v>1640</v>
      </c>
      <c r="S218" s="39" t="s">
        <v>3320</v>
      </c>
      <c r="W218" s="39" t="s">
        <v>3620</v>
      </c>
      <c r="X218" s="39" t="s">
        <v>3503</v>
      </c>
      <c r="Y218" s="39">
        <v>1.0</v>
      </c>
      <c r="Z218" s="39" t="b">
        <v>0</v>
      </c>
      <c r="AA218" s="39" t="s">
        <v>3442</v>
      </c>
      <c r="AB218" s="39">
        <v>1.0</v>
      </c>
      <c r="AC218" s="39">
        <v>1.0</v>
      </c>
      <c r="AD218" s="39">
        <v>3.0</v>
      </c>
      <c r="AE218" s="39">
        <v>5.0</v>
      </c>
      <c r="AF218" s="39">
        <v>45.0</v>
      </c>
      <c r="AG218" s="39" t="s">
        <v>3492</v>
      </c>
    </row>
    <row r="219" ht="18.75" customHeight="1">
      <c r="A219" s="26" t="s">
        <v>63</v>
      </c>
      <c r="B219" s="22" t="s">
        <v>1647</v>
      </c>
      <c r="C219" s="37" t="str">
        <f>IF(COUNTIF('クラス'!A:A,E219)&gt;0,"○","×")&amp;IF(COUNTIF('クラス'!A:A,F219)&gt;0,"○","×")</f>
        <v>○×</v>
      </c>
      <c r="D219" s="39" t="b">
        <v>1</v>
      </c>
      <c r="E219" s="39" t="s">
        <v>1647</v>
      </c>
      <c r="G219" s="39">
        <v>3.0</v>
      </c>
      <c r="H219" s="39">
        <v>7.0</v>
      </c>
      <c r="J219" s="39" t="s">
        <v>3489</v>
      </c>
      <c r="R219" s="39" t="s">
        <v>1647</v>
      </c>
      <c r="S219" s="39" t="s">
        <v>3320</v>
      </c>
      <c r="W219" s="39" t="s">
        <v>3621</v>
      </c>
      <c r="X219" s="39" t="s">
        <v>3503</v>
      </c>
      <c r="Y219" s="39">
        <v>7.0</v>
      </c>
      <c r="Z219" s="39" t="b">
        <v>0</v>
      </c>
      <c r="AA219" s="39" t="s">
        <v>3442</v>
      </c>
      <c r="AB219" s="39">
        <v>1.0</v>
      </c>
      <c r="AC219" s="39">
        <v>1.0</v>
      </c>
      <c r="AD219" s="39">
        <v>3.0</v>
      </c>
      <c r="AE219" s="39">
        <v>5.0</v>
      </c>
      <c r="AF219" s="39">
        <v>45.0</v>
      </c>
      <c r="AG219" s="39" t="s">
        <v>3492</v>
      </c>
    </row>
    <row r="220" ht="18.75" customHeight="1">
      <c r="A220" s="26" t="s">
        <v>65</v>
      </c>
      <c r="B220" s="22" t="s">
        <v>1598</v>
      </c>
      <c r="C220" s="37" t="str">
        <f>IF(COUNTIF('クラス'!A:A,E220)&gt;0,"○","×")&amp;IF(COUNTIF('クラス'!A:A,F220)&gt;0,"○","×")</f>
        <v>○×</v>
      </c>
      <c r="D220" s="39" t="b">
        <v>0</v>
      </c>
      <c r="E220" s="39" t="s">
        <v>1598</v>
      </c>
      <c r="G220" s="39">
        <v>2.0</v>
      </c>
      <c r="H220" s="39">
        <v>5.0</v>
      </c>
      <c r="J220" s="39" t="s">
        <v>3489</v>
      </c>
      <c r="R220" s="39" t="s">
        <v>1598</v>
      </c>
      <c r="S220" s="39" t="s">
        <v>3320</v>
      </c>
      <c r="W220" s="39" t="s">
        <v>3622</v>
      </c>
      <c r="X220" s="39" t="s">
        <v>3491</v>
      </c>
      <c r="Y220" s="39">
        <v>1.0</v>
      </c>
      <c r="Z220" s="39" t="b">
        <v>0</v>
      </c>
      <c r="AA220" s="39" t="s">
        <v>3442</v>
      </c>
      <c r="AB220" s="39">
        <v>1.0</v>
      </c>
      <c r="AC220" s="39">
        <v>1.0</v>
      </c>
      <c r="AD220" s="39">
        <v>3.0</v>
      </c>
      <c r="AE220" s="39">
        <v>5.0</v>
      </c>
      <c r="AF220" s="39">
        <v>45.0</v>
      </c>
      <c r="AG220" s="39" t="s">
        <v>3492</v>
      </c>
    </row>
    <row r="221" ht="18.75" customHeight="1">
      <c r="A221" s="26" t="s">
        <v>65</v>
      </c>
      <c r="B221" s="22" t="s">
        <v>1640</v>
      </c>
      <c r="C221" s="37" t="str">
        <f>IF(COUNTIF('クラス'!A:A,E221)&gt;0,"○","×")&amp;IF(COUNTIF('クラス'!A:A,F221)&gt;0,"○","×")</f>
        <v>○×</v>
      </c>
      <c r="D221" s="39" t="b">
        <v>1</v>
      </c>
      <c r="E221" s="39" t="s">
        <v>1640</v>
      </c>
      <c r="G221" s="39">
        <v>2.0</v>
      </c>
      <c r="H221" s="39">
        <v>6.0</v>
      </c>
      <c r="J221" s="39" t="s">
        <v>3489</v>
      </c>
      <c r="R221" s="39" t="s">
        <v>1640</v>
      </c>
      <c r="S221" s="39" t="s">
        <v>3320</v>
      </c>
      <c r="W221" s="39" t="s">
        <v>3623</v>
      </c>
      <c r="X221" s="39" t="s">
        <v>3503</v>
      </c>
      <c r="Y221" s="39">
        <v>1.0</v>
      </c>
      <c r="Z221" s="39" t="b">
        <v>0</v>
      </c>
      <c r="AA221" s="39" t="s">
        <v>3442</v>
      </c>
      <c r="AB221" s="39">
        <v>1.0</v>
      </c>
      <c r="AC221" s="39">
        <v>1.0</v>
      </c>
      <c r="AD221" s="39">
        <v>3.0</v>
      </c>
      <c r="AE221" s="39">
        <v>5.0</v>
      </c>
      <c r="AF221" s="39">
        <v>45.0</v>
      </c>
      <c r="AG221" s="39" t="s">
        <v>3492</v>
      </c>
    </row>
    <row r="222" ht="18.75" customHeight="1">
      <c r="A222" s="26" t="s">
        <v>65</v>
      </c>
      <c r="B222" s="22" t="s">
        <v>1647</v>
      </c>
      <c r="C222" s="37" t="str">
        <f>IF(COUNTIF('クラス'!A:A,E222)&gt;0,"○","×")&amp;IF(COUNTIF('クラス'!A:A,F222)&gt;0,"○","×")</f>
        <v>○×</v>
      </c>
      <c r="D222" s="39" t="b">
        <v>1</v>
      </c>
      <c r="E222" s="39" t="s">
        <v>1647</v>
      </c>
      <c r="G222" s="39">
        <v>3.0</v>
      </c>
      <c r="H222" s="39">
        <v>7.0</v>
      </c>
      <c r="J222" s="39" t="s">
        <v>3489</v>
      </c>
      <c r="R222" s="39" t="s">
        <v>1647</v>
      </c>
      <c r="S222" s="39" t="s">
        <v>3320</v>
      </c>
      <c r="W222" s="39" t="s">
        <v>3624</v>
      </c>
      <c r="X222" s="39" t="s">
        <v>3503</v>
      </c>
      <c r="Y222" s="39">
        <v>7.0</v>
      </c>
      <c r="Z222" s="39" t="b">
        <v>0</v>
      </c>
      <c r="AA222" s="39" t="s">
        <v>3442</v>
      </c>
      <c r="AB222" s="39">
        <v>1.0</v>
      </c>
      <c r="AC222" s="39">
        <v>1.0</v>
      </c>
      <c r="AD222" s="39">
        <v>3.0</v>
      </c>
      <c r="AE222" s="39">
        <v>5.0</v>
      </c>
      <c r="AF222" s="39">
        <v>45.0</v>
      </c>
      <c r="AG222" s="39" t="s">
        <v>3492</v>
      </c>
    </row>
    <row r="223" ht="18.75" customHeight="1">
      <c r="A223" s="26" t="s">
        <v>69</v>
      </c>
      <c r="B223" s="22" t="s">
        <v>1317</v>
      </c>
      <c r="C223" s="37" t="str">
        <f>IF(COUNTIF('クラス'!A:A,E223)&gt;0,"○","×")&amp;IF(COUNTIF('クラス'!A:A,F223)&gt;0,"○","×")</f>
        <v>○×</v>
      </c>
      <c r="D223" s="39" t="b">
        <v>1</v>
      </c>
      <c r="E223" s="39" t="s">
        <v>1317</v>
      </c>
      <c r="G223" s="39">
        <v>1.0</v>
      </c>
      <c r="H223" s="39">
        <v>10.0</v>
      </c>
      <c r="J223" s="39" t="s">
        <v>3516</v>
      </c>
      <c r="R223" s="39" t="s">
        <v>1317</v>
      </c>
      <c r="S223" s="39" t="s">
        <v>3346</v>
      </c>
      <c r="W223" s="39" t="s">
        <v>3625</v>
      </c>
      <c r="X223" s="39" t="s">
        <v>3518</v>
      </c>
      <c r="Y223" s="39">
        <v>1.0</v>
      </c>
      <c r="Z223" s="39" t="b">
        <v>0</v>
      </c>
      <c r="AA223" s="39" t="s">
        <v>3442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3516</v>
      </c>
      <c r="R224" s="39" t="s">
        <v>1331</v>
      </c>
      <c r="S224" s="39" t="s">
        <v>3346</v>
      </c>
      <c r="W224" s="39" t="s">
        <v>3626</v>
      </c>
      <c r="X224" s="39" t="s">
        <v>3518</v>
      </c>
      <c r="Y224" s="39">
        <v>2.0</v>
      </c>
      <c r="Z224" s="39" t="b">
        <v>0</v>
      </c>
      <c r="AA224" s="39" t="s">
        <v>3442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3516</v>
      </c>
      <c r="R225" s="39" t="s">
        <v>1344</v>
      </c>
      <c r="S225" s="39" t="s">
        <v>3346</v>
      </c>
      <c r="W225" s="39" t="s">
        <v>3627</v>
      </c>
      <c r="X225" s="39" t="s">
        <v>3518</v>
      </c>
      <c r="Y225" s="39">
        <v>6.0</v>
      </c>
      <c r="Z225" s="39" t="b">
        <v>0</v>
      </c>
      <c r="AA225" s="39" t="s">
        <v>3442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3" t="s">
        <v>3628</v>
      </c>
      <c r="B1" s="113" t="s">
        <v>3629</v>
      </c>
      <c r="C1" s="114" t="s">
        <v>3630</v>
      </c>
      <c r="D1" s="113" t="s">
        <v>3631</v>
      </c>
      <c r="E1" s="114" t="s">
        <v>3296</v>
      </c>
      <c r="F1" s="113" t="s">
        <v>3297</v>
      </c>
      <c r="G1" s="113" t="s">
        <v>3298</v>
      </c>
      <c r="H1" s="113" t="s">
        <v>3299</v>
      </c>
      <c r="I1" s="113" t="s">
        <v>2634</v>
      </c>
      <c r="J1" s="113" t="s">
        <v>2636</v>
      </c>
      <c r="K1" s="113" t="s">
        <v>2637</v>
      </c>
      <c r="L1" s="113" t="s">
        <v>2638</v>
      </c>
      <c r="M1" s="113" t="s">
        <v>3632</v>
      </c>
      <c r="N1" s="113" t="s">
        <v>3633</v>
      </c>
    </row>
    <row r="2">
      <c r="A2" s="39" t="s">
        <v>1317</v>
      </c>
      <c r="B2" s="39" t="s">
        <v>3634</v>
      </c>
      <c r="C2" s="115" t="s">
        <v>3635</v>
      </c>
      <c r="D2" s="81">
        <v>3.0</v>
      </c>
      <c r="E2" s="116"/>
      <c r="F2" s="81"/>
      <c r="G2" s="81"/>
      <c r="H2" s="81"/>
      <c r="I2" s="81"/>
      <c r="J2" s="81"/>
      <c r="K2" s="81"/>
      <c r="L2" s="81"/>
      <c r="M2" s="81"/>
      <c r="N2" s="81"/>
    </row>
    <row r="3">
      <c r="A3" s="39" t="s">
        <v>1331</v>
      </c>
      <c r="B3" s="39" t="s">
        <v>3634</v>
      </c>
      <c r="C3" s="115" t="s">
        <v>3636</v>
      </c>
      <c r="D3" s="81">
        <v>6.0</v>
      </c>
      <c r="E3" s="116" t="s">
        <v>3637</v>
      </c>
      <c r="F3" s="81" t="s">
        <v>3638</v>
      </c>
      <c r="G3" s="81"/>
      <c r="H3" s="81"/>
      <c r="I3" s="81"/>
      <c r="J3" s="81"/>
      <c r="K3" s="81"/>
      <c r="L3" s="81"/>
      <c r="M3" s="81"/>
      <c r="N3" s="81"/>
    </row>
    <row r="4">
      <c r="A4" s="39" t="s">
        <v>1344</v>
      </c>
      <c r="B4" s="39" t="s">
        <v>3634</v>
      </c>
      <c r="C4" s="115" t="s">
        <v>2732</v>
      </c>
      <c r="D4" s="81">
        <v>10.0</v>
      </c>
      <c r="E4" s="116"/>
      <c r="F4" s="81"/>
      <c r="G4" s="81"/>
      <c r="H4" s="81"/>
      <c r="I4" s="81"/>
      <c r="J4" s="81"/>
      <c r="K4" s="81"/>
      <c r="L4" s="81"/>
      <c r="M4" s="81"/>
      <c r="N4" s="81"/>
    </row>
    <row r="5">
      <c r="A5" s="39" t="s">
        <v>1357</v>
      </c>
      <c r="B5" s="39" t="s">
        <v>3634</v>
      </c>
      <c r="C5" s="115" t="s">
        <v>3639</v>
      </c>
      <c r="D5" s="81">
        <v>12.0</v>
      </c>
      <c r="E5" s="116"/>
      <c r="F5" s="81"/>
      <c r="G5" s="81"/>
      <c r="H5" s="81"/>
      <c r="I5" s="81"/>
      <c r="J5" s="81"/>
      <c r="K5" s="81"/>
      <c r="L5" s="81"/>
      <c r="M5" s="81"/>
      <c r="N5" s="81"/>
    </row>
    <row r="6">
      <c r="A6" s="39" t="s">
        <v>1370</v>
      </c>
      <c r="B6" s="39" t="s">
        <v>3634</v>
      </c>
      <c r="C6" s="115" t="s">
        <v>3640</v>
      </c>
      <c r="D6" s="81">
        <v>14.0</v>
      </c>
      <c r="E6" s="116"/>
      <c r="F6" s="81" t="s">
        <v>3641</v>
      </c>
      <c r="G6" s="81" t="s">
        <v>3642</v>
      </c>
      <c r="H6" s="81" t="s">
        <v>3643</v>
      </c>
      <c r="I6" s="81"/>
      <c r="J6" s="81" t="s">
        <v>3644</v>
      </c>
      <c r="K6" s="81"/>
      <c r="L6" s="81"/>
      <c r="M6" s="81"/>
      <c r="N6" s="81"/>
    </row>
    <row r="7">
      <c r="A7" s="39" t="s">
        <v>1383</v>
      </c>
      <c r="B7" s="39" t="s">
        <v>3634</v>
      </c>
      <c r="C7" s="115" t="s">
        <v>3645</v>
      </c>
      <c r="D7" s="81">
        <v>16.0</v>
      </c>
      <c r="E7" s="116"/>
      <c r="F7" s="81"/>
      <c r="G7" s="81"/>
      <c r="H7" s="81"/>
      <c r="I7" s="81"/>
      <c r="J7" s="81"/>
      <c r="K7" s="81"/>
      <c r="L7" s="81"/>
      <c r="M7" s="81"/>
      <c r="N7" s="81"/>
    </row>
    <row r="8">
      <c r="A8" s="39" t="s">
        <v>1396</v>
      </c>
      <c r="B8" s="39" t="s">
        <v>3634</v>
      </c>
      <c r="C8" s="115" t="s">
        <v>3646</v>
      </c>
      <c r="D8" s="81">
        <v>18.0</v>
      </c>
      <c r="E8" s="116"/>
      <c r="F8" s="81"/>
      <c r="G8" s="81"/>
      <c r="H8" s="81"/>
      <c r="I8" s="81"/>
      <c r="J8" s="81"/>
      <c r="K8" s="81"/>
      <c r="L8" s="81"/>
      <c r="M8" s="81"/>
      <c r="N8" s="81"/>
    </row>
    <row r="9">
      <c r="A9" s="39" t="s">
        <v>1448</v>
      </c>
      <c r="B9" s="39" t="s">
        <v>3634</v>
      </c>
      <c r="C9" s="115" t="s">
        <v>3647</v>
      </c>
      <c r="D9" s="81">
        <v>20.0</v>
      </c>
      <c r="E9" s="116"/>
      <c r="F9" s="81" t="s">
        <v>3648</v>
      </c>
      <c r="G9" s="81" t="s">
        <v>3649</v>
      </c>
      <c r="H9" s="81" t="s">
        <v>3650</v>
      </c>
      <c r="I9" s="81"/>
      <c r="J9" s="81" t="s">
        <v>3644</v>
      </c>
      <c r="K9" s="81"/>
      <c r="L9" s="81"/>
      <c r="M9" s="81"/>
      <c r="N9" s="81"/>
    </row>
    <row r="10">
      <c r="A10" s="39" t="s">
        <v>1409</v>
      </c>
      <c r="B10" s="39" t="s">
        <v>3634</v>
      </c>
      <c r="C10" s="115" t="s">
        <v>3651</v>
      </c>
      <c r="D10" s="81">
        <v>20.0</v>
      </c>
      <c r="E10" s="116"/>
      <c r="F10" s="81"/>
      <c r="G10" s="81"/>
      <c r="H10" s="81"/>
      <c r="I10" s="81"/>
      <c r="J10" s="81"/>
      <c r="K10" s="81"/>
      <c r="L10" s="81"/>
      <c r="M10" s="81"/>
      <c r="N10" s="81"/>
    </row>
    <row r="11">
      <c r="A11" s="39" t="s">
        <v>2546</v>
      </c>
      <c r="B11" s="39" t="s">
        <v>3634</v>
      </c>
      <c r="C11" s="115" t="s">
        <v>3652</v>
      </c>
      <c r="D11" s="81">
        <v>23.0</v>
      </c>
      <c r="E11" s="116"/>
      <c r="F11" s="81"/>
      <c r="G11" s="81"/>
      <c r="H11" s="81"/>
      <c r="I11" s="81"/>
      <c r="J11" s="81"/>
      <c r="K11" s="81"/>
      <c r="L11" s="81"/>
      <c r="M11" s="81"/>
      <c r="N11" s="81"/>
    </row>
    <row r="12">
      <c r="A12" s="39" t="s">
        <v>1435</v>
      </c>
      <c r="B12" s="39" t="s">
        <v>3634</v>
      </c>
      <c r="C12" s="115" t="s">
        <v>3653</v>
      </c>
      <c r="D12" s="81">
        <v>23.0</v>
      </c>
      <c r="E12" s="116" t="s">
        <v>3654</v>
      </c>
      <c r="F12" s="81" t="s">
        <v>3655</v>
      </c>
      <c r="G12" s="81"/>
      <c r="H12" s="81" t="s">
        <v>3656</v>
      </c>
      <c r="I12" s="81"/>
      <c r="J12" s="81"/>
      <c r="K12" s="81"/>
      <c r="L12" s="81"/>
      <c r="M12" s="81"/>
      <c r="N12" s="81"/>
    </row>
    <row r="13">
      <c r="A13" s="39" t="s">
        <v>2731</v>
      </c>
      <c r="B13" s="39" t="s">
        <v>3634</v>
      </c>
      <c r="C13" s="115" t="s">
        <v>3657</v>
      </c>
      <c r="D13" s="81">
        <v>25.0</v>
      </c>
      <c r="E13" s="116"/>
      <c r="F13" s="81"/>
      <c r="G13" s="81"/>
      <c r="H13" s="81"/>
      <c r="I13" s="81"/>
      <c r="J13" s="81"/>
      <c r="K13" s="81"/>
      <c r="L13" s="81"/>
      <c r="M13" s="81"/>
      <c r="N13" s="81"/>
    </row>
    <row r="14">
      <c r="A14" s="39" t="s">
        <v>2734</v>
      </c>
      <c r="B14" s="39" t="s">
        <v>3634</v>
      </c>
      <c r="C14" s="115" t="s">
        <v>3658</v>
      </c>
      <c r="D14" s="81">
        <v>27.0</v>
      </c>
      <c r="E14" s="116"/>
      <c r="F14" s="81"/>
      <c r="G14" s="81"/>
      <c r="H14" s="81"/>
      <c r="I14" s="81"/>
      <c r="J14" s="81"/>
      <c r="K14" s="81"/>
      <c r="L14" s="81"/>
      <c r="M14" s="81"/>
      <c r="N14" s="81"/>
    </row>
    <row r="15">
      <c r="A15" s="39" t="s">
        <v>1462</v>
      </c>
      <c r="B15" s="39" t="s">
        <v>3634</v>
      </c>
      <c r="C15" s="115" t="s">
        <v>3659</v>
      </c>
      <c r="D15" s="81">
        <v>30.0</v>
      </c>
      <c r="E15" s="116"/>
      <c r="F15" s="81" t="s">
        <v>3660</v>
      </c>
      <c r="G15" s="81" t="s">
        <v>3661</v>
      </c>
      <c r="H15" s="81" t="s">
        <v>3650</v>
      </c>
      <c r="I15" s="81"/>
      <c r="J15" s="81" t="s">
        <v>3662</v>
      </c>
      <c r="K15" s="81"/>
      <c r="L15" s="81"/>
      <c r="M15" s="81"/>
      <c r="N15" s="81"/>
    </row>
    <row r="16">
      <c r="A16" s="41" t="s">
        <v>3663</v>
      </c>
      <c r="B16" s="39" t="s">
        <v>1280</v>
      </c>
      <c r="C16" s="117" t="s">
        <v>3664</v>
      </c>
      <c r="D16" s="81">
        <v>3.0</v>
      </c>
      <c r="E16" s="118" t="s">
        <v>3665</v>
      </c>
      <c r="F16" s="119"/>
      <c r="G16" s="71"/>
      <c r="H16" s="119"/>
      <c r="I16" s="71"/>
      <c r="J16" s="119"/>
      <c r="K16" s="71"/>
      <c r="L16" s="71"/>
      <c r="M16" s="71"/>
      <c r="N16" s="71"/>
    </row>
    <row r="17">
      <c r="A17" s="39" t="s">
        <v>3666</v>
      </c>
      <c r="B17" s="39" t="s">
        <v>1280</v>
      </c>
      <c r="C17" s="117" t="s">
        <v>3667</v>
      </c>
      <c r="D17" s="81">
        <v>6.0</v>
      </c>
      <c r="E17" s="116" t="s">
        <v>3668</v>
      </c>
      <c r="F17" s="119" t="s">
        <v>3669</v>
      </c>
      <c r="G17" s="71"/>
      <c r="H17" s="119" t="s">
        <v>3670</v>
      </c>
      <c r="I17" s="71"/>
      <c r="J17" s="119" t="s">
        <v>3671</v>
      </c>
      <c r="K17" s="71"/>
      <c r="L17" s="71"/>
      <c r="M17" s="71"/>
      <c r="N17" s="71"/>
    </row>
    <row r="18">
      <c r="A18" s="41" t="s">
        <v>3672</v>
      </c>
      <c r="B18" s="39" t="s">
        <v>1280</v>
      </c>
      <c r="C18" s="115" t="s">
        <v>3673</v>
      </c>
      <c r="D18" s="81">
        <v>9.0</v>
      </c>
      <c r="E18" s="116" t="s">
        <v>3674</v>
      </c>
      <c r="F18" s="119" t="s">
        <v>3675</v>
      </c>
      <c r="G18" s="71"/>
      <c r="H18" s="119" t="s">
        <v>3670</v>
      </c>
      <c r="I18" s="71"/>
      <c r="J18" s="119" t="s">
        <v>3671</v>
      </c>
      <c r="K18" s="71"/>
      <c r="L18" s="71"/>
      <c r="M18" s="71"/>
      <c r="N18" s="71"/>
    </row>
    <row r="19">
      <c r="A19" s="39" t="s">
        <v>3676</v>
      </c>
      <c r="B19" s="39" t="s">
        <v>1280</v>
      </c>
      <c r="C19" s="115" t="s">
        <v>3677</v>
      </c>
      <c r="D19" s="81">
        <v>12.0</v>
      </c>
      <c r="E19" s="116" t="s">
        <v>3678</v>
      </c>
      <c r="F19" s="71"/>
      <c r="G19" s="71"/>
      <c r="H19" s="71"/>
      <c r="I19" s="71"/>
      <c r="J19" s="71"/>
      <c r="K19" s="71"/>
      <c r="L19" s="71"/>
      <c r="M19" s="71"/>
      <c r="N19" s="71"/>
    </row>
    <row r="20">
      <c r="A20" s="39" t="s">
        <v>3679</v>
      </c>
      <c r="B20" s="39" t="s">
        <v>1280</v>
      </c>
      <c r="C20" s="115" t="s">
        <v>3680</v>
      </c>
      <c r="D20" s="81">
        <v>15.0</v>
      </c>
      <c r="E20" s="116" t="s">
        <v>3681</v>
      </c>
      <c r="F20" s="71"/>
      <c r="G20" s="71"/>
      <c r="H20" s="71"/>
      <c r="I20" s="71"/>
      <c r="J20" s="71"/>
      <c r="K20" s="71"/>
      <c r="L20" s="71"/>
      <c r="M20" s="71"/>
      <c r="N20" s="71"/>
    </row>
    <row r="21">
      <c r="A21" s="39" t="s">
        <v>3682</v>
      </c>
      <c r="B21" s="39" t="s">
        <v>1280</v>
      </c>
      <c r="C21" s="115" t="s">
        <v>3683</v>
      </c>
      <c r="D21" s="81">
        <v>18.0</v>
      </c>
      <c r="E21" s="116" t="s">
        <v>3684</v>
      </c>
      <c r="F21" s="119" t="s">
        <v>3685</v>
      </c>
      <c r="G21" s="71"/>
      <c r="H21" s="119" t="s">
        <v>3650</v>
      </c>
      <c r="I21" s="119" t="s">
        <v>3686</v>
      </c>
      <c r="J21" s="119" t="s">
        <v>3662</v>
      </c>
      <c r="K21" s="71"/>
      <c r="L21" s="71"/>
      <c r="M21" s="71"/>
      <c r="N21" s="71"/>
    </row>
    <row r="22">
      <c r="A22" s="39" t="s">
        <v>3687</v>
      </c>
      <c r="B22" s="39" t="s">
        <v>1280</v>
      </c>
      <c r="C22" s="115" t="s">
        <v>3688</v>
      </c>
      <c r="D22" s="81">
        <v>21.0</v>
      </c>
      <c r="E22" s="116" t="s">
        <v>3689</v>
      </c>
      <c r="F22" s="119" t="s">
        <v>3685</v>
      </c>
      <c r="G22" s="71"/>
      <c r="H22" s="119" t="s">
        <v>3650</v>
      </c>
      <c r="I22" s="71"/>
      <c r="J22" s="119" t="s">
        <v>3662</v>
      </c>
      <c r="K22" s="71"/>
      <c r="L22" s="71"/>
      <c r="M22" s="71"/>
      <c r="N22" s="71"/>
    </row>
    <row r="23">
      <c r="A23" s="39" t="s">
        <v>3690</v>
      </c>
      <c r="B23" s="39" t="s">
        <v>1280</v>
      </c>
      <c r="C23" s="115" t="s">
        <v>3691</v>
      </c>
      <c r="D23" s="81">
        <v>24.0</v>
      </c>
      <c r="E23" s="116" t="s">
        <v>3692</v>
      </c>
      <c r="F23" s="119" t="s">
        <v>3685</v>
      </c>
      <c r="G23" s="71"/>
      <c r="H23" s="119" t="s">
        <v>3650</v>
      </c>
      <c r="I23" s="119" t="s">
        <v>3686</v>
      </c>
      <c r="J23" s="119" t="s">
        <v>3662</v>
      </c>
      <c r="K23" s="71"/>
      <c r="L23" s="71"/>
      <c r="M23" s="71"/>
      <c r="N23" s="71"/>
    </row>
    <row r="24">
      <c r="A24" s="39" t="s">
        <v>3693</v>
      </c>
      <c r="B24" s="39" t="s">
        <v>1280</v>
      </c>
      <c r="C24" s="115" t="s">
        <v>3694</v>
      </c>
      <c r="D24" s="81">
        <v>27.0</v>
      </c>
      <c r="E24" s="116" t="s">
        <v>3695</v>
      </c>
      <c r="F24" s="119" t="s">
        <v>3696</v>
      </c>
      <c r="G24" s="119" t="s">
        <v>3648</v>
      </c>
      <c r="H24" s="119" t="s">
        <v>3650</v>
      </c>
      <c r="I24" s="119" t="s">
        <v>3686</v>
      </c>
      <c r="J24" s="119" t="s">
        <v>3662</v>
      </c>
      <c r="K24" s="71"/>
      <c r="L24" s="71"/>
      <c r="M24" s="71"/>
      <c r="N24" s="71"/>
    </row>
    <row r="25">
      <c r="A25" s="39" t="s">
        <v>3697</v>
      </c>
      <c r="B25" s="39" t="s">
        <v>1280</v>
      </c>
      <c r="C25" s="117" t="s">
        <v>3698</v>
      </c>
      <c r="D25" s="81">
        <v>30.0</v>
      </c>
      <c r="E25" s="116" t="s">
        <v>3699</v>
      </c>
      <c r="F25" s="119" t="s">
        <v>3700</v>
      </c>
      <c r="G25" s="71"/>
      <c r="H25" s="119" t="s">
        <v>3650</v>
      </c>
      <c r="I25" s="119" t="s">
        <v>3686</v>
      </c>
      <c r="J25" s="119" t="s">
        <v>3662</v>
      </c>
      <c r="K25" s="71"/>
      <c r="L25" s="71"/>
      <c r="M25" s="71"/>
      <c r="N25" s="71"/>
    </row>
    <row r="26">
      <c r="A26" s="39" t="s">
        <v>3701</v>
      </c>
      <c r="B26" s="39" t="s">
        <v>1280</v>
      </c>
      <c r="C26" s="117" t="s">
        <v>3702</v>
      </c>
      <c r="D26" s="81">
        <v>33.0</v>
      </c>
      <c r="E26" s="116" t="s">
        <v>3703</v>
      </c>
      <c r="F26" s="119" t="s">
        <v>3704</v>
      </c>
      <c r="G26" s="71"/>
      <c r="H26" s="119" t="s">
        <v>3705</v>
      </c>
      <c r="I26" s="119" t="s">
        <v>3706</v>
      </c>
      <c r="J26" s="119" t="s">
        <v>3707</v>
      </c>
      <c r="K26" s="71"/>
      <c r="L26" s="71"/>
      <c r="M26" s="71"/>
      <c r="N26" s="71"/>
    </row>
    <row r="27">
      <c r="A27" s="39" t="s">
        <v>3708</v>
      </c>
      <c r="B27" s="39" t="s">
        <v>1280</v>
      </c>
      <c r="C27" s="117" t="s">
        <v>3709</v>
      </c>
      <c r="D27" s="81">
        <v>35.0</v>
      </c>
      <c r="E27" s="116" t="s">
        <v>3710</v>
      </c>
      <c r="F27" s="119" t="s">
        <v>3711</v>
      </c>
      <c r="G27" s="71"/>
      <c r="H27" s="119" t="s">
        <v>3656</v>
      </c>
      <c r="I27" s="119" t="s">
        <v>3712</v>
      </c>
      <c r="J27" s="119" t="s">
        <v>3707</v>
      </c>
      <c r="K27" s="71"/>
      <c r="L27" s="71"/>
      <c r="M27" s="71"/>
      <c r="N27" s="71"/>
    </row>
    <row r="28">
      <c r="A28" s="39" t="s">
        <v>3713</v>
      </c>
      <c r="B28" s="39" t="s">
        <v>3714</v>
      </c>
      <c r="C28" s="117" t="s">
        <v>3715</v>
      </c>
      <c r="D28" s="77">
        <v>6.0</v>
      </c>
      <c r="E28" s="116" t="s">
        <v>3716</v>
      </c>
      <c r="F28" s="119" t="s">
        <v>3717</v>
      </c>
      <c r="G28" s="119"/>
      <c r="H28" s="119" t="s">
        <v>3670</v>
      </c>
      <c r="I28" s="119" t="s">
        <v>3718</v>
      </c>
      <c r="J28" s="119" t="s">
        <v>3671</v>
      </c>
      <c r="K28" s="71"/>
      <c r="L28" s="71"/>
      <c r="M28" s="71"/>
      <c r="N28" s="71"/>
    </row>
    <row r="29">
      <c r="A29" s="39" t="s">
        <v>3719</v>
      </c>
      <c r="B29" s="39" t="s">
        <v>3714</v>
      </c>
      <c r="C29" s="117" t="s">
        <v>3720</v>
      </c>
      <c r="D29" s="77">
        <v>9.0</v>
      </c>
      <c r="E29" s="116" t="s">
        <v>3721</v>
      </c>
      <c r="F29" s="119" t="s">
        <v>3642</v>
      </c>
      <c r="G29" s="119"/>
      <c r="H29" s="119" t="s">
        <v>3670</v>
      </c>
      <c r="I29" s="119"/>
      <c r="J29" s="119" t="s">
        <v>3671</v>
      </c>
      <c r="K29" s="71"/>
      <c r="L29" s="71"/>
      <c r="M29" s="71"/>
      <c r="N29" s="71"/>
    </row>
    <row r="30">
      <c r="A30" s="39" t="s">
        <v>2699</v>
      </c>
      <c r="B30" s="39" t="s">
        <v>3714</v>
      </c>
      <c r="C30" s="117" t="s">
        <v>3722</v>
      </c>
      <c r="D30" s="77">
        <v>10.0</v>
      </c>
      <c r="E30" s="116" t="s">
        <v>3723</v>
      </c>
      <c r="F30" s="119" t="s">
        <v>3669</v>
      </c>
      <c r="G30" s="119" t="s">
        <v>3642</v>
      </c>
      <c r="H30" s="119" t="s">
        <v>3670</v>
      </c>
      <c r="I30" s="119" t="s">
        <v>3718</v>
      </c>
      <c r="J30" s="119" t="s">
        <v>3671</v>
      </c>
      <c r="K30" s="71"/>
      <c r="L30" s="71"/>
      <c r="M30" s="71"/>
      <c r="N30" s="71"/>
    </row>
    <row r="31">
      <c r="A31" s="39" t="s">
        <v>3724</v>
      </c>
      <c r="B31" s="39" t="s">
        <v>3714</v>
      </c>
      <c r="C31" s="117" t="s">
        <v>3725</v>
      </c>
      <c r="D31" s="77">
        <v>12.0</v>
      </c>
      <c r="E31" s="116" t="s">
        <v>3726</v>
      </c>
      <c r="F31" s="119" t="s">
        <v>3641</v>
      </c>
      <c r="G31" s="119" t="s">
        <v>3649</v>
      </c>
      <c r="H31" s="119" t="s">
        <v>3643</v>
      </c>
      <c r="I31" s="119" t="s">
        <v>3727</v>
      </c>
      <c r="J31" s="119" t="s">
        <v>3644</v>
      </c>
      <c r="K31" s="71"/>
      <c r="L31" s="71"/>
      <c r="M31" s="71"/>
      <c r="N31" s="71"/>
    </row>
    <row r="32">
      <c r="A32" s="41" t="s">
        <v>2702</v>
      </c>
      <c r="B32" s="39" t="s">
        <v>3714</v>
      </c>
      <c r="C32" s="117" t="s">
        <v>3728</v>
      </c>
      <c r="D32" s="81">
        <v>15.0</v>
      </c>
      <c r="E32" s="116" t="s">
        <v>3729</v>
      </c>
      <c r="F32" s="119" t="s">
        <v>3641</v>
      </c>
      <c r="G32" s="119" t="s">
        <v>3649</v>
      </c>
      <c r="H32" s="119" t="s">
        <v>3643</v>
      </c>
      <c r="I32" s="119" t="s">
        <v>3727</v>
      </c>
      <c r="J32" s="119" t="s">
        <v>3644</v>
      </c>
      <c r="K32" s="71"/>
      <c r="L32" s="71"/>
      <c r="M32" s="71"/>
      <c r="N32" s="71"/>
    </row>
    <row r="33">
      <c r="A33" s="39" t="s">
        <v>3730</v>
      </c>
      <c r="B33" s="39" t="s">
        <v>3714</v>
      </c>
      <c r="C33" s="117" t="s">
        <v>3731</v>
      </c>
      <c r="D33" s="77">
        <v>18.0</v>
      </c>
      <c r="E33" s="116" t="s">
        <v>3732</v>
      </c>
      <c r="F33" s="119" t="s">
        <v>3685</v>
      </c>
      <c r="G33" s="81"/>
      <c r="H33" s="119" t="s">
        <v>3650</v>
      </c>
      <c r="I33" s="81" t="s">
        <v>3686</v>
      </c>
      <c r="J33" s="119" t="s">
        <v>3662</v>
      </c>
      <c r="K33" s="71"/>
      <c r="L33" s="71"/>
      <c r="M33" s="71"/>
      <c r="N33" s="71"/>
    </row>
    <row r="34">
      <c r="A34" s="39" t="s">
        <v>2705</v>
      </c>
      <c r="B34" s="39" t="s">
        <v>3714</v>
      </c>
      <c r="C34" s="115" t="s">
        <v>3733</v>
      </c>
      <c r="D34" s="81">
        <v>21.0</v>
      </c>
      <c r="E34" s="116" t="s">
        <v>3734</v>
      </c>
      <c r="F34" s="119" t="s">
        <v>3648</v>
      </c>
      <c r="G34" s="81" t="s">
        <v>3661</v>
      </c>
      <c r="H34" s="119" t="s">
        <v>3650</v>
      </c>
      <c r="I34" s="81" t="s">
        <v>3686</v>
      </c>
      <c r="J34" s="119" t="s">
        <v>3662</v>
      </c>
      <c r="K34" s="71"/>
      <c r="L34" s="71"/>
      <c r="M34" s="71"/>
      <c r="N34" s="71"/>
    </row>
    <row r="35">
      <c r="A35" s="39" t="s">
        <v>3735</v>
      </c>
      <c r="B35" s="39" t="s">
        <v>3714</v>
      </c>
      <c r="C35" s="115" t="s">
        <v>3736</v>
      </c>
      <c r="D35" s="81">
        <v>24.0</v>
      </c>
      <c r="E35" s="116" t="s">
        <v>3737</v>
      </c>
      <c r="F35" s="119" t="s">
        <v>3655</v>
      </c>
      <c r="G35" s="71"/>
      <c r="H35" s="119" t="s">
        <v>3656</v>
      </c>
      <c r="I35" s="81" t="s">
        <v>3712</v>
      </c>
      <c r="J35" s="119" t="s">
        <v>3707</v>
      </c>
      <c r="K35" s="71"/>
      <c r="L35" s="71"/>
      <c r="M35" s="71"/>
      <c r="N35" s="71"/>
    </row>
    <row r="36">
      <c r="A36" s="39" t="s">
        <v>3738</v>
      </c>
      <c r="B36" s="39" t="s">
        <v>3714</v>
      </c>
      <c r="C36" s="115" t="s">
        <v>3739</v>
      </c>
      <c r="D36" s="81">
        <v>27.0</v>
      </c>
      <c r="E36" s="116" t="s">
        <v>3740</v>
      </c>
      <c r="F36" s="119" t="s">
        <v>3741</v>
      </c>
      <c r="G36" s="81" t="s">
        <v>3661</v>
      </c>
      <c r="H36" s="119" t="s">
        <v>3650</v>
      </c>
      <c r="I36" s="81" t="s">
        <v>3686</v>
      </c>
      <c r="J36" s="119" t="s">
        <v>3662</v>
      </c>
      <c r="K36" s="71"/>
      <c r="L36" s="71"/>
      <c r="M36" s="71"/>
      <c r="N36" s="71"/>
    </row>
    <row r="37">
      <c r="A37" s="39" t="s">
        <v>2708</v>
      </c>
      <c r="B37" s="39" t="s">
        <v>3714</v>
      </c>
      <c r="C37" s="115" t="s">
        <v>3742</v>
      </c>
      <c r="D37" s="81">
        <v>28.0</v>
      </c>
      <c r="E37" s="116" t="s">
        <v>3743</v>
      </c>
      <c r="F37" s="119" t="s">
        <v>3648</v>
      </c>
      <c r="G37" s="81" t="s">
        <v>3661</v>
      </c>
      <c r="H37" s="119" t="s">
        <v>3650</v>
      </c>
      <c r="I37" s="81" t="s">
        <v>3686</v>
      </c>
      <c r="J37" s="119" t="s">
        <v>3662</v>
      </c>
      <c r="K37" s="71"/>
      <c r="L37" s="71"/>
      <c r="M37" s="71"/>
      <c r="N37" s="71"/>
    </row>
    <row r="38">
      <c r="A38" s="39" t="s">
        <v>3744</v>
      </c>
      <c r="B38" s="39" t="s">
        <v>3714</v>
      </c>
      <c r="C38" s="115" t="s">
        <v>3745</v>
      </c>
      <c r="D38" s="81">
        <v>30.0</v>
      </c>
      <c r="E38" s="116" t="s">
        <v>3746</v>
      </c>
      <c r="F38" s="119" t="s">
        <v>3660</v>
      </c>
      <c r="G38" s="81" t="s">
        <v>3661</v>
      </c>
      <c r="H38" s="119" t="s">
        <v>3650</v>
      </c>
      <c r="I38" s="81" t="s">
        <v>3686</v>
      </c>
      <c r="J38" s="119" t="s">
        <v>3662</v>
      </c>
      <c r="K38" s="71"/>
      <c r="L38" s="71"/>
      <c r="M38" s="71"/>
      <c r="N38" s="71"/>
    </row>
    <row r="39">
      <c r="A39" s="39" t="s">
        <v>2711</v>
      </c>
      <c r="B39" s="39" t="s">
        <v>3714</v>
      </c>
      <c r="C39" s="115" t="s">
        <v>3747</v>
      </c>
      <c r="D39" s="81">
        <v>35.0</v>
      </c>
      <c r="E39" s="116" t="s">
        <v>3748</v>
      </c>
      <c r="F39" s="119"/>
      <c r="G39" s="81"/>
      <c r="H39" s="119" t="s">
        <v>3749</v>
      </c>
      <c r="I39" s="81"/>
      <c r="J39" s="119" t="s">
        <v>3707</v>
      </c>
      <c r="K39" s="71"/>
      <c r="L39" s="71"/>
      <c r="M39" s="71"/>
      <c r="N39" s="71"/>
    </row>
    <row r="40">
      <c r="A40" s="39"/>
      <c r="B40" s="39"/>
      <c r="C40" s="115"/>
      <c r="D40" s="81"/>
      <c r="E40" s="116"/>
      <c r="F40" s="119"/>
      <c r="G40" s="81"/>
      <c r="H40" s="119"/>
      <c r="I40" s="81"/>
      <c r="J40" s="119"/>
      <c r="K40" s="71"/>
      <c r="L40" s="71"/>
      <c r="M40" s="71"/>
      <c r="N40" s="71"/>
    </row>
    <row r="41">
      <c r="A41" s="39"/>
      <c r="B41" s="39"/>
      <c r="C41" s="115"/>
      <c r="D41" s="81"/>
      <c r="E41" s="116"/>
      <c r="F41" s="119"/>
      <c r="G41" s="81"/>
      <c r="H41" s="119"/>
      <c r="I41" s="81"/>
      <c r="J41" s="119"/>
      <c r="K41" s="71"/>
      <c r="L41" s="71"/>
      <c r="M41" s="71"/>
      <c r="N41" s="71"/>
    </row>
    <row r="42">
      <c r="A42" s="39"/>
      <c r="B42" s="39"/>
      <c r="C42" s="115"/>
      <c r="D42" s="81"/>
      <c r="E42" s="116"/>
      <c r="F42" s="119"/>
      <c r="G42" s="81"/>
      <c r="H42" s="119"/>
      <c r="I42" s="81"/>
      <c r="J42" s="119"/>
      <c r="K42" s="71"/>
      <c r="L42" s="71"/>
      <c r="M42" s="71"/>
      <c r="N42" s="71"/>
    </row>
    <row r="43">
      <c r="A43" s="39" t="s">
        <v>1477</v>
      </c>
      <c r="B43" s="39" t="s">
        <v>3750</v>
      </c>
      <c r="C43" s="115" t="s">
        <v>2742</v>
      </c>
      <c r="D43" s="81">
        <v>10.0</v>
      </c>
      <c r="E43" s="116" t="s">
        <v>3751</v>
      </c>
      <c r="F43" s="119"/>
      <c r="G43" s="71"/>
      <c r="H43" s="119"/>
      <c r="I43" s="71"/>
      <c r="J43" s="119"/>
      <c r="K43" s="71"/>
      <c r="L43" s="71"/>
      <c r="M43" s="71"/>
      <c r="N43" s="71"/>
    </row>
    <row r="44">
      <c r="A44" s="39" t="s">
        <v>2741</v>
      </c>
      <c r="B44" s="39" t="s">
        <v>3750</v>
      </c>
      <c r="C44" s="115" t="s">
        <v>3752</v>
      </c>
      <c r="D44" s="81">
        <v>20.0</v>
      </c>
      <c r="E44" s="116" t="s">
        <v>3753</v>
      </c>
      <c r="F44" s="119"/>
      <c r="G44" s="71"/>
      <c r="H44" s="119"/>
      <c r="I44" s="71"/>
      <c r="J44" s="119"/>
      <c r="K44" s="71"/>
      <c r="L44" s="71"/>
      <c r="M44" s="71"/>
      <c r="N44" s="71"/>
    </row>
    <row r="45">
      <c r="A45" s="39" t="s">
        <v>2744</v>
      </c>
      <c r="B45" s="39" t="s">
        <v>3750</v>
      </c>
      <c r="C45" s="115" t="s">
        <v>3754</v>
      </c>
      <c r="D45" s="81">
        <v>30.0</v>
      </c>
      <c r="E45" s="116" t="s">
        <v>3753</v>
      </c>
      <c r="F45" s="119"/>
      <c r="G45" s="71"/>
      <c r="H45" s="119"/>
      <c r="I45" s="71"/>
      <c r="J45" s="119"/>
      <c r="K45" s="71"/>
      <c r="L45" s="71"/>
      <c r="M45" s="71"/>
      <c r="N45" s="71"/>
    </row>
    <row r="46">
      <c r="A46" s="39" t="s">
        <v>1479</v>
      </c>
      <c r="B46" s="39" t="s">
        <v>3750</v>
      </c>
      <c r="C46" s="115" t="s">
        <v>2751</v>
      </c>
      <c r="D46" s="81">
        <v>10.0</v>
      </c>
      <c r="E46" s="116" t="s">
        <v>3755</v>
      </c>
      <c r="F46" s="119"/>
      <c r="G46" s="71"/>
      <c r="H46" s="119"/>
      <c r="I46" s="71"/>
      <c r="J46" s="119"/>
      <c r="K46" s="71"/>
      <c r="L46" s="71"/>
      <c r="M46" s="71"/>
      <c r="N46" s="71"/>
    </row>
    <row r="47">
      <c r="A47" s="39" t="s">
        <v>2750</v>
      </c>
      <c r="B47" s="39" t="s">
        <v>3750</v>
      </c>
      <c r="C47" s="115" t="s">
        <v>3756</v>
      </c>
      <c r="D47" s="81">
        <v>20.0</v>
      </c>
      <c r="E47" s="116" t="s">
        <v>3757</v>
      </c>
      <c r="F47" s="119"/>
      <c r="G47" s="71"/>
      <c r="H47" s="119"/>
      <c r="I47" s="71"/>
      <c r="J47" s="119"/>
      <c r="K47" s="71"/>
      <c r="L47" s="71"/>
      <c r="M47" s="71"/>
      <c r="N47" s="71"/>
    </row>
    <row r="48">
      <c r="A48" s="39" t="s">
        <v>2753</v>
      </c>
      <c r="B48" s="39" t="s">
        <v>3750</v>
      </c>
      <c r="C48" s="115" t="s">
        <v>3758</v>
      </c>
      <c r="D48" s="81">
        <v>30.0</v>
      </c>
      <c r="E48" s="116" t="s">
        <v>3757</v>
      </c>
      <c r="F48" s="119"/>
      <c r="G48" s="71"/>
      <c r="H48" s="119"/>
      <c r="I48" s="71"/>
      <c r="J48" s="119"/>
      <c r="K48" s="71"/>
      <c r="L48" s="71"/>
      <c r="M48" s="71"/>
      <c r="N48" s="71"/>
    </row>
    <row r="49">
      <c r="A49" s="39" t="s">
        <v>1480</v>
      </c>
      <c r="B49" s="39" t="s">
        <v>3750</v>
      </c>
      <c r="C49" s="115" t="s">
        <v>2760</v>
      </c>
      <c r="D49" s="81">
        <v>10.0</v>
      </c>
      <c r="E49" s="116" t="s">
        <v>3759</v>
      </c>
      <c r="F49" s="119"/>
      <c r="G49" s="71"/>
      <c r="H49" s="119"/>
      <c r="I49" s="71"/>
      <c r="J49" s="119"/>
      <c r="K49" s="71"/>
      <c r="L49" s="71"/>
      <c r="M49" s="71"/>
      <c r="N49" s="71"/>
    </row>
    <row r="50">
      <c r="A50" s="39" t="s">
        <v>2759</v>
      </c>
      <c r="B50" s="39" t="s">
        <v>3750</v>
      </c>
      <c r="C50" s="115" t="s">
        <v>3760</v>
      </c>
      <c r="D50" s="81">
        <v>20.0</v>
      </c>
      <c r="E50" s="116" t="s">
        <v>3761</v>
      </c>
      <c r="F50" s="119"/>
      <c r="G50" s="71"/>
      <c r="H50" s="119"/>
      <c r="I50" s="71"/>
      <c r="J50" s="119"/>
      <c r="K50" s="71"/>
      <c r="L50" s="71"/>
      <c r="M50" s="71"/>
      <c r="N50" s="71"/>
    </row>
    <row r="51">
      <c r="A51" s="39" t="s">
        <v>2762</v>
      </c>
      <c r="B51" s="39" t="s">
        <v>3750</v>
      </c>
      <c r="C51" s="115" t="s">
        <v>3762</v>
      </c>
      <c r="D51" s="81">
        <v>30.0</v>
      </c>
      <c r="E51" s="116" t="s">
        <v>3761</v>
      </c>
      <c r="F51" s="119"/>
      <c r="G51" s="71"/>
      <c r="H51" s="119"/>
      <c r="I51" s="71"/>
      <c r="J51" s="119"/>
      <c r="K51" s="71"/>
      <c r="L51" s="71"/>
      <c r="M51" s="71"/>
      <c r="N51" s="71"/>
    </row>
    <row r="52">
      <c r="A52" s="39" t="s">
        <v>1489</v>
      </c>
      <c r="B52" s="39" t="s">
        <v>3750</v>
      </c>
      <c r="C52" s="115" t="s">
        <v>2769</v>
      </c>
      <c r="D52" s="81">
        <v>10.0</v>
      </c>
      <c r="E52" s="116" t="s">
        <v>3763</v>
      </c>
      <c r="F52" s="119"/>
      <c r="G52" s="71"/>
      <c r="H52" s="119"/>
      <c r="I52" s="71"/>
      <c r="J52" s="119"/>
      <c r="K52" s="71"/>
      <c r="L52" s="71"/>
      <c r="M52" s="71"/>
      <c r="N52" s="71"/>
    </row>
    <row r="53">
      <c r="A53" s="39" t="s">
        <v>2768</v>
      </c>
      <c r="B53" s="39" t="s">
        <v>3750</v>
      </c>
      <c r="C53" s="115" t="s">
        <v>3764</v>
      </c>
      <c r="D53" s="81">
        <v>20.0</v>
      </c>
      <c r="E53" s="116" t="s">
        <v>3765</v>
      </c>
      <c r="F53" s="119"/>
      <c r="G53" s="71"/>
      <c r="H53" s="119"/>
      <c r="I53" s="71"/>
      <c r="J53" s="119"/>
      <c r="K53" s="71"/>
      <c r="L53" s="71"/>
      <c r="M53" s="71"/>
      <c r="N53" s="71"/>
    </row>
    <row r="54">
      <c r="A54" s="39" t="s">
        <v>2771</v>
      </c>
      <c r="B54" s="39" t="s">
        <v>3750</v>
      </c>
      <c r="C54" s="115" t="s">
        <v>3766</v>
      </c>
      <c r="D54" s="81">
        <v>30.0</v>
      </c>
      <c r="E54" s="116" t="s">
        <v>3765</v>
      </c>
      <c r="F54" s="119"/>
      <c r="G54" s="71"/>
      <c r="H54" s="119"/>
      <c r="I54" s="71"/>
      <c r="J54" s="119"/>
      <c r="K54" s="71"/>
      <c r="L54" s="71"/>
      <c r="M54" s="71"/>
      <c r="N54" s="71"/>
    </row>
    <row r="55">
      <c r="A55" s="39" t="s">
        <v>1491</v>
      </c>
      <c r="B55" s="39" t="s">
        <v>3750</v>
      </c>
      <c r="C55" s="115" t="s">
        <v>2778</v>
      </c>
      <c r="D55" s="81">
        <v>10.0</v>
      </c>
      <c r="E55" s="116" t="s">
        <v>3767</v>
      </c>
      <c r="F55" s="119"/>
      <c r="G55" s="71"/>
      <c r="H55" s="119"/>
      <c r="I55" s="71"/>
      <c r="J55" s="119"/>
      <c r="K55" s="71"/>
      <c r="L55" s="71"/>
      <c r="M55" s="71"/>
      <c r="N55" s="71"/>
    </row>
    <row r="56">
      <c r="A56" s="39" t="s">
        <v>2777</v>
      </c>
      <c r="B56" s="39" t="s">
        <v>3750</v>
      </c>
      <c r="C56" s="115" t="s">
        <v>3768</v>
      </c>
      <c r="D56" s="81">
        <v>20.0</v>
      </c>
      <c r="E56" s="116" t="s">
        <v>3769</v>
      </c>
      <c r="F56" s="119"/>
      <c r="G56" s="71"/>
      <c r="H56" s="119"/>
      <c r="I56" s="71"/>
      <c r="J56" s="119"/>
      <c r="K56" s="71"/>
      <c r="L56" s="71"/>
      <c r="M56" s="71"/>
      <c r="N56" s="71"/>
    </row>
    <row r="57">
      <c r="A57" s="39" t="s">
        <v>2780</v>
      </c>
      <c r="B57" s="39" t="s">
        <v>3750</v>
      </c>
      <c r="C57" s="115" t="s">
        <v>3770</v>
      </c>
      <c r="D57" s="81">
        <v>30.0</v>
      </c>
      <c r="E57" s="116" t="s">
        <v>3769</v>
      </c>
      <c r="F57" s="119"/>
      <c r="G57" s="71"/>
      <c r="H57" s="119"/>
      <c r="I57" s="71"/>
      <c r="J57" s="119"/>
      <c r="K57" s="71"/>
      <c r="L57" s="71"/>
      <c r="M57" s="71"/>
      <c r="N57" s="71"/>
    </row>
    <row r="58">
      <c r="A58" s="39" t="s">
        <v>3771</v>
      </c>
      <c r="B58" s="39" t="s">
        <v>3750</v>
      </c>
      <c r="C58" s="115" t="s">
        <v>3772</v>
      </c>
      <c r="D58" s="81">
        <v>15.0</v>
      </c>
      <c r="E58" s="116" t="s">
        <v>3773</v>
      </c>
      <c r="F58" s="119" t="s">
        <v>3641</v>
      </c>
      <c r="G58" s="71"/>
      <c r="H58" s="119" t="s">
        <v>3670</v>
      </c>
      <c r="I58" s="71"/>
      <c r="J58" s="119" t="s">
        <v>3671</v>
      </c>
      <c r="K58" s="71"/>
      <c r="L58" s="71"/>
      <c r="M58" s="71"/>
      <c r="N58" s="71"/>
    </row>
    <row r="59">
      <c r="A59" s="39" t="s">
        <v>3774</v>
      </c>
      <c r="B59" s="39" t="s">
        <v>3750</v>
      </c>
      <c r="C59" s="115" t="s">
        <v>3775</v>
      </c>
      <c r="D59" s="81">
        <v>15.0</v>
      </c>
      <c r="E59" s="116" t="s">
        <v>3776</v>
      </c>
      <c r="F59" s="119" t="s">
        <v>3641</v>
      </c>
      <c r="G59" s="81" t="s">
        <v>3649</v>
      </c>
      <c r="H59" s="119" t="s">
        <v>3643</v>
      </c>
      <c r="I59" s="71"/>
      <c r="J59" s="119" t="s">
        <v>3644</v>
      </c>
      <c r="K59" s="71"/>
      <c r="L59" s="71"/>
      <c r="M59" s="71"/>
      <c r="N59" s="71"/>
    </row>
    <row r="60">
      <c r="A60" s="39" t="s">
        <v>3777</v>
      </c>
      <c r="B60" s="39" t="s">
        <v>3750</v>
      </c>
      <c r="C60" s="115" t="s">
        <v>3778</v>
      </c>
      <c r="D60" s="81">
        <v>15.0</v>
      </c>
      <c r="E60" s="116" t="s">
        <v>3779</v>
      </c>
      <c r="F60" s="119" t="s">
        <v>3641</v>
      </c>
      <c r="G60" s="71"/>
      <c r="H60" s="119" t="s">
        <v>3670</v>
      </c>
      <c r="I60" s="71"/>
      <c r="J60" s="119" t="s">
        <v>3671</v>
      </c>
      <c r="K60" s="71"/>
      <c r="L60" s="71"/>
      <c r="M60" s="71"/>
      <c r="N60" s="71"/>
    </row>
    <row r="61">
      <c r="A61" s="39" t="s">
        <v>3780</v>
      </c>
      <c r="B61" s="39" t="s">
        <v>3750</v>
      </c>
      <c r="C61" s="115" t="s">
        <v>3781</v>
      </c>
      <c r="D61" s="81">
        <v>15.0</v>
      </c>
      <c r="E61" s="116" t="s">
        <v>3782</v>
      </c>
      <c r="F61" s="119" t="s">
        <v>3641</v>
      </c>
      <c r="G61" s="81" t="s">
        <v>3649</v>
      </c>
      <c r="H61" s="119" t="s">
        <v>3643</v>
      </c>
      <c r="I61" s="71"/>
      <c r="J61" s="119" t="s">
        <v>3644</v>
      </c>
      <c r="K61" s="71"/>
      <c r="L61" s="71"/>
      <c r="M61" s="71"/>
      <c r="N61" s="71"/>
    </row>
    <row r="62">
      <c r="A62" s="39" t="s">
        <v>3783</v>
      </c>
      <c r="B62" s="39" t="s">
        <v>3750</v>
      </c>
      <c r="C62" s="115" t="s">
        <v>3784</v>
      </c>
      <c r="D62" s="81">
        <v>15.0</v>
      </c>
      <c r="E62" s="116" t="s">
        <v>3785</v>
      </c>
      <c r="F62" s="119" t="s">
        <v>3717</v>
      </c>
      <c r="G62" s="71"/>
      <c r="H62" s="119" t="s">
        <v>3786</v>
      </c>
      <c r="I62" s="71"/>
      <c r="J62" s="119" t="s">
        <v>3671</v>
      </c>
      <c r="K62" s="71"/>
      <c r="L62" s="71"/>
      <c r="M62" s="71"/>
      <c r="N62" s="71"/>
    </row>
    <row r="63">
      <c r="A63" s="39" t="s">
        <v>3787</v>
      </c>
      <c r="B63" s="39" t="s">
        <v>3750</v>
      </c>
      <c r="C63" s="115" t="s">
        <v>3788</v>
      </c>
      <c r="D63" s="81">
        <v>25.0</v>
      </c>
      <c r="E63" s="116" t="s">
        <v>3789</v>
      </c>
      <c r="F63" s="119" t="s">
        <v>3648</v>
      </c>
      <c r="G63" s="71"/>
      <c r="H63" s="119" t="s">
        <v>3705</v>
      </c>
      <c r="I63" s="71"/>
      <c r="J63" s="119" t="s">
        <v>3707</v>
      </c>
      <c r="K63" s="71"/>
      <c r="L63" s="71"/>
      <c r="M63" s="71"/>
      <c r="N63" s="71"/>
    </row>
    <row r="64">
      <c r="A64" s="39" t="s">
        <v>3790</v>
      </c>
      <c r="B64" s="39" t="s">
        <v>3750</v>
      </c>
      <c r="C64" s="115" t="s">
        <v>3791</v>
      </c>
      <c r="D64" s="81">
        <v>25.0</v>
      </c>
      <c r="E64" s="116" t="s">
        <v>3792</v>
      </c>
      <c r="F64" s="119" t="s">
        <v>3648</v>
      </c>
      <c r="G64" s="81" t="s">
        <v>3661</v>
      </c>
      <c r="H64" s="119" t="s">
        <v>3650</v>
      </c>
      <c r="I64" s="71"/>
      <c r="J64" s="119" t="s">
        <v>3662</v>
      </c>
      <c r="K64" s="71"/>
      <c r="L64" s="71"/>
      <c r="M64" s="71"/>
      <c r="N64" s="71"/>
    </row>
    <row r="65">
      <c r="A65" s="39" t="s">
        <v>3793</v>
      </c>
      <c r="B65" s="39" t="s">
        <v>3750</v>
      </c>
      <c r="C65" s="115" t="s">
        <v>3794</v>
      </c>
      <c r="D65" s="81">
        <v>25.0</v>
      </c>
      <c r="E65" s="116" t="s">
        <v>3795</v>
      </c>
      <c r="F65" s="119" t="s">
        <v>3648</v>
      </c>
      <c r="G65" s="71"/>
      <c r="H65" s="119" t="s">
        <v>3705</v>
      </c>
      <c r="I65" s="71"/>
      <c r="J65" s="119" t="s">
        <v>3707</v>
      </c>
      <c r="K65" s="71"/>
      <c r="L65" s="71"/>
      <c r="M65" s="71"/>
      <c r="N65" s="71"/>
    </row>
    <row r="66">
      <c r="A66" s="39" t="s">
        <v>3796</v>
      </c>
      <c r="B66" s="39" t="s">
        <v>3750</v>
      </c>
      <c r="C66" s="115" t="s">
        <v>3797</v>
      </c>
      <c r="D66" s="81">
        <v>25.0</v>
      </c>
      <c r="E66" s="116" t="s">
        <v>3798</v>
      </c>
      <c r="F66" s="119" t="s">
        <v>3648</v>
      </c>
      <c r="G66" s="81" t="s">
        <v>3661</v>
      </c>
      <c r="H66" s="119" t="s">
        <v>3650</v>
      </c>
      <c r="I66" s="71"/>
      <c r="J66" s="119" t="s">
        <v>3662</v>
      </c>
      <c r="K66" s="71"/>
      <c r="L66" s="71"/>
      <c r="M66" s="71"/>
      <c r="N66" s="71"/>
    </row>
    <row r="67">
      <c r="A67" s="39" t="s">
        <v>3799</v>
      </c>
      <c r="B67" s="39" t="s">
        <v>3750</v>
      </c>
      <c r="C67" s="115" t="s">
        <v>3800</v>
      </c>
      <c r="D67" s="81">
        <v>25.0</v>
      </c>
      <c r="E67" s="116" t="s">
        <v>3801</v>
      </c>
      <c r="F67" s="119" t="s">
        <v>3655</v>
      </c>
      <c r="G67" s="71"/>
      <c r="H67" s="119" t="s">
        <v>3656</v>
      </c>
      <c r="I67" s="71"/>
      <c r="J67" s="119" t="s">
        <v>3707</v>
      </c>
      <c r="K67" s="71"/>
      <c r="L67" s="71"/>
      <c r="M67" s="71"/>
      <c r="N67" s="71"/>
    </row>
    <row r="68">
      <c r="C68" s="120"/>
      <c r="E68" s="121"/>
    </row>
    <row r="69">
      <c r="A69" s="39" t="s">
        <v>3802</v>
      </c>
      <c r="B69" s="39" t="s">
        <v>3714</v>
      </c>
      <c r="C69" s="115" t="s">
        <v>3803</v>
      </c>
      <c r="D69" s="81">
        <v>9.0</v>
      </c>
      <c r="E69" s="116" t="s">
        <v>3804</v>
      </c>
      <c r="F69" s="71"/>
      <c r="G69" s="71"/>
      <c r="H69" s="71"/>
      <c r="I69" s="71"/>
      <c r="J69" s="71"/>
      <c r="K69" s="71"/>
      <c r="L69" s="71"/>
      <c r="M69" s="71"/>
      <c r="N69" s="71"/>
    </row>
    <row r="70">
      <c r="A70" s="39" t="s">
        <v>3805</v>
      </c>
      <c r="B70" s="39" t="s">
        <v>3714</v>
      </c>
      <c r="C70" s="115" t="s">
        <v>3806</v>
      </c>
      <c r="D70" s="81">
        <v>15.0</v>
      </c>
      <c r="E70" s="116" t="s">
        <v>3807</v>
      </c>
      <c r="F70" s="71"/>
      <c r="G70" s="71"/>
      <c r="H70" s="71"/>
      <c r="I70" s="71"/>
      <c r="J70" s="71"/>
      <c r="K70" s="71"/>
      <c r="L70" s="71"/>
      <c r="M70" s="71"/>
      <c r="N70" s="71"/>
    </row>
    <row r="71">
      <c r="A71" s="39" t="s">
        <v>3808</v>
      </c>
      <c r="B71" s="39" t="s">
        <v>3714</v>
      </c>
      <c r="C71" s="115" t="s">
        <v>3809</v>
      </c>
      <c r="D71" s="81">
        <v>21.0</v>
      </c>
      <c r="E71" s="116" t="s">
        <v>3810</v>
      </c>
      <c r="F71" s="71"/>
      <c r="G71" s="71"/>
      <c r="H71" s="71"/>
      <c r="I71" s="71"/>
      <c r="J71" s="71"/>
      <c r="K71" s="71"/>
      <c r="L71" s="71"/>
      <c r="M71" s="71"/>
      <c r="N71" s="71"/>
    </row>
    <row r="72">
      <c r="C72" s="120"/>
      <c r="E72" s="121"/>
    </row>
    <row r="73">
      <c r="C73" s="120"/>
      <c r="E73" s="121"/>
    </row>
    <row r="74">
      <c r="C74" s="120"/>
      <c r="E74" s="121"/>
    </row>
    <row r="75">
      <c r="C75" s="120"/>
      <c r="E75" s="121"/>
    </row>
    <row r="76">
      <c r="C76" s="120"/>
      <c r="E76" s="121"/>
    </row>
    <row r="77">
      <c r="C77" s="120"/>
      <c r="E77" s="121"/>
    </row>
    <row r="78">
      <c r="C78" s="120"/>
      <c r="E78" s="121"/>
    </row>
    <row r="79">
      <c r="C79" s="120"/>
      <c r="E79" s="121"/>
    </row>
    <row r="80">
      <c r="C80" s="120"/>
      <c r="E80" s="121"/>
    </row>
    <row r="81">
      <c r="C81" s="120"/>
      <c r="E81" s="121"/>
    </row>
    <row r="82">
      <c r="C82" s="120"/>
      <c r="E82" s="121"/>
    </row>
    <row r="83">
      <c r="C83" s="120"/>
      <c r="E83" s="121"/>
    </row>
    <row r="84">
      <c r="C84" s="120"/>
      <c r="E84" s="121"/>
    </row>
    <row r="85">
      <c r="C85" s="120"/>
      <c r="E85" s="121"/>
    </row>
    <row r="86">
      <c r="C86" s="120"/>
      <c r="E86" s="121"/>
    </row>
    <row r="87">
      <c r="C87" s="120"/>
      <c r="E87" s="121"/>
    </row>
    <row r="88">
      <c r="C88" s="120"/>
      <c r="E88" s="121"/>
    </row>
    <row r="89">
      <c r="C89" s="120"/>
      <c r="E89" s="121"/>
    </row>
    <row r="90">
      <c r="C90" s="120"/>
      <c r="E90" s="121"/>
    </row>
    <row r="91">
      <c r="C91" s="120"/>
      <c r="E91" s="121"/>
    </row>
    <row r="92">
      <c r="C92" s="120"/>
      <c r="E92" s="121"/>
    </row>
    <row r="93">
      <c r="C93" s="120"/>
      <c r="E93" s="121"/>
    </row>
    <row r="94">
      <c r="C94" s="120"/>
      <c r="E94" s="121"/>
    </row>
    <row r="95">
      <c r="C95" s="120"/>
      <c r="E95" s="121"/>
    </row>
    <row r="96">
      <c r="C96" s="120"/>
      <c r="E96" s="121"/>
    </row>
    <row r="97">
      <c r="C97" s="120"/>
      <c r="E97" s="121"/>
    </row>
    <row r="98">
      <c r="C98" s="120"/>
      <c r="E98" s="121"/>
    </row>
    <row r="99">
      <c r="C99" s="120"/>
      <c r="E99" s="121"/>
    </row>
    <row r="100">
      <c r="C100" s="120"/>
      <c r="E100" s="121"/>
    </row>
    <row r="101">
      <c r="C101" s="120"/>
      <c r="E101" s="121"/>
    </row>
    <row r="102">
      <c r="C102" s="120"/>
      <c r="E102" s="121"/>
    </row>
    <row r="103">
      <c r="C103" s="120"/>
      <c r="E103" s="121"/>
    </row>
    <row r="104">
      <c r="C104" s="120"/>
      <c r="E104" s="121"/>
    </row>
    <row r="105">
      <c r="C105" s="120"/>
      <c r="E105" s="121"/>
    </row>
    <row r="106">
      <c r="C106" s="120"/>
      <c r="E106" s="121"/>
    </row>
    <row r="107">
      <c r="C107" s="120"/>
      <c r="E107" s="121"/>
    </row>
    <row r="108">
      <c r="C108" s="120"/>
      <c r="E108" s="121"/>
    </row>
    <row r="109">
      <c r="C109" s="120"/>
      <c r="E109" s="121"/>
    </row>
    <row r="110">
      <c r="C110" s="120"/>
      <c r="E110" s="121"/>
    </row>
    <row r="111">
      <c r="C111" s="120"/>
      <c r="E111" s="121"/>
    </row>
    <row r="112">
      <c r="C112" s="120"/>
      <c r="E112" s="121"/>
    </row>
    <row r="113">
      <c r="C113" s="120"/>
      <c r="E113" s="121"/>
    </row>
    <row r="114">
      <c r="C114" s="120"/>
      <c r="E114" s="121"/>
    </row>
    <row r="115">
      <c r="C115" s="120"/>
      <c r="E115" s="121"/>
    </row>
    <row r="116">
      <c r="C116" s="120"/>
      <c r="E116" s="121"/>
    </row>
    <row r="117">
      <c r="C117" s="120"/>
      <c r="E117" s="121"/>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2" t="s">
        <v>3811</v>
      </c>
      <c r="B1" s="122" t="s">
        <v>3812</v>
      </c>
      <c r="C1" s="122" t="s">
        <v>3813</v>
      </c>
      <c r="D1" s="122" t="s">
        <v>3814</v>
      </c>
      <c r="E1" s="122" t="s">
        <v>3815</v>
      </c>
      <c r="F1" s="122" t="s">
        <v>3816</v>
      </c>
      <c r="G1" s="122" t="s">
        <v>3296</v>
      </c>
      <c r="H1" s="122"/>
      <c r="I1" s="123"/>
      <c r="J1" s="122" t="s">
        <v>3817</v>
      </c>
      <c r="K1" s="122" t="s">
        <v>3818</v>
      </c>
      <c r="L1" s="122" t="s">
        <v>3819</v>
      </c>
      <c r="M1" s="122" t="s">
        <v>3816</v>
      </c>
      <c r="N1" s="122" t="s">
        <v>3296</v>
      </c>
      <c r="O1" s="122"/>
      <c r="P1" s="124" t="s">
        <v>3820</v>
      </c>
      <c r="Q1" s="124" t="s">
        <v>3629</v>
      </c>
      <c r="R1" s="124" t="s">
        <v>3821</v>
      </c>
      <c r="S1" s="124" t="s">
        <v>3822</v>
      </c>
      <c r="T1" s="124" t="s">
        <v>3823</v>
      </c>
      <c r="U1" s="124" t="s">
        <v>3816</v>
      </c>
      <c r="V1" s="124" t="s">
        <v>3296</v>
      </c>
      <c r="W1" s="124"/>
    </row>
    <row r="2">
      <c r="A2" s="108" t="s">
        <v>3824</v>
      </c>
      <c r="B2" s="108" t="s">
        <v>3825</v>
      </c>
      <c r="C2" s="108" t="s">
        <v>3826</v>
      </c>
      <c r="D2" s="108" t="s">
        <v>3827</v>
      </c>
      <c r="E2" s="125" t="s">
        <v>3828</v>
      </c>
      <c r="F2" s="108" t="s">
        <v>3829</v>
      </c>
      <c r="G2" s="108" t="s">
        <v>3830</v>
      </c>
      <c r="H2" s="108"/>
      <c r="I2" s="126"/>
      <c r="J2" s="108" t="s">
        <v>1501</v>
      </c>
      <c r="K2" s="108" t="s">
        <v>1812</v>
      </c>
      <c r="L2" s="108" t="s">
        <v>3521</v>
      </c>
      <c r="M2" s="108" t="s">
        <v>3829</v>
      </c>
      <c r="N2" s="108" t="s">
        <v>3831</v>
      </c>
      <c r="O2" s="108"/>
      <c r="P2" s="127" t="s">
        <v>1820</v>
      </c>
      <c r="Q2" s="127" t="s">
        <v>3832</v>
      </c>
      <c r="R2" s="127" t="s">
        <v>29</v>
      </c>
      <c r="S2" s="127" t="s">
        <v>3833</v>
      </c>
      <c r="T2" s="127" t="s">
        <v>3834</v>
      </c>
      <c r="U2" s="127" t="s">
        <v>3835</v>
      </c>
      <c r="V2" s="127" t="s">
        <v>3836</v>
      </c>
      <c r="W2" s="127"/>
    </row>
    <row r="3">
      <c r="A3" s="108" t="s">
        <v>3837</v>
      </c>
      <c r="B3" s="108" t="s">
        <v>3808</v>
      </c>
      <c r="C3" s="108" t="s">
        <v>1820</v>
      </c>
      <c r="D3" s="108" t="s">
        <v>3838</v>
      </c>
      <c r="E3" s="125" t="s">
        <v>3839</v>
      </c>
      <c r="F3" s="108" t="s">
        <v>3840</v>
      </c>
      <c r="G3" s="108" t="s">
        <v>3841</v>
      </c>
      <c r="H3" s="108"/>
      <c r="I3" s="126"/>
      <c r="J3" s="108" t="s">
        <v>1501</v>
      </c>
      <c r="K3" s="108" t="s">
        <v>1763</v>
      </c>
      <c r="L3" s="108" t="s">
        <v>3526</v>
      </c>
      <c r="M3" s="108" t="s">
        <v>3829</v>
      </c>
      <c r="N3" s="108" t="s">
        <v>3831</v>
      </c>
      <c r="O3" s="108"/>
      <c r="P3" s="127" t="s">
        <v>1838</v>
      </c>
      <c r="Q3" s="127" t="s">
        <v>3842</v>
      </c>
      <c r="R3" s="127" t="s">
        <v>1820</v>
      </c>
      <c r="S3" s="127" t="s">
        <v>3843</v>
      </c>
      <c r="T3" s="127" t="s">
        <v>3844</v>
      </c>
      <c r="U3" s="127" t="s">
        <v>3835</v>
      </c>
      <c r="V3" s="127" t="s">
        <v>3845</v>
      </c>
      <c r="W3" s="127"/>
    </row>
    <row r="4">
      <c r="A4" s="108" t="s">
        <v>3846</v>
      </c>
      <c r="B4" s="108" t="s">
        <v>3676</v>
      </c>
      <c r="C4" s="108"/>
      <c r="D4" s="108"/>
      <c r="E4" s="125"/>
      <c r="F4" s="108" t="s">
        <v>3840</v>
      </c>
      <c r="G4" s="108" t="s">
        <v>3841</v>
      </c>
      <c r="H4" s="108"/>
      <c r="I4" s="126"/>
      <c r="J4" s="108" t="s">
        <v>1501</v>
      </c>
      <c r="K4" s="108"/>
      <c r="L4" s="108" t="s">
        <v>3847</v>
      </c>
      <c r="M4" s="108" t="s">
        <v>3829</v>
      </c>
      <c r="N4" s="108" t="s">
        <v>3848</v>
      </c>
      <c r="O4" s="108"/>
      <c r="P4" s="127" t="s">
        <v>1857</v>
      </c>
      <c r="Q4" s="127" t="s">
        <v>3842</v>
      </c>
      <c r="R4" s="127" t="s">
        <v>1820</v>
      </c>
      <c r="S4" s="127" t="s">
        <v>3849</v>
      </c>
      <c r="T4" s="127" t="s">
        <v>3850</v>
      </c>
      <c r="U4" s="127" t="s">
        <v>3835</v>
      </c>
      <c r="V4" s="127" t="s">
        <v>3851</v>
      </c>
      <c r="W4" s="127"/>
    </row>
    <row r="5">
      <c r="A5" s="108" t="s">
        <v>3852</v>
      </c>
      <c r="B5" s="108" t="s">
        <v>3853</v>
      </c>
      <c r="C5" s="108"/>
      <c r="D5" s="108"/>
      <c r="E5" s="125"/>
      <c r="F5" s="108" t="s">
        <v>3854</v>
      </c>
      <c r="G5" s="108" t="s">
        <v>3855</v>
      </c>
      <c r="H5" s="108"/>
      <c r="I5" s="126"/>
      <c r="J5" s="108" t="s">
        <v>1521</v>
      </c>
      <c r="K5" s="108" t="s">
        <v>1812</v>
      </c>
      <c r="L5" s="108" t="s">
        <v>3529</v>
      </c>
      <c r="M5" s="108" t="s">
        <v>3829</v>
      </c>
      <c r="N5" s="108" t="s">
        <v>3856</v>
      </c>
      <c r="O5" s="108"/>
      <c r="P5" s="127" t="s">
        <v>1876</v>
      </c>
      <c r="Q5" s="127" t="s">
        <v>3842</v>
      </c>
      <c r="R5" s="127" t="s">
        <v>1820</v>
      </c>
      <c r="S5" s="127" t="s">
        <v>3857</v>
      </c>
      <c r="T5" s="127" t="s">
        <v>3858</v>
      </c>
      <c r="U5" s="127" t="s">
        <v>3835</v>
      </c>
      <c r="V5" s="127" t="s">
        <v>3859</v>
      </c>
      <c r="W5" s="127"/>
    </row>
    <row r="6">
      <c r="A6" s="108" t="s">
        <v>3860</v>
      </c>
      <c r="B6" s="108" t="s">
        <v>3861</v>
      </c>
      <c r="C6" s="108"/>
      <c r="D6" s="108"/>
      <c r="E6" s="125"/>
      <c r="F6" s="108" t="s">
        <v>3854</v>
      </c>
      <c r="G6" s="108" t="s">
        <v>3862</v>
      </c>
      <c r="H6" s="108"/>
      <c r="I6" s="126"/>
      <c r="J6" s="108" t="s">
        <v>1507</v>
      </c>
      <c r="K6" s="108" t="s">
        <v>1775</v>
      </c>
      <c r="L6" s="108" t="s">
        <v>3532</v>
      </c>
      <c r="M6" s="108" t="s">
        <v>3829</v>
      </c>
      <c r="N6" s="108" t="s">
        <v>3831</v>
      </c>
      <c r="O6" s="108"/>
      <c r="P6" s="127" t="s">
        <v>1894</v>
      </c>
      <c r="Q6" s="127" t="s">
        <v>3863</v>
      </c>
      <c r="R6" s="127" t="s">
        <v>29</v>
      </c>
      <c r="S6" s="127" t="s">
        <v>3864</v>
      </c>
      <c r="T6" s="127" t="s">
        <v>3865</v>
      </c>
      <c r="U6" s="127" t="s">
        <v>3866</v>
      </c>
      <c r="V6" s="127" t="s">
        <v>3867</v>
      </c>
      <c r="W6" s="127"/>
    </row>
    <row r="7">
      <c r="A7" s="108" t="s">
        <v>3868</v>
      </c>
      <c r="B7" s="108" t="s">
        <v>3326</v>
      </c>
      <c r="C7" s="108" t="s">
        <v>1820</v>
      </c>
      <c r="D7" s="108" t="s">
        <v>3869</v>
      </c>
      <c r="E7" s="125" t="s">
        <v>3870</v>
      </c>
      <c r="F7" s="108" t="s">
        <v>3840</v>
      </c>
      <c r="G7" s="108" t="s">
        <v>3871</v>
      </c>
      <c r="H7" s="108"/>
      <c r="I7" s="126"/>
      <c r="J7" s="108" t="s">
        <v>1507</v>
      </c>
      <c r="K7" s="108" t="s">
        <v>1766</v>
      </c>
      <c r="L7" s="108" t="s">
        <v>3535</v>
      </c>
      <c r="M7" s="108" t="s">
        <v>3829</v>
      </c>
      <c r="N7" s="108" t="s">
        <v>3831</v>
      </c>
      <c r="O7" s="108"/>
      <c r="P7" s="127" t="s">
        <v>3872</v>
      </c>
      <c r="Q7" s="127" t="s">
        <v>3863</v>
      </c>
      <c r="R7" s="127" t="s">
        <v>29</v>
      </c>
      <c r="S7" s="127" t="s">
        <v>3873</v>
      </c>
      <c r="T7" s="127" t="s">
        <v>3874</v>
      </c>
      <c r="U7" s="127" t="s">
        <v>3866</v>
      </c>
      <c r="V7" s="127" t="s">
        <v>3875</v>
      </c>
      <c r="W7" s="127"/>
    </row>
    <row r="8">
      <c r="A8" s="108" t="s">
        <v>3876</v>
      </c>
      <c r="B8" s="108" t="s">
        <v>3329</v>
      </c>
      <c r="C8" s="108"/>
      <c r="D8" s="108" t="s">
        <v>3877</v>
      </c>
      <c r="E8" s="125" t="s">
        <v>3878</v>
      </c>
      <c r="F8" s="108" t="s">
        <v>3840</v>
      </c>
      <c r="G8" s="108" t="s">
        <v>3879</v>
      </c>
      <c r="H8" s="108"/>
      <c r="I8" s="126"/>
      <c r="J8" s="108" t="s">
        <v>1507</v>
      </c>
      <c r="K8" s="108"/>
      <c r="L8" s="108" t="s">
        <v>3880</v>
      </c>
      <c r="M8" s="108" t="s">
        <v>3829</v>
      </c>
      <c r="N8" s="108" t="s">
        <v>3848</v>
      </c>
      <c r="O8" s="108"/>
    </row>
    <row r="9">
      <c r="A9" s="108" t="s">
        <v>3881</v>
      </c>
      <c r="B9" s="108" t="s">
        <v>3398</v>
      </c>
      <c r="C9" s="108" t="s">
        <v>1820</v>
      </c>
      <c r="D9" s="108" t="s">
        <v>3882</v>
      </c>
      <c r="E9" s="125" t="s">
        <v>3883</v>
      </c>
      <c r="F9" s="108" t="s">
        <v>3840</v>
      </c>
      <c r="G9" s="108" t="s">
        <v>3884</v>
      </c>
      <c r="H9" s="108"/>
      <c r="I9" s="126"/>
      <c r="J9" s="108" t="s">
        <v>1504</v>
      </c>
      <c r="K9" s="108" t="s">
        <v>1778</v>
      </c>
      <c r="L9" s="108" t="s">
        <v>3539</v>
      </c>
      <c r="M9" s="108" t="s">
        <v>3829</v>
      </c>
      <c r="N9" s="108" t="s">
        <v>3831</v>
      </c>
      <c r="O9" s="108"/>
      <c r="P9" s="108"/>
      <c r="Q9" s="108"/>
      <c r="R9" s="108"/>
      <c r="S9" s="108"/>
      <c r="T9" s="108"/>
      <c r="U9" s="108"/>
      <c r="V9" s="108"/>
      <c r="W9" s="108"/>
    </row>
    <row r="10">
      <c r="A10" s="108" t="s">
        <v>3885</v>
      </c>
      <c r="B10" s="108" t="s">
        <v>3401</v>
      </c>
      <c r="C10" s="108" t="s">
        <v>1820</v>
      </c>
      <c r="D10" s="108" t="s">
        <v>3886</v>
      </c>
      <c r="E10" s="125" t="s">
        <v>3887</v>
      </c>
      <c r="F10" s="108" t="s">
        <v>3840</v>
      </c>
      <c r="G10" s="108" t="s">
        <v>3888</v>
      </c>
      <c r="H10" s="108"/>
      <c r="I10" s="126"/>
      <c r="J10" s="108" t="s">
        <v>1504</v>
      </c>
      <c r="K10" s="108"/>
      <c r="L10" s="108" t="s">
        <v>3889</v>
      </c>
      <c r="M10" s="108" t="s">
        <v>3829</v>
      </c>
      <c r="N10" s="108" t="s">
        <v>3848</v>
      </c>
      <c r="O10" s="108"/>
      <c r="P10" s="125"/>
      <c r="Q10" s="125"/>
      <c r="R10" s="125"/>
      <c r="S10" s="125"/>
      <c r="T10" s="125"/>
      <c r="U10" s="125"/>
      <c r="V10" s="125"/>
      <c r="W10" s="125"/>
    </row>
    <row r="11">
      <c r="A11" s="108" t="s">
        <v>3890</v>
      </c>
      <c r="B11" s="108" t="s">
        <v>3369</v>
      </c>
      <c r="C11" s="108"/>
      <c r="D11" s="108" t="s">
        <v>3891</v>
      </c>
      <c r="E11" s="125" t="s">
        <v>3892</v>
      </c>
      <c r="F11" s="108" t="s">
        <v>3840</v>
      </c>
      <c r="G11" s="108" t="s">
        <v>3893</v>
      </c>
      <c r="H11" s="108"/>
      <c r="I11" s="126"/>
      <c r="J11" s="108" t="s">
        <v>1504</v>
      </c>
      <c r="K11" s="108" t="s">
        <v>1781</v>
      </c>
      <c r="L11" s="108" t="s">
        <v>3543</v>
      </c>
      <c r="M11" s="108" t="s">
        <v>3829</v>
      </c>
      <c r="N11" s="108" t="s">
        <v>3831</v>
      </c>
      <c r="O11" s="108"/>
      <c r="P11" s="125"/>
      <c r="Q11" s="125"/>
      <c r="R11" s="125"/>
      <c r="S11" s="125"/>
      <c r="T11" s="125"/>
      <c r="U11" s="125"/>
      <c r="V11" s="125"/>
      <c r="W11" s="125"/>
    </row>
    <row r="12">
      <c r="A12" s="108" t="s">
        <v>3894</v>
      </c>
      <c r="B12" s="108" t="s">
        <v>3358</v>
      </c>
      <c r="C12" s="108" t="s">
        <v>1820</v>
      </c>
      <c r="D12" s="108" t="s">
        <v>3895</v>
      </c>
      <c r="E12" s="125" t="s">
        <v>3896</v>
      </c>
      <c r="F12" s="108" t="s">
        <v>3840</v>
      </c>
      <c r="G12" s="108" t="s">
        <v>3897</v>
      </c>
      <c r="H12" s="108"/>
      <c r="I12" s="126"/>
      <c r="J12" s="108" t="s">
        <v>1516</v>
      </c>
      <c r="K12" s="108" t="s">
        <v>1781</v>
      </c>
      <c r="L12" s="108" t="s">
        <v>3547</v>
      </c>
      <c r="M12" s="108" t="s">
        <v>3829</v>
      </c>
      <c r="N12" s="108" t="s">
        <v>3831</v>
      </c>
      <c r="O12" s="108"/>
      <c r="P12" s="125"/>
      <c r="Q12" s="125"/>
      <c r="R12" s="125"/>
      <c r="S12" s="125"/>
      <c r="T12" s="125"/>
      <c r="U12" s="125"/>
      <c r="V12" s="125"/>
      <c r="W12" s="125"/>
    </row>
    <row r="13">
      <c r="A13" s="108" t="s">
        <v>3898</v>
      </c>
      <c r="B13" s="108" t="s">
        <v>3429</v>
      </c>
      <c r="C13" s="108" t="s">
        <v>3899</v>
      </c>
      <c r="D13" s="108" t="s">
        <v>3900</v>
      </c>
      <c r="E13" s="125" t="s">
        <v>3901</v>
      </c>
      <c r="F13" s="108" t="s">
        <v>3840</v>
      </c>
      <c r="G13" s="108" t="s">
        <v>3902</v>
      </c>
      <c r="H13" s="108"/>
      <c r="I13" s="126"/>
      <c r="J13" s="108" t="s">
        <v>1516</v>
      </c>
      <c r="K13" s="108" t="s">
        <v>1788</v>
      </c>
      <c r="L13" s="108" t="s">
        <v>3552</v>
      </c>
      <c r="M13" s="108" t="s">
        <v>3829</v>
      </c>
      <c r="N13" s="108" t="s">
        <v>3831</v>
      </c>
      <c r="O13" s="108"/>
      <c r="P13" s="125"/>
      <c r="Q13" s="125"/>
      <c r="R13" s="125"/>
      <c r="S13" s="125"/>
      <c r="T13" s="125"/>
      <c r="U13" s="125"/>
      <c r="V13" s="125"/>
      <c r="W13" s="125"/>
    </row>
    <row r="14">
      <c r="A14" s="108" t="s">
        <v>3903</v>
      </c>
      <c r="B14" s="108" t="s">
        <v>3392</v>
      </c>
      <c r="C14" s="108" t="s">
        <v>3904</v>
      </c>
      <c r="D14" s="108" t="s">
        <v>3905</v>
      </c>
      <c r="E14" s="103" t="s">
        <v>3906</v>
      </c>
      <c r="F14" s="108" t="s">
        <v>3840</v>
      </c>
      <c r="G14" s="108" t="s">
        <v>3907</v>
      </c>
      <c r="H14" s="108"/>
      <c r="I14" s="126"/>
      <c r="J14" s="108" t="s">
        <v>1516</v>
      </c>
      <c r="K14" s="108" t="s">
        <v>1778</v>
      </c>
      <c r="L14" s="108" t="s">
        <v>3555</v>
      </c>
      <c r="M14" s="108" t="s">
        <v>3829</v>
      </c>
      <c r="N14" s="108" t="s">
        <v>3831</v>
      </c>
      <c r="O14" s="108"/>
      <c r="P14" s="125"/>
      <c r="Q14" s="125"/>
      <c r="R14" s="125"/>
      <c r="S14" s="125"/>
      <c r="T14" s="125"/>
      <c r="U14" s="125"/>
      <c r="V14" s="125"/>
      <c r="W14" s="125"/>
    </row>
    <row r="15">
      <c r="A15" s="108" t="s">
        <v>3908</v>
      </c>
      <c r="B15" s="108" t="s">
        <v>1920</v>
      </c>
      <c r="C15" s="108"/>
      <c r="D15" s="108" t="s">
        <v>3909</v>
      </c>
      <c r="E15" s="125" t="s">
        <v>3910</v>
      </c>
      <c r="F15" s="108" t="s">
        <v>3840</v>
      </c>
      <c r="G15" s="108" t="s">
        <v>3911</v>
      </c>
      <c r="H15" s="128"/>
      <c r="I15" s="126"/>
      <c r="J15" s="108" t="s">
        <v>1494</v>
      </c>
      <c r="K15" s="108" t="s">
        <v>1775</v>
      </c>
      <c r="L15" s="108" t="s">
        <v>3557</v>
      </c>
      <c r="M15" s="108" t="s">
        <v>3829</v>
      </c>
      <c r="N15" s="108" t="s">
        <v>3831</v>
      </c>
      <c r="O15" s="108"/>
      <c r="P15" s="125"/>
      <c r="Q15" s="125"/>
      <c r="R15" s="125"/>
      <c r="S15" s="125"/>
      <c r="T15" s="125"/>
      <c r="U15" s="125"/>
      <c r="V15" s="125"/>
      <c r="W15" s="125"/>
    </row>
    <row r="16">
      <c r="A16" s="108" t="s">
        <v>3912</v>
      </c>
      <c r="B16" s="108" t="s">
        <v>3323</v>
      </c>
      <c r="C16" s="108"/>
      <c r="D16" s="108" t="s">
        <v>3913</v>
      </c>
      <c r="E16" s="125" t="s">
        <v>3914</v>
      </c>
      <c r="F16" s="108" t="s">
        <v>3840</v>
      </c>
      <c r="G16" s="108" t="s">
        <v>3915</v>
      </c>
      <c r="I16" s="129"/>
      <c r="J16" s="39" t="s">
        <v>1494</v>
      </c>
      <c r="K16" s="39" t="s">
        <v>1788</v>
      </c>
      <c r="L16" s="39" t="s">
        <v>3560</v>
      </c>
      <c r="M16" s="39" t="s">
        <v>3829</v>
      </c>
      <c r="N16" s="39" t="s">
        <v>3831</v>
      </c>
      <c r="O16" s="39"/>
      <c r="P16" s="100"/>
      <c r="Q16" s="100"/>
      <c r="R16" s="100"/>
      <c r="S16" s="100"/>
      <c r="T16" s="100"/>
      <c r="U16" s="100"/>
      <c r="V16" s="100"/>
      <c r="W16" s="100"/>
    </row>
    <row r="17">
      <c r="A17" s="108" t="s">
        <v>3916</v>
      </c>
      <c r="B17" s="108" t="s">
        <v>3459</v>
      </c>
      <c r="C17" s="108"/>
      <c r="D17" s="108" t="s">
        <v>3917</v>
      </c>
      <c r="E17" s="125" t="s">
        <v>3918</v>
      </c>
      <c r="F17" s="108" t="s">
        <v>3840</v>
      </c>
      <c r="G17" s="108" t="s">
        <v>3919</v>
      </c>
      <c r="I17" s="129"/>
      <c r="J17" s="39" t="s">
        <v>1494</v>
      </c>
      <c r="K17" s="39" t="s">
        <v>1797</v>
      </c>
      <c r="L17" s="39" t="s">
        <v>3564</v>
      </c>
      <c r="M17" s="39" t="s">
        <v>3829</v>
      </c>
      <c r="N17" s="39" t="s">
        <v>3831</v>
      </c>
      <c r="O17" s="39"/>
      <c r="P17" s="100"/>
      <c r="Q17" s="100"/>
      <c r="R17" s="100"/>
      <c r="S17" s="103"/>
      <c r="T17" s="103"/>
      <c r="U17" s="100"/>
      <c r="V17" s="103"/>
      <c r="W17" s="100"/>
    </row>
    <row r="18">
      <c r="A18" s="108" t="s">
        <v>3920</v>
      </c>
      <c r="B18" s="108" t="s">
        <v>3468</v>
      </c>
      <c r="C18" s="108"/>
      <c r="D18" s="108" t="s">
        <v>3921</v>
      </c>
      <c r="E18" s="125" t="s">
        <v>3922</v>
      </c>
      <c r="F18" s="108" t="s">
        <v>3840</v>
      </c>
      <c r="G18" s="108" t="s">
        <v>3923</v>
      </c>
      <c r="I18" s="129"/>
      <c r="J18" s="39" t="s">
        <v>1511</v>
      </c>
      <c r="K18" s="39"/>
      <c r="L18" s="39" t="s">
        <v>3924</v>
      </c>
      <c r="M18" s="39" t="s">
        <v>3829</v>
      </c>
      <c r="N18" s="39" t="s">
        <v>3848</v>
      </c>
      <c r="O18" s="39"/>
      <c r="P18" s="100"/>
      <c r="Q18" s="100"/>
      <c r="R18" s="100"/>
      <c r="S18" s="100"/>
      <c r="T18" s="100"/>
      <c r="U18" s="100"/>
      <c r="V18" s="100"/>
      <c r="W18" s="100"/>
    </row>
    <row r="19">
      <c r="A19" s="108"/>
      <c r="B19" s="108"/>
      <c r="C19" s="108"/>
      <c r="D19" s="108"/>
      <c r="E19" s="125"/>
      <c r="F19" s="108"/>
      <c r="G19" s="108"/>
      <c r="I19" s="129"/>
      <c r="J19" s="39" t="s">
        <v>1528</v>
      </c>
      <c r="K19" s="39" t="s">
        <v>1788</v>
      </c>
      <c r="L19" s="39" t="s">
        <v>3567</v>
      </c>
      <c r="M19" s="39" t="s">
        <v>3829</v>
      </c>
      <c r="N19" s="39" t="s">
        <v>3831</v>
      </c>
      <c r="O19" s="39"/>
      <c r="P19" s="100"/>
      <c r="Q19" s="100"/>
      <c r="R19" s="100"/>
      <c r="S19" s="100"/>
      <c r="T19" s="100"/>
      <c r="U19" s="100"/>
      <c r="V19" s="100"/>
      <c r="W19" s="100"/>
    </row>
    <row r="20">
      <c r="A20" s="39" t="s">
        <v>3925</v>
      </c>
      <c r="B20" s="39" t="s">
        <v>3437</v>
      </c>
      <c r="C20" s="39" t="s">
        <v>147</v>
      </c>
      <c r="D20" s="39" t="s">
        <v>3926</v>
      </c>
      <c r="E20" s="100" t="s">
        <v>3927</v>
      </c>
      <c r="F20" s="39" t="s">
        <v>3840</v>
      </c>
      <c r="G20" s="39" t="s">
        <v>3928</v>
      </c>
      <c r="I20" s="129"/>
      <c r="J20" s="39" t="s">
        <v>1528</v>
      </c>
      <c r="K20" s="39" t="s">
        <v>1778</v>
      </c>
      <c r="L20" s="39" t="s">
        <v>3571</v>
      </c>
      <c r="M20" s="39" t="s">
        <v>3829</v>
      </c>
      <c r="N20" s="39" t="s">
        <v>3831</v>
      </c>
      <c r="O20" s="39"/>
      <c r="P20" s="100"/>
      <c r="Q20" s="100"/>
      <c r="R20" s="100"/>
      <c r="S20" s="100"/>
      <c r="T20" s="100"/>
      <c r="U20" s="100"/>
      <c r="V20" s="100"/>
      <c r="W20" s="100"/>
    </row>
    <row r="21">
      <c r="A21" s="39" t="s">
        <v>3929</v>
      </c>
      <c r="B21" s="39" t="s">
        <v>3930</v>
      </c>
      <c r="C21" s="39" t="s">
        <v>1820</v>
      </c>
      <c r="D21" s="39" t="s">
        <v>3931</v>
      </c>
      <c r="E21" s="100" t="s">
        <v>3932</v>
      </c>
      <c r="F21" s="39" t="s">
        <v>3840</v>
      </c>
      <c r="G21" s="39" t="s">
        <v>3933</v>
      </c>
      <c r="I21" s="129"/>
      <c r="J21" s="39" t="s">
        <v>1528</v>
      </c>
      <c r="K21" s="39" t="s">
        <v>1760</v>
      </c>
      <c r="L21" s="39" t="s">
        <v>3574</v>
      </c>
      <c r="M21" s="39" t="s">
        <v>3829</v>
      </c>
      <c r="N21" s="39" t="s">
        <v>3831</v>
      </c>
      <c r="O21" s="39"/>
      <c r="P21" s="100"/>
      <c r="Q21" s="100"/>
      <c r="R21" s="100"/>
      <c r="S21" s="100"/>
      <c r="T21" s="100"/>
      <c r="U21" s="100"/>
      <c r="V21" s="100"/>
      <c r="W21" s="100"/>
    </row>
    <row r="22">
      <c r="A22" s="39" t="s">
        <v>3934</v>
      </c>
      <c r="B22" s="39" t="s">
        <v>3935</v>
      </c>
      <c r="C22" s="39" t="s">
        <v>3936</v>
      </c>
      <c r="D22" s="39" t="s">
        <v>3937</v>
      </c>
      <c r="E22" s="100" t="s">
        <v>3938</v>
      </c>
      <c r="F22" s="39" t="s">
        <v>3840</v>
      </c>
      <c r="G22" s="39" t="s">
        <v>3939</v>
      </c>
      <c r="I22" s="129"/>
      <c r="J22" s="39" t="s">
        <v>1573</v>
      </c>
      <c r="K22" s="39" t="s">
        <v>1760</v>
      </c>
      <c r="L22" s="39" t="s">
        <v>3577</v>
      </c>
      <c r="M22" s="39" t="s">
        <v>3829</v>
      </c>
      <c r="N22" s="39" t="s">
        <v>3940</v>
      </c>
      <c r="O22" s="39"/>
      <c r="P22" s="100"/>
      <c r="Q22" s="100"/>
      <c r="R22" s="100"/>
      <c r="S22" s="100"/>
      <c r="T22" s="100"/>
      <c r="U22" s="100"/>
      <c r="V22" s="100"/>
      <c r="W22" s="100"/>
    </row>
    <row r="23">
      <c r="A23" s="39" t="s">
        <v>3941</v>
      </c>
      <c r="B23" s="39" t="s">
        <v>3942</v>
      </c>
      <c r="E23" s="103"/>
      <c r="F23" s="39" t="s">
        <v>3840</v>
      </c>
      <c r="G23" s="39" t="s">
        <v>3943</v>
      </c>
      <c r="I23" s="129"/>
      <c r="J23" s="39" t="s">
        <v>1511</v>
      </c>
      <c r="K23" s="39" t="s">
        <v>1766</v>
      </c>
      <c r="L23" s="39" t="s">
        <v>3369</v>
      </c>
      <c r="M23" s="39" t="s">
        <v>3840</v>
      </c>
      <c r="N23" s="39" t="s">
        <v>3944</v>
      </c>
      <c r="O23" s="39"/>
      <c r="P23" s="100"/>
      <c r="Q23" s="100"/>
      <c r="R23" s="100"/>
      <c r="S23" s="100"/>
      <c r="T23" s="100"/>
      <c r="U23" s="100"/>
      <c r="V23" s="100"/>
      <c r="W23" s="100"/>
    </row>
    <row r="24">
      <c r="A24" s="39" t="s">
        <v>3945</v>
      </c>
      <c r="B24" s="39" t="s">
        <v>3946</v>
      </c>
      <c r="E24" s="103"/>
      <c r="F24" s="39" t="s">
        <v>3840</v>
      </c>
      <c r="G24" s="39" t="s">
        <v>3947</v>
      </c>
      <c r="I24" s="129"/>
      <c r="J24" s="39" t="s">
        <v>1507</v>
      </c>
      <c r="K24" s="39" t="s">
        <v>1775</v>
      </c>
      <c r="L24" s="39" t="s">
        <v>3412</v>
      </c>
      <c r="M24" s="39" t="s">
        <v>3840</v>
      </c>
      <c r="N24" s="39" t="s">
        <v>3948</v>
      </c>
      <c r="O24" s="39"/>
      <c r="P24" s="100"/>
      <c r="Q24" s="100"/>
      <c r="R24" s="100"/>
      <c r="S24" s="100"/>
      <c r="T24" s="100"/>
      <c r="U24" s="100"/>
      <c r="V24" s="100"/>
      <c r="W24" s="100"/>
    </row>
    <row r="25">
      <c r="A25" s="39" t="s">
        <v>3949</v>
      </c>
      <c r="B25" s="39" t="s">
        <v>3950</v>
      </c>
      <c r="E25" s="103"/>
      <c r="F25" s="39" t="s">
        <v>3840</v>
      </c>
      <c r="G25" s="39" t="s">
        <v>3951</v>
      </c>
      <c r="I25" s="130"/>
      <c r="J25" s="39" t="s">
        <v>1511</v>
      </c>
      <c r="K25" s="39" t="s">
        <v>1491</v>
      </c>
      <c r="L25" s="39" t="s">
        <v>3414</v>
      </c>
      <c r="M25" s="39" t="s">
        <v>3840</v>
      </c>
      <c r="N25" s="39" t="s">
        <v>3952</v>
      </c>
      <c r="O25" s="39"/>
      <c r="P25" s="100"/>
      <c r="Q25" s="100"/>
      <c r="R25" s="100"/>
      <c r="S25" s="100"/>
      <c r="T25" s="100"/>
      <c r="U25" s="100"/>
      <c r="V25" s="100"/>
      <c r="W25" s="100"/>
    </row>
    <row r="26">
      <c r="A26" s="39" t="s">
        <v>3953</v>
      </c>
      <c r="B26" s="39" t="s">
        <v>3954</v>
      </c>
      <c r="E26" s="103"/>
      <c r="F26" s="39" t="s">
        <v>3840</v>
      </c>
      <c r="G26" s="39" t="s">
        <v>3955</v>
      </c>
      <c r="I26" s="130"/>
      <c r="J26" s="39" t="s">
        <v>1504</v>
      </c>
      <c r="K26" s="39" t="s">
        <v>1778</v>
      </c>
      <c r="L26" s="39" t="s">
        <v>3448</v>
      </c>
      <c r="M26" s="39" t="s">
        <v>3840</v>
      </c>
      <c r="N26" s="39" t="s">
        <v>3956</v>
      </c>
      <c r="O26" s="39"/>
      <c r="P26" s="100"/>
      <c r="Q26" s="100"/>
      <c r="R26" s="100"/>
      <c r="S26" s="100"/>
      <c r="T26" s="100"/>
      <c r="U26" s="100"/>
      <c r="V26" s="100"/>
      <c r="W26" s="100"/>
    </row>
    <row r="27">
      <c r="A27" s="39" t="s">
        <v>3957</v>
      </c>
      <c r="B27" s="39" t="s">
        <v>3958</v>
      </c>
      <c r="E27" s="103"/>
      <c r="F27" s="39" t="s">
        <v>3840</v>
      </c>
      <c r="G27" s="39" t="s">
        <v>3959</v>
      </c>
      <c r="I27" s="130"/>
      <c r="J27" s="39" t="s">
        <v>1504</v>
      </c>
      <c r="K27" s="39" t="s">
        <v>1781</v>
      </c>
      <c r="L27" s="39" t="s">
        <v>3450</v>
      </c>
      <c r="M27" s="39" t="s">
        <v>3840</v>
      </c>
      <c r="N27" s="39" t="s">
        <v>3960</v>
      </c>
      <c r="O27" s="39"/>
      <c r="P27" s="100"/>
      <c r="Q27" s="100"/>
      <c r="R27" s="100"/>
      <c r="S27" s="100"/>
      <c r="T27" s="100"/>
      <c r="U27" s="100"/>
      <c r="V27" s="100"/>
      <c r="W27" s="100"/>
    </row>
    <row r="28">
      <c r="A28" s="39" t="s">
        <v>3961</v>
      </c>
      <c r="B28" s="39" t="s">
        <v>3962</v>
      </c>
      <c r="E28" s="103"/>
      <c r="F28" s="39" t="s">
        <v>3840</v>
      </c>
      <c r="G28" s="39" t="s">
        <v>3963</v>
      </c>
      <c r="I28" s="130"/>
      <c r="J28" s="39" t="s">
        <v>1533</v>
      </c>
      <c r="K28" s="39" t="s">
        <v>1760</v>
      </c>
      <c r="M28" s="39" t="s">
        <v>3829</v>
      </c>
      <c r="N28" s="39" t="s">
        <v>3964</v>
      </c>
      <c r="O28" s="39"/>
      <c r="P28" s="100"/>
      <c r="Q28" s="100"/>
      <c r="R28" s="100"/>
      <c r="S28" s="100"/>
      <c r="T28" s="100"/>
      <c r="U28" s="100"/>
      <c r="V28" s="100"/>
      <c r="W28" s="100"/>
    </row>
    <row r="29">
      <c r="A29" s="39" t="s">
        <v>3965</v>
      </c>
      <c r="B29" s="39" t="s">
        <v>3966</v>
      </c>
      <c r="C29" s="39" t="s">
        <v>3967</v>
      </c>
      <c r="D29" s="39" t="s">
        <v>3968</v>
      </c>
      <c r="E29" s="100" t="s">
        <v>3969</v>
      </c>
      <c r="F29" s="39" t="s">
        <v>3840</v>
      </c>
      <c r="G29" s="39" t="s">
        <v>3970</v>
      </c>
      <c r="I29" s="130"/>
      <c r="J29" s="39" t="s">
        <v>1533</v>
      </c>
      <c r="K29" s="39" t="s">
        <v>1797</v>
      </c>
      <c r="M29" s="39" t="s">
        <v>3829</v>
      </c>
      <c r="N29" s="39" t="s">
        <v>3964</v>
      </c>
      <c r="O29" s="39"/>
      <c r="P29" s="100"/>
      <c r="Q29" s="100"/>
      <c r="R29" s="100"/>
      <c r="S29" s="100"/>
      <c r="T29" s="100"/>
      <c r="U29" s="100"/>
      <c r="V29" s="100"/>
      <c r="W29" s="100"/>
    </row>
    <row r="30">
      <c r="A30" s="39" t="s">
        <v>3971</v>
      </c>
      <c r="B30" s="39" t="s">
        <v>3972</v>
      </c>
      <c r="E30" s="103"/>
      <c r="F30" s="39" t="s">
        <v>3840</v>
      </c>
      <c r="G30" s="39" t="s">
        <v>3973</v>
      </c>
      <c r="I30" s="130"/>
      <c r="J30" s="39" t="s">
        <v>1533</v>
      </c>
      <c r="K30" s="39" t="s">
        <v>1788</v>
      </c>
      <c r="M30" s="39" t="s">
        <v>3829</v>
      </c>
      <c r="N30" s="39" t="s">
        <v>3964</v>
      </c>
      <c r="O30" s="39"/>
      <c r="P30" s="100"/>
      <c r="Q30" s="100"/>
      <c r="R30" s="100"/>
      <c r="S30" s="100"/>
      <c r="T30" s="100"/>
      <c r="U30" s="100"/>
      <c r="V30" s="100"/>
      <c r="W30" s="100"/>
    </row>
    <row r="31">
      <c r="A31" s="39" t="s">
        <v>3974</v>
      </c>
      <c r="B31" s="39" t="s">
        <v>3975</v>
      </c>
      <c r="C31" s="39" t="s">
        <v>3967</v>
      </c>
      <c r="E31" s="103"/>
      <c r="F31" s="39" t="s">
        <v>3840</v>
      </c>
      <c r="G31" s="39" t="s">
        <v>3976</v>
      </c>
      <c r="I31" s="130"/>
      <c r="J31" s="39" t="s">
        <v>3977</v>
      </c>
      <c r="K31" s="39" t="s">
        <v>1788</v>
      </c>
      <c r="M31" s="39" t="s">
        <v>3829</v>
      </c>
      <c r="N31" s="39" t="s">
        <v>3964</v>
      </c>
      <c r="O31" s="39"/>
      <c r="P31" s="100"/>
      <c r="Q31" s="100"/>
      <c r="R31" s="100"/>
      <c r="S31" s="100"/>
      <c r="T31" s="100"/>
      <c r="U31" s="100"/>
      <c r="V31" s="100"/>
      <c r="W31" s="100"/>
    </row>
    <row r="32">
      <c r="A32" s="39" t="s">
        <v>3978</v>
      </c>
      <c r="B32" s="39" t="s">
        <v>3979</v>
      </c>
      <c r="C32" s="39" t="s">
        <v>3980</v>
      </c>
      <c r="D32" s="39" t="s">
        <v>3981</v>
      </c>
      <c r="E32" s="100" t="s">
        <v>3982</v>
      </c>
      <c r="F32" s="39" t="s">
        <v>3840</v>
      </c>
      <c r="G32" s="39" t="s">
        <v>3983</v>
      </c>
      <c r="I32" s="130"/>
      <c r="J32" s="39" t="s">
        <v>3977</v>
      </c>
      <c r="K32" s="39" t="s">
        <v>1775</v>
      </c>
      <c r="M32" s="39" t="s">
        <v>3829</v>
      </c>
      <c r="N32" s="39" t="s">
        <v>3964</v>
      </c>
      <c r="O32" s="39"/>
      <c r="P32" s="100"/>
      <c r="Q32" s="100"/>
      <c r="R32" s="100"/>
      <c r="S32" s="100"/>
      <c r="T32" s="100"/>
      <c r="U32" s="100"/>
      <c r="V32" s="100"/>
      <c r="W32" s="100"/>
    </row>
    <row r="33">
      <c r="A33" s="39" t="s">
        <v>3984</v>
      </c>
      <c r="B33" s="39" t="s">
        <v>3985</v>
      </c>
      <c r="C33" s="39" t="s">
        <v>3980</v>
      </c>
      <c r="D33" s="39" t="s">
        <v>3986</v>
      </c>
      <c r="E33" s="100" t="s">
        <v>3987</v>
      </c>
      <c r="F33" s="39" t="s">
        <v>3840</v>
      </c>
      <c r="G33" s="39" t="s">
        <v>3988</v>
      </c>
      <c r="I33" s="130"/>
      <c r="J33" s="39" t="s">
        <v>3977</v>
      </c>
      <c r="K33" s="39" t="s">
        <v>1763</v>
      </c>
      <c r="M33" s="39" t="s">
        <v>3829</v>
      </c>
      <c r="N33" s="39" t="s">
        <v>3964</v>
      </c>
      <c r="O33" s="39"/>
      <c r="P33" s="100"/>
      <c r="Q33" s="100"/>
      <c r="R33" s="100"/>
      <c r="S33" s="100"/>
      <c r="T33" s="100"/>
      <c r="U33" s="100"/>
      <c r="V33" s="100"/>
      <c r="W33" s="100"/>
    </row>
    <row r="34">
      <c r="A34" s="39" t="s">
        <v>3989</v>
      </c>
      <c r="B34" s="39" t="s">
        <v>3990</v>
      </c>
      <c r="C34" s="39" t="s">
        <v>3980</v>
      </c>
      <c r="D34" s="39" t="s">
        <v>3991</v>
      </c>
      <c r="E34" s="100" t="s">
        <v>3992</v>
      </c>
      <c r="F34" s="39" t="s">
        <v>3840</v>
      </c>
      <c r="G34" s="39" t="s">
        <v>3993</v>
      </c>
      <c r="I34" s="130"/>
      <c r="J34" s="39" t="s">
        <v>3994</v>
      </c>
      <c r="K34" s="39" t="s">
        <v>1788</v>
      </c>
      <c r="M34" s="39" t="s">
        <v>3829</v>
      </c>
      <c r="N34" s="39" t="s">
        <v>3964</v>
      </c>
      <c r="O34" s="39"/>
      <c r="P34" s="100"/>
      <c r="Q34" s="100"/>
      <c r="R34" s="100"/>
      <c r="S34" s="100"/>
      <c r="T34" s="100"/>
      <c r="U34" s="100"/>
      <c r="V34" s="100"/>
      <c r="W34" s="100"/>
    </row>
    <row r="35">
      <c r="A35" s="39" t="s">
        <v>3995</v>
      </c>
      <c r="B35" s="39" t="s">
        <v>3996</v>
      </c>
      <c r="C35" s="39" t="s">
        <v>3980</v>
      </c>
      <c r="D35" s="39" t="s">
        <v>3997</v>
      </c>
      <c r="E35" s="100" t="s">
        <v>3998</v>
      </c>
      <c r="F35" s="39" t="s">
        <v>3840</v>
      </c>
      <c r="G35" s="39" t="s">
        <v>3999</v>
      </c>
      <c r="I35" s="130"/>
      <c r="J35" s="39" t="s">
        <v>3994</v>
      </c>
      <c r="K35" s="39" t="s">
        <v>1781</v>
      </c>
      <c r="M35" s="39" t="s">
        <v>3829</v>
      </c>
      <c r="N35" s="39" t="s">
        <v>3964</v>
      </c>
      <c r="O35" s="39"/>
      <c r="P35" s="100"/>
      <c r="Q35" s="100"/>
      <c r="R35" s="100"/>
      <c r="S35" s="100"/>
      <c r="T35" s="100"/>
      <c r="U35" s="100"/>
      <c r="V35" s="100"/>
      <c r="W35" s="100"/>
    </row>
    <row r="36">
      <c r="A36" s="39" t="s">
        <v>4000</v>
      </c>
      <c r="B36" s="39" t="s">
        <v>4001</v>
      </c>
      <c r="C36" s="39" t="s">
        <v>4002</v>
      </c>
      <c r="D36" s="39" t="s">
        <v>4003</v>
      </c>
      <c r="E36" s="100" t="s">
        <v>4004</v>
      </c>
      <c r="F36" s="39" t="s">
        <v>3840</v>
      </c>
      <c r="G36" s="39" t="s">
        <v>4005</v>
      </c>
      <c r="I36" s="130"/>
      <c r="J36" s="39" t="s">
        <v>3994</v>
      </c>
      <c r="K36" s="39" t="s">
        <v>1775</v>
      </c>
      <c r="M36" s="39" t="s">
        <v>3829</v>
      </c>
      <c r="N36" s="39" t="s">
        <v>3964</v>
      </c>
      <c r="O36" s="39"/>
      <c r="P36" s="39"/>
      <c r="Q36" s="39"/>
      <c r="R36" s="39"/>
      <c r="S36" s="39"/>
      <c r="T36" s="39"/>
      <c r="U36" s="39"/>
      <c r="V36" s="39"/>
      <c r="W36" s="39"/>
    </row>
    <row r="37">
      <c r="A37" s="39" t="s">
        <v>4006</v>
      </c>
      <c r="B37" s="39" t="s">
        <v>4007</v>
      </c>
      <c r="C37" s="39" t="s">
        <v>4002</v>
      </c>
      <c r="D37" s="39" t="s">
        <v>4008</v>
      </c>
      <c r="E37" s="100" t="s">
        <v>4009</v>
      </c>
      <c r="F37" s="39" t="s">
        <v>3840</v>
      </c>
      <c r="G37" s="39" t="s">
        <v>4010</v>
      </c>
      <c r="I37" s="130"/>
      <c r="J37" s="39" t="s">
        <v>1547</v>
      </c>
      <c r="K37" s="39" t="s">
        <v>1766</v>
      </c>
      <c r="M37" s="39" t="s">
        <v>3829</v>
      </c>
      <c r="N37" s="39" t="s">
        <v>3964</v>
      </c>
      <c r="O37" s="39"/>
      <c r="P37" s="39"/>
      <c r="Q37" s="39"/>
      <c r="R37" s="39"/>
      <c r="S37" s="39"/>
      <c r="T37" s="39"/>
      <c r="U37" s="39"/>
      <c r="V37" s="39"/>
      <c r="W37" s="39"/>
    </row>
    <row r="38">
      <c r="A38" s="39" t="s">
        <v>4011</v>
      </c>
      <c r="B38" s="39" t="s">
        <v>4012</v>
      </c>
      <c r="C38" s="39" t="s">
        <v>4002</v>
      </c>
      <c r="D38" s="39" t="s">
        <v>4013</v>
      </c>
      <c r="E38" s="100" t="s">
        <v>4014</v>
      </c>
      <c r="F38" s="39" t="s">
        <v>3840</v>
      </c>
      <c r="G38" s="39" t="s">
        <v>4015</v>
      </c>
      <c r="I38" s="130"/>
      <c r="J38" s="39" t="s">
        <v>1547</v>
      </c>
      <c r="K38" s="39" t="s">
        <v>1812</v>
      </c>
      <c r="M38" s="39" t="s">
        <v>3829</v>
      </c>
      <c r="N38" s="39" t="s">
        <v>3964</v>
      </c>
      <c r="O38" s="39"/>
      <c r="P38" s="39"/>
      <c r="Q38" s="39"/>
      <c r="R38" s="39"/>
      <c r="S38" s="39"/>
      <c r="T38" s="39"/>
      <c r="U38" s="39"/>
      <c r="V38" s="39"/>
      <c r="W38" s="39"/>
    </row>
    <row r="39">
      <c r="A39" s="39" t="s">
        <v>4016</v>
      </c>
      <c r="B39" s="39" t="s">
        <v>4017</v>
      </c>
      <c r="C39" s="39" t="s">
        <v>4002</v>
      </c>
      <c r="D39" s="39" t="s">
        <v>4018</v>
      </c>
      <c r="E39" s="100" t="s">
        <v>4019</v>
      </c>
      <c r="F39" s="39" t="s">
        <v>3840</v>
      </c>
      <c r="G39" s="39" t="s">
        <v>4020</v>
      </c>
      <c r="J39" s="39" t="s">
        <v>1547</v>
      </c>
      <c r="K39" s="39" t="s">
        <v>1295</v>
      </c>
      <c r="L39" s="37"/>
      <c r="M39" s="39" t="s">
        <v>3829</v>
      </c>
      <c r="N39" s="39" t="s">
        <v>3964</v>
      </c>
      <c r="O39" s="39"/>
      <c r="P39" s="39"/>
      <c r="Q39" s="39"/>
      <c r="R39" s="39"/>
      <c r="S39" s="39"/>
      <c r="T39" s="39"/>
      <c r="U39" s="39"/>
      <c r="V39" s="39"/>
      <c r="W39" s="39"/>
    </row>
    <row r="40">
      <c r="A40" s="39" t="s">
        <v>4021</v>
      </c>
      <c r="B40" s="39" t="s">
        <v>4022</v>
      </c>
      <c r="C40" s="39" t="s">
        <v>4023</v>
      </c>
      <c r="D40" s="39" t="s">
        <v>4024</v>
      </c>
      <c r="E40" s="100" t="s">
        <v>4025</v>
      </c>
      <c r="F40" s="39" t="s">
        <v>3840</v>
      </c>
      <c r="G40" s="39" t="s">
        <v>4026</v>
      </c>
      <c r="J40" s="39" t="s">
        <v>4027</v>
      </c>
      <c r="K40" s="39" t="s">
        <v>1788</v>
      </c>
      <c r="L40" s="37"/>
      <c r="M40" s="39" t="s">
        <v>3829</v>
      </c>
      <c r="N40" s="39" t="s">
        <v>3964</v>
      </c>
      <c r="O40" s="39"/>
      <c r="P40" s="39"/>
      <c r="Q40" s="39"/>
      <c r="R40" s="39"/>
      <c r="S40" s="39"/>
      <c r="T40" s="39"/>
      <c r="U40" s="39"/>
      <c r="V40" s="39"/>
      <c r="W40" s="39"/>
    </row>
    <row r="41">
      <c r="A41" s="39" t="s">
        <v>4028</v>
      </c>
      <c r="B41" s="39" t="s">
        <v>4029</v>
      </c>
      <c r="C41" s="39" t="s">
        <v>4002</v>
      </c>
      <c r="D41" s="39" t="s">
        <v>4030</v>
      </c>
      <c r="E41" s="100" t="s">
        <v>4031</v>
      </c>
      <c r="F41" s="39" t="s">
        <v>3840</v>
      </c>
      <c r="G41" s="39" t="s">
        <v>4032</v>
      </c>
      <c r="J41" s="39" t="s">
        <v>4027</v>
      </c>
      <c r="K41" s="39" t="s">
        <v>1760</v>
      </c>
      <c r="L41" s="37"/>
      <c r="M41" s="39" t="s">
        <v>3829</v>
      </c>
      <c r="N41" s="39" t="s">
        <v>3964</v>
      </c>
      <c r="O41" s="39"/>
      <c r="P41" s="39"/>
      <c r="Q41" s="39"/>
      <c r="R41" s="39"/>
      <c r="S41" s="39"/>
      <c r="T41" s="39"/>
      <c r="U41" s="39"/>
      <c r="V41" s="39"/>
      <c r="W41" s="39"/>
    </row>
    <row r="42">
      <c r="A42" s="39" t="s">
        <v>4033</v>
      </c>
      <c r="B42" s="39" t="s">
        <v>4034</v>
      </c>
      <c r="C42" s="39" t="s">
        <v>4035</v>
      </c>
      <c r="D42" s="39" t="s">
        <v>4036</v>
      </c>
      <c r="E42" s="100" t="s">
        <v>4037</v>
      </c>
      <c r="F42" s="39" t="s">
        <v>3840</v>
      </c>
      <c r="G42" s="39" t="s">
        <v>4038</v>
      </c>
      <c r="J42" s="39" t="s">
        <v>4027</v>
      </c>
      <c r="K42" s="39" t="s">
        <v>1766</v>
      </c>
      <c r="L42" s="37"/>
      <c r="M42" s="39" t="s">
        <v>3829</v>
      </c>
      <c r="N42" s="39" t="s">
        <v>3964</v>
      </c>
      <c r="O42" s="39"/>
      <c r="P42" s="39"/>
      <c r="Q42" s="39"/>
      <c r="R42" s="39"/>
      <c r="S42" s="39"/>
      <c r="T42" s="39"/>
      <c r="U42" s="39"/>
      <c r="V42" s="39"/>
      <c r="W42" s="39"/>
    </row>
    <row r="43">
      <c r="A43" s="39" t="s">
        <v>4039</v>
      </c>
      <c r="B43" s="39" t="s">
        <v>4040</v>
      </c>
      <c r="C43" s="39" t="s">
        <v>4041</v>
      </c>
      <c r="D43" s="39" t="s">
        <v>4042</v>
      </c>
      <c r="E43" s="100" t="s">
        <v>4043</v>
      </c>
      <c r="F43" s="39" t="s">
        <v>3840</v>
      </c>
      <c r="G43" s="39" t="s">
        <v>4044</v>
      </c>
      <c r="J43" s="39" t="s">
        <v>1590</v>
      </c>
      <c r="K43" s="39" t="s">
        <v>1766</v>
      </c>
      <c r="L43" s="37"/>
      <c r="M43" s="39" t="s">
        <v>3829</v>
      </c>
      <c r="N43" s="39" t="s">
        <v>3964</v>
      </c>
      <c r="O43" s="39"/>
      <c r="P43" s="39"/>
      <c r="Q43" s="39"/>
      <c r="R43" s="39"/>
      <c r="S43" s="39"/>
      <c r="T43" s="39"/>
      <c r="U43" s="39"/>
      <c r="V43" s="39"/>
      <c r="W43" s="39"/>
    </row>
    <row r="44">
      <c r="A44" s="39" t="s">
        <v>4045</v>
      </c>
      <c r="B44" s="39" t="s">
        <v>4046</v>
      </c>
      <c r="C44" s="39" t="s">
        <v>4047</v>
      </c>
      <c r="D44" s="39" t="s">
        <v>4048</v>
      </c>
      <c r="E44" s="100" t="s">
        <v>4049</v>
      </c>
      <c r="F44" s="39" t="s">
        <v>3840</v>
      </c>
      <c r="G44" s="39" t="s">
        <v>4050</v>
      </c>
      <c r="J44" s="39" t="s">
        <v>1590</v>
      </c>
      <c r="K44" s="39" t="s">
        <v>1797</v>
      </c>
      <c r="L44" s="37"/>
      <c r="M44" s="39" t="s">
        <v>3829</v>
      </c>
      <c r="N44" s="39" t="s">
        <v>3964</v>
      </c>
      <c r="O44" s="39"/>
      <c r="P44" s="39"/>
      <c r="Q44" s="39"/>
      <c r="R44" s="39"/>
      <c r="S44" s="39"/>
      <c r="T44" s="39"/>
      <c r="U44" s="39"/>
      <c r="V44" s="39"/>
      <c r="W44" s="39"/>
    </row>
    <row r="45">
      <c r="A45" s="39" t="s">
        <v>4051</v>
      </c>
      <c r="B45" s="39" t="s">
        <v>4052</v>
      </c>
      <c r="C45" s="39" t="s">
        <v>4047</v>
      </c>
      <c r="D45" s="39" t="s">
        <v>4053</v>
      </c>
      <c r="E45" s="100" t="s">
        <v>4054</v>
      </c>
      <c r="F45" s="39" t="s">
        <v>3840</v>
      </c>
      <c r="G45" s="39" t="s">
        <v>4055</v>
      </c>
      <c r="J45" s="39" t="s">
        <v>1590</v>
      </c>
      <c r="K45" s="39" t="s">
        <v>1763</v>
      </c>
      <c r="L45" s="37"/>
      <c r="M45" s="39" t="s">
        <v>3829</v>
      </c>
      <c r="N45" s="39" t="s">
        <v>3964</v>
      </c>
      <c r="O45" s="39"/>
      <c r="P45" s="39"/>
      <c r="Q45" s="39"/>
      <c r="R45" s="39"/>
      <c r="S45" s="39"/>
      <c r="T45" s="39"/>
      <c r="U45" s="39"/>
      <c r="V45" s="39"/>
      <c r="W45" s="39"/>
    </row>
    <row r="46">
      <c r="A46" s="39" t="s">
        <v>4056</v>
      </c>
      <c r="B46" s="39" t="s">
        <v>4057</v>
      </c>
      <c r="C46" s="39" t="s">
        <v>1820</v>
      </c>
      <c r="D46" s="39" t="s">
        <v>4058</v>
      </c>
      <c r="E46" s="100" t="s">
        <v>4059</v>
      </c>
      <c r="F46" s="39" t="s">
        <v>3840</v>
      </c>
      <c r="G46" s="39" t="s">
        <v>4060</v>
      </c>
      <c r="J46" s="39" t="s">
        <v>1580</v>
      </c>
      <c r="K46" s="39" t="s">
        <v>1781</v>
      </c>
      <c r="L46" s="37"/>
      <c r="M46" s="39" t="s">
        <v>3829</v>
      </c>
      <c r="N46" s="39" t="s">
        <v>3964</v>
      </c>
      <c r="O46" s="39"/>
      <c r="P46" s="39"/>
      <c r="Q46" s="39"/>
      <c r="R46" s="39"/>
      <c r="S46" s="39"/>
      <c r="T46" s="39"/>
      <c r="U46" s="39"/>
      <c r="V46" s="39"/>
      <c r="W46" s="39"/>
    </row>
    <row r="47">
      <c r="F47" s="37"/>
      <c r="J47" s="39" t="s">
        <v>1580</v>
      </c>
      <c r="K47" s="39" t="s">
        <v>1788</v>
      </c>
      <c r="L47" s="37"/>
      <c r="M47" s="39" t="s">
        <v>3829</v>
      </c>
      <c r="N47" s="39" t="s">
        <v>3964</v>
      </c>
      <c r="O47" s="39"/>
      <c r="P47" s="39"/>
      <c r="Q47" s="39"/>
      <c r="R47" s="39"/>
      <c r="S47" s="39"/>
      <c r="T47" s="39"/>
      <c r="U47" s="39"/>
      <c r="V47" s="39"/>
      <c r="W47" s="39"/>
    </row>
    <row r="48">
      <c r="F48" s="37"/>
      <c r="J48" s="39" t="s">
        <v>1580</v>
      </c>
      <c r="K48" s="39" t="s">
        <v>1763</v>
      </c>
      <c r="L48" s="37"/>
      <c r="M48" s="39" t="s">
        <v>3829</v>
      </c>
      <c r="N48" s="39" t="s">
        <v>3964</v>
      </c>
      <c r="O48" s="39"/>
      <c r="P48" s="39"/>
      <c r="Q48" s="39"/>
      <c r="R48" s="39"/>
      <c r="S48" s="39"/>
      <c r="T48" s="39"/>
      <c r="U48" s="39"/>
      <c r="V48" s="39"/>
      <c r="W48" s="39"/>
    </row>
    <row r="49">
      <c r="F49" s="37"/>
      <c r="J49" s="39" t="s">
        <v>4061</v>
      </c>
      <c r="K49" s="39" t="s">
        <v>1781</v>
      </c>
      <c r="L49" s="37"/>
      <c r="M49" s="39" t="s">
        <v>3829</v>
      </c>
      <c r="N49" s="39" t="s">
        <v>3964</v>
      </c>
      <c r="O49" s="39"/>
      <c r="P49" s="39"/>
      <c r="Q49" s="39"/>
      <c r="R49" s="39"/>
      <c r="S49" s="39"/>
      <c r="T49" s="39"/>
      <c r="U49" s="39"/>
      <c r="V49" s="39"/>
      <c r="W49" s="39"/>
    </row>
    <row r="50">
      <c r="F50" s="37"/>
      <c r="J50" s="39" t="s">
        <v>4061</v>
      </c>
      <c r="K50" s="39" t="s">
        <v>1763</v>
      </c>
      <c r="L50" s="37"/>
      <c r="M50" s="39" t="s">
        <v>3829</v>
      </c>
      <c r="N50" s="39" t="s">
        <v>3964</v>
      </c>
      <c r="O50" s="39"/>
      <c r="P50" s="39"/>
      <c r="Q50" s="39"/>
      <c r="R50" s="39"/>
      <c r="S50" s="39"/>
      <c r="T50" s="39"/>
      <c r="U50" s="39"/>
      <c r="V50" s="39"/>
      <c r="W50" s="39"/>
    </row>
    <row r="51">
      <c r="F51" s="37"/>
      <c r="J51" s="39" t="s">
        <v>4061</v>
      </c>
      <c r="K51" s="39" t="s">
        <v>1778</v>
      </c>
      <c r="L51" s="37"/>
      <c r="M51" s="39" t="s">
        <v>3829</v>
      </c>
      <c r="N51" s="39" t="s">
        <v>3964</v>
      </c>
      <c r="O51" s="39"/>
      <c r="P51" s="39"/>
      <c r="Q51" s="39"/>
      <c r="R51" s="39"/>
      <c r="S51" s="39"/>
      <c r="T51" s="39"/>
      <c r="U51" s="39"/>
      <c r="V51" s="39"/>
      <c r="W51" s="39"/>
    </row>
    <row r="52">
      <c r="F52" s="37"/>
      <c r="J52" s="39" t="s">
        <v>4062</v>
      </c>
      <c r="K52" s="39" t="s">
        <v>1781</v>
      </c>
      <c r="L52" s="37"/>
      <c r="M52" s="39" t="s">
        <v>3829</v>
      </c>
      <c r="N52" s="39" t="s">
        <v>3964</v>
      </c>
      <c r="O52" s="39"/>
      <c r="P52" s="39"/>
      <c r="Q52" s="39"/>
      <c r="R52" s="39"/>
      <c r="S52" s="39"/>
      <c r="T52" s="39"/>
      <c r="U52" s="39"/>
      <c r="V52" s="39"/>
      <c r="W52" s="39"/>
    </row>
    <row r="53">
      <c r="F53" s="37"/>
      <c r="J53" s="39" t="s">
        <v>4062</v>
      </c>
      <c r="K53" s="39" t="s">
        <v>1778</v>
      </c>
      <c r="L53" s="37"/>
      <c r="M53" s="39" t="s">
        <v>3829</v>
      </c>
      <c r="N53" s="39" t="s">
        <v>3964</v>
      </c>
      <c r="O53" s="39"/>
      <c r="P53" s="39"/>
      <c r="Q53" s="39"/>
      <c r="R53" s="39"/>
      <c r="S53" s="39"/>
      <c r="T53" s="39"/>
      <c r="U53" s="39"/>
      <c r="V53" s="39"/>
      <c r="W53" s="39"/>
    </row>
    <row r="54">
      <c r="F54" s="37"/>
      <c r="J54" s="39" t="s">
        <v>4062</v>
      </c>
      <c r="K54" s="39" t="s">
        <v>1280</v>
      </c>
      <c r="L54" s="37"/>
      <c r="M54" s="39" t="s">
        <v>3829</v>
      </c>
      <c r="N54" s="39" t="s">
        <v>3964</v>
      </c>
      <c r="O54" s="39"/>
      <c r="P54" s="39"/>
      <c r="Q54" s="39"/>
      <c r="R54" s="39"/>
      <c r="S54" s="39"/>
      <c r="T54" s="39"/>
      <c r="U54" s="39"/>
      <c r="V54" s="39"/>
      <c r="W54" s="39"/>
    </row>
    <row r="55">
      <c r="F55" s="37"/>
      <c r="J55" s="39" t="s">
        <v>4063</v>
      </c>
      <c r="K55" s="39" t="s">
        <v>1778</v>
      </c>
      <c r="L55" s="37"/>
      <c r="M55" s="39" t="s">
        <v>3829</v>
      </c>
      <c r="N55" s="39" t="s">
        <v>3964</v>
      </c>
      <c r="O55" s="39"/>
      <c r="P55" s="39"/>
      <c r="Q55" s="39"/>
      <c r="R55" s="39"/>
      <c r="S55" s="39"/>
      <c r="T55" s="39"/>
      <c r="U55" s="39"/>
      <c r="V55" s="39"/>
      <c r="W55" s="39"/>
    </row>
    <row r="56">
      <c r="F56" s="37"/>
      <c r="J56" s="39" t="s">
        <v>4063</v>
      </c>
      <c r="K56" s="39" t="s">
        <v>1788</v>
      </c>
      <c r="L56" s="37"/>
      <c r="M56" s="39" t="s">
        <v>3829</v>
      </c>
      <c r="N56" s="39" t="s">
        <v>3964</v>
      </c>
      <c r="O56" s="39"/>
      <c r="P56" s="39"/>
      <c r="Q56" s="39"/>
      <c r="R56" s="39"/>
      <c r="S56" s="39"/>
      <c r="T56" s="39"/>
      <c r="U56" s="39"/>
      <c r="V56" s="39"/>
      <c r="W56" s="39"/>
    </row>
    <row r="57">
      <c r="F57" s="37"/>
      <c r="J57" s="39" t="s">
        <v>4063</v>
      </c>
      <c r="K57" s="39" t="s">
        <v>1280</v>
      </c>
      <c r="L57" s="37"/>
      <c r="M57" s="39" t="s">
        <v>3829</v>
      </c>
      <c r="N57" s="39" t="s">
        <v>3964</v>
      </c>
      <c r="O57" s="39"/>
      <c r="P57" s="39"/>
      <c r="Q57" s="39"/>
      <c r="R57" s="39"/>
      <c r="S57" s="39"/>
      <c r="T57" s="39"/>
      <c r="U57" s="39"/>
      <c r="V57" s="39"/>
      <c r="W57" s="39"/>
    </row>
    <row r="58">
      <c r="F58" s="37"/>
      <c r="J58" s="39" t="s">
        <v>4064</v>
      </c>
      <c r="K58" s="39" t="s">
        <v>1766</v>
      </c>
      <c r="L58" s="37"/>
      <c r="M58" s="39" t="s">
        <v>3829</v>
      </c>
      <c r="N58" s="39" t="s">
        <v>4065</v>
      </c>
      <c r="O58" s="39"/>
      <c r="P58" s="39"/>
      <c r="Q58" s="39"/>
      <c r="R58" s="39"/>
      <c r="S58" s="39"/>
      <c r="T58" s="39"/>
      <c r="U58" s="39"/>
      <c r="V58" s="39"/>
      <c r="W58" s="39"/>
    </row>
    <row r="59">
      <c r="F59" s="37"/>
      <c r="J59" s="39" t="s">
        <v>4064</v>
      </c>
      <c r="K59" s="39" t="s">
        <v>1812</v>
      </c>
      <c r="L59" s="37"/>
      <c r="M59" s="39" t="s">
        <v>3829</v>
      </c>
      <c r="N59" s="39" t="s">
        <v>4065</v>
      </c>
      <c r="O59" s="39"/>
      <c r="P59" s="39"/>
      <c r="Q59" s="39"/>
      <c r="R59" s="39"/>
      <c r="S59" s="39"/>
      <c r="T59" s="39"/>
      <c r="U59" s="39"/>
      <c r="V59" s="39"/>
      <c r="W59" s="39"/>
    </row>
    <row r="60">
      <c r="F60" s="37"/>
      <c r="J60" s="39" t="s">
        <v>4064</v>
      </c>
      <c r="K60" s="39" t="s">
        <v>1295</v>
      </c>
      <c r="L60" s="37"/>
      <c r="M60" s="39" t="s">
        <v>3829</v>
      </c>
      <c r="N60" s="39" t="s">
        <v>4066</v>
      </c>
      <c r="O60" s="39"/>
      <c r="P60" s="39"/>
      <c r="Q60" s="39"/>
      <c r="R60" s="39"/>
      <c r="S60" s="39"/>
      <c r="T60" s="39"/>
      <c r="U60" s="39"/>
      <c r="V60" s="39"/>
      <c r="W60" s="39"/>
    </row>
    <row r="61">
      <c r="F61" s="37"/>
      <c r="J61" s="39" t="s">
        <v>4067</v>
      </c>
      <c r="L61" s="37"/>
      <c r="M61" s="39" t="s">
        <v>4068</v>
      </c>
      <c r="N61" s="39" t="s">
        <v>4069</v>
      </c>
      <c r="O61" s="39"/>
      <c r="P61" s="39"/>
      <c r="Q61" s="39"/>
      <c r="R61" s="39"/>
      <c r="S61" s="39"/>
      <c r="T61" s="39"/>
      <c r="U61" s="39"/>
      <c r="V61" s="39"/>
      <c r="W61" s="39"/>
    </row>
    <row r="62">
      <c r="F62" s="37"/>
      <c r="J62" s="39" t="s">
        <v>4070</v>
      </c>
      <c r="L62" s="37"/>
      <c r="M62" s="39" t="s">
        <v>4068</v>
      </c>
      <c r="N62" s="39" t="s">
        <v>4071</v>
      </c>
      <c r="O62" s="39"/>
      <c r="P62" s="39"/>
      <c r="Q62" s="39"/>
      <c r="R62" s="39"/>
      <c r="S62" s="39"/>
      <c r="T62" s="39"/>
      <c r="U62" s="39"/>
      <c r="V62" s="39"/>
      <c r="W62" s="39"/>
    </row>
    <row r="63">
      <c r="F63" s="37"/>
      <c r="J63" s="39" t="s">
        <v>4072</v>
      </c>
      <c r="L63" s="37"/>
      <c r="M63" s="39" t="s">
        <v>4068</v>
      </c>
      <c r="N63" s="39" t="s">
        <v>4071</v>
      </c>
      <c r="O63" s="39"/>
      <c r="P63" s="39"/>
      <c r="Q63" s="39"/>
      <c r="R63" s="39"/>
      <c r="S63" s="39"/>
      <c r="T63" s="39"/>
      <c r="U63" s="39"/>
      <c r="V63" s="39"/>
      <c r="W63" s="39"/>
    </row>
    <row r="64">
      <c r="F64" s="37"/>
      <c r="J64" s="39" t="s">
        <v>4073</v>
      </c>
      <c r="L64" s="37"/>
      <c r="M64" s="39" t="s">
        <v>4068</v>
      </c>
      <c r="N64" s="39" t="s">
        <v>4071</v>
      </c>
      <c r="O64" s="39"/>
      <c r="P64" s="39"/>
      <c r="Q64" s="39"/>
      <c r="R64" s="39"/>
      <c r="S64" s="39"/>
      <c r="T64" s="39"/>
      <c r="U64" s="39"/>
      <c r="V64" s="39"/>
      <c r="W64" s="39"/>
    </row>
    <row r="65">
      <c r="F65" s="37"/>
      <c r="J65" s="39" t="s">
        <v>1554</v>
      </c>
      <c r="L65" s="37"/>
      <c r="M65" s="39" t="s">
        <v>4068</v>
      </c>
      <c r="N65" s="39" t="s">
        <v>4071</v>
      </c>
      <c r="O65" s="39"/>
      <c r="P65" s="39"/>
      <c r="Q65" s="39"/>
      <c r="R65" s="39"/>
      <c r="S65" s="39"/>
      <c r="T65" s="39"/>
      <c r="U65" s="39"/>
      <c r="V65" s="39"/>
      <c r="W65" s="39"/>
    </row>
    <row r="66">
      <c r="F66" s="37"/>
      <c r="J66" s="39" t="s">
        <v>4074</v>
      </c>
      <c r="L66" s="37"/>
      <c r="M66" s="39" t="s">
        <v>4068</v>
      </c>
      <c r="N66" s="39" t="s">
        <v>4075</v>
      </c>
      <c r="O66" s="39"/>
      <c r="P66" s="39"/>
      <c r="Q66" s="39"/>
      <c r="R66" s="39"/>
      <c r="S66" s="39"/>
      <c r="T66" s="39"/>
      <c r="U66" s="39"/>
      <c r="V66" s="39"/>
      <c r="W66" s="39"/>
    </row>
    <row r="67">
      <c r="F67" s="37"/>
      <c r="J67" s="39" t="s">
        <v>1561</v>
      </c>
      <c r="L67" s="37"/>
      <c r="M67" s="39" t="s">
        <v>4068</v>
      </c>
      <c r="N67" s="39" t="s">
        <v>4075</v>
      </c>
      <c r="O67" s="39"/>
      <c r="P67" s="39"/>
      <c r="Q67" s="39"/>
      <c r="R67" s="39"/>
      <c r="S67" s="39"/>
      <c r="T67" s="39"/>
      <c r="U67" s="39"/>
      <c r="V67" s="39"/>
      <c r="W67" s="39"/>
    </row>
    <row r="68">
      <c r="F68" s="37"/>
      <c r="J68" s="39" t="s">
        <v>3319</v>
      </c>
      <c r="L68" s="37"/>
      <c r="M68" s="39" t="s">
        <v>4068</v>
      </c>
      <c r="N68" s="39" t="s">
        <v>4076</v>
      </c>
      <c r="O68" s="39"/>
      <c r="P68" s="39"/>
      <c r="Q68" s="39"/>
      <c r="R68" s="39"/>
      <c r="S68" s="39"/>
      <c r="T68" s="39"/>
      <c r="U68" s="39"/>
      <c r="V68" s="39"/>
      <c r="W68" s="39"/>
    </row>
    <row r="69">
      <c r="F69" s="37"/>
      <c r="J69" s="39" t="s">
        <v>3356</v>
      </c>
      <c r="L69" s="37"/>
      <c r="M69" s="39" t="s">
        <v>4068</v>
      </c>
      <c r="N69" s="39" t="s">
        <v>4076</v>
      </c>
      <c r="O69" s="39"/>
      <c r="P69" s="39"/>
      <c r="Q69" s="39"/>
      <c r="R69" s="39"/>
      <c r="S69" s="39"/>
      <c r="T69" s="39"/>
      <c r="U69" s="39"/>
      <c r="V69" s="39"/>
      <c r="W69" s="39"/>
    </row>
    <row r="70">
      <c r="F70" s="37"/>
      <c r="J70" s="39" t="s">
        <v>4077</v>
      </c>
      <c r="L70" s="37"/>
      <c r="M70" s="39" t="s">
        <v>4068</v>
      </c>
      <c r="N70" s="39" t="s">
        <v>4076</v>
      </c>
      <c r="O70" s="39"/>
      <c r="P70" s="39"/>
      <c r="Q70" s="39"/>
      <c r="R70" s="39"/>
      <c r="S70" s="39"/>
      <c r="T70" s="39"/>
      <c r="U70" s="39"/>
      <c r="V70" s="39"/>
      <c r="W70" s="39"/>
    </row>
    <row r="71">
      <c r="F71" s="37"/>
      <c r="J71" s="39" t="s">
        <v>4078</v>
      </c>
      <c r="L71" s="37"/>
      <c r="M71" s="39" t="s">
        <v>4068</v>
      </c>
      <c r="N71" s="39" t="s">
        <v>4076</v>
      </c>
      <c r="O71" s="39"/>
      <c r="P71" s="39"/>
      <c r="Q71" s="39"/>
      <c r="R71" s="39"/>
      <c r="S71" s="39"/>
      <c r="T71" s="39"/>
      <c r="U71" s="39"/>
      <c r="V71" s="39"/>
      <c r="W71" s="39"/>
    </row>
    <row r="72">
      <c r="F72" s="37"/>
      <c r="J72" s="39" t="s">
        <v>4079</v>
      </c>
      <c r="L72" s="37"/>
      <c r="M72" s="39" t="s">
        <v>4068</v>
      </c>
      <c r="N72" s="39" t="s">
        <v>4080</v>
      </c>
      <c r="O72" s="39"/>
      <c r="P72" s="39"/>
      <c r="Q72" s="39"/>
      <c r="R72" s="39"/>
      <c r="S72" s="39"/>
      <c r="T72" s="39"/>
      <c r="U72" s="39"/>
      <c r="V72" s="39"/>
      <c r="W72" s="39"/>
    </row>
    <row r="73">
      <c r="F73" s="37"/>
      <c r="J73" s="39" t="s">
        <v>1609</v>
      </c>
      <c r="L73" s="37"/>
      <c r="M73" s="39" t="s">
        <v>4068</v>
      </c>
      <c r="N73" s="39" t="s">
        <v>4080</v>
      </c>
      <c r="O73" s="39"/>
      <c r="P73" s="39"/>
      <c r="Q73" s="39"/>
      <c r="R73" s="39"/>
      <c r="S73" s="39"/>
      <c r="T73" s="39"/>
      <c r="U73" s="39"/>
      <c r="V73" s="39"/>
      <c r="W73" s="39"/>
    </row>
    <row r="74">
      <c r="F74" s="37"/>
      <c r="J74" s="39" t="s">
        <v>4081</v>
      </c>
      <c r="L74" s="37"/>
      <c r="M74" s="39" t="s">
        <v>4068</v>
      </c>
      <c r="N74" s="39" t="s">
        <v>4076</v>
      </c>
      <c r="O74" s="39"/>
      <c r="P74" s="39"/>
      <c r="Q74" s="39"/>
      <c r="R74" s="39"/>
      <c r="S74" s="39"/>
      <c r="T74" s="39"/>
      <c r="U74" s="39"/>
      <c r="V74" s="39"/>
      <c r="W74" s="39"/>
    </row>
    <row r="75">
      <c r="F75" s="37"/>
      <c r="J75" s="39" t="s">
        <v>4082</v>
      </c>
      <c r="L75" s="37"/>
      <c r="M75" s="39" t="s">
        <v>4068</v>
      </c>
      <c r="N75" s="39" t="s">
        <v>4076</v>
      </c>
      <c r="O75" s="39"/>
      <c r="P75" s="39"/>
      <c r="Q75" s="39"/>
      <c r="R75" s="39"/>
      <c r="S75" s="39"/>
      <c r="T75" s="39"/>
      <c r="U75" s="39"/>
      <c r="V75" s="39"/>
      <c r="W75" s="39"/>
    </row>
    <row r="76">
      <c r="F76" s="37"/>
      <c r="J76" s="39" t="s">
        <v>4083</v>
      </c>
      <c r="L76" s="37"/>
      <c r="M76" s="39" t="s">
        <v>4068</v>
      </c>
      <c r="N76" s="39" t="s">
        <v>4076</v>
      </c>
      <c r="O76" s="39"/>
      <c r="P76" s="39"/>
      <c r="Q76" s="39"/>
      <c r="R76" s="39"/>
      <c r="S76" s="39"/>
      <c r="T76" s="39"/>
      <c r="U76" s="39"/>
      <c r="V76" s="39"/>
      <c r="W76" s="39"/>
    </row>
    <row r="77">
      <c r="F77" s="37"/>
      <c r="J77" s="39" t="s">
        <v>4084</v>
      </c>
      <c r="L77" s="37"/>
      <c r="M77" s="39" t="s">
        <v>4068</v>
      </c>
      <c r="N77" s="39" t="s">
        <v>4076</v>
      </c>
      <c r="O77" s="39"/>
      <c r="P77" s="39"/>
      <c r="Q77" s="39"/>
      <c r="R77" s="39"/>
      <c r="S77" s="39"/>
      <c r="T77" s="39"/>
      <c r="U77" s="39"/>
      <c r="V77" s="39"/>
      <c r="W77" s="39"/>
    </row>
    <row r="78">
      <c r="F78" s="37"/>
      <c r="J78" s="39" t="s">
        <v>4085</v>
      </c>
      <c r="L78" s="37"/>
      <c r="M78" s="39" t="s">
        <v>4068</v>
      </c>
      <c r="N78" s="39" t="s">
        <v>4086</v>
      </c>
      <c r="O78" s="39"/>
      <c r="P78" s="39"/>
      <c r="Q78" s="39"/>
      <c r="R78" s="39"/>
      <c r="S78" s="39"/>
      <c r="T78" s="39"/>
      <c r="U78" s="39"/>
      <c r="V78" s="39"/>
      <c r="W78" s="39"/>
    </row>
    <row r="79">
      <c r="F79" s="37"/>
      <c r="J79" s="39" t="s">
        <v>4087</v>
      </c>
      <c r="L79" s="37"/>
      <c r="M79" s="39" t="s">
        <v>4068</v>
      </c>
      <c r="N79" s="39" t="s">
        <v>4076</v>
      </c>
      <c r="O79" s="39"/>
      <c r="P79" s="39"/>
      <c r="Q79" s="39"/>
      <c r="R79" s="39"/>
      <c r="S79" s="39"/>
      <c r="T79" s="39"/>
      <c r="U79" s="39"/>
      <c r="V79" s="39"/>
      <c r="W79" s="39"/>
    </row>
    <row r="80">
      <c r="F80" s="37"/>
      <c r="J80" s="39" t="s">
        <v>4088</v>
      </c>
      <c r="L80" s="37"/>
      <c r="M80" s="39" t="s">
        <v>4068</v>
      </c>
      <c r="N80" s="39" t="s">
        <v>4089</v>
      </c>
      <c r="O80" s="39"/>
      <c r="P80" s="39"/>
      <c r="Q80" s="39"/>
      <c r="R80" s="39"/>
      <c r="S80" s="39"/>
      <c r="T80" s="39"/>
      <c r="U80" s="39"/>
      <c r="V80" s="39"/>
      <c r="W80" s="39"/>
    </row>
    <row r="81">
      <c r="F81" s="37"/>
      <c r="J81" s="39" t="s">
        <v>1598</v>
      </c>
      <c r="L81" s="37"/>
      <c r="M81" s="39" t="s">
        <v>4068</v>
      </c>
      <c r="N81" s="39" t="s">
        <v>4090</v>
      </c>
      <c r="O81" s="39"/>
      <c r="P81" s="39"/>
      <c r="Q81" s="39"/>
      <c r="R81" s="39"/>
      <c r="S81" s="39"/>
      <c r="T81" s="39"/>
      <c r="U81" s="39"/>
      <c r="V81" s="39"/>
      <c r="W81" s="39"/>
    </row>
    <row r="82">
      <c r="F82" s="37"/>
      <c r="J82" s="39" t="s">
        <v>3339</v>
      </c>
      <c r="K82" s="39" t="s">
        <v>1778</v>
      </c>
      <c r="L82" s="39" t="s">
        <v>3353</v>
      </c>
      <c r="M82" s="39" t="s">
        <v>3840</v>
      </c>
      <c r="N82" s="39" t="s">
        <v>4091</v>
      </c>
      <c r="O82" s="39"/>
      <c r="P82" s="39"/>
      <c r="Q82" s="39"/>
      <c r="R82" s="39"/>
      <c r="S82" s="39"/>
      <c r="T82" s="39"/>
      <c r="U82" s="39"/>
      <c r="V82" s="39"/>
      <c r="W82" s="39"/>
    </row>
    <row r="83">
      <c r="F83" s="37"/>
      <c r="J83" s="39" t="s">
        <v>3353</v>
      </c>
      <c r="L83" s="37"/>
      <c r="M83" s="39" t="s">
        <v>4068</v>
      </c>
      <c r="N83" s="39" t="s">
        <v>4092</v>
      </c>
      <c r="O83" s="39"/>
      <c r="P83" s="39"/>
      <c r="Q83" s="39"/>
      <c r="R83" s="39"/>
      <c r="S83" s="39"/>
      <c r="T83" s="39"/>
      <c r="U83" s="39"/>
      <c r="V83" s="39"/>
      <c r="W83" s="39"/>
    </row>
    <row r="84">
      <c r="F84" s="37"/>
      <c r="J84" s="39" t="s">
        <v>4093</v>
      </c>
      <c r="L84" s="37"/>
      <c r="M84" s="39" t="s">
        <v>4068</v>
      </c>
      <c r="N84" s="39" t="s">
        <v>4092</v>
      </c>
      <c r="O84" s="39"/>
      <c r="P84" s="39"/>
      <c r="Q84" s="39"/>
      <c r="R84" s="39"/>
      <c r="S84" s="39"/>
      <c r="T84" s="39"/>
      <c r="U84" s="39"/>
      <c r="V84" s="39"/>
      <c r="W84" s="39"/>
    </row>
    <row r="85">
      <c r="F85" s="37"/>
      <c r="J85" s="39" t="s">
        <v>4094</v>
      </c>
      <c r="L85" s="37"/>
      <c r="M85" s="39" t="s">
        <v>4068</v>
      </c>
      <c r="N85" s="39" t="s">
        <v>4092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4095</v>
      </c>
      <c r="B1" s="64" t="s">
        <v>8</v>
      </c>
      <c r="C1" s="64" t="s">
        <v>3301</v>
      </c>
      <c r="D1" s="131" t="s">
        <v>4096</v>
      </c>
      <c r="E1" s="64" t="s">
        <v>4097</v>
      </c>
      <c r="F1" s="64" t="s">
        <v>4098</v>
      </c>
      <c r="G1" s="64" t="s">
        <v>4099</v>
      </c>
      <c r="H1" s="64" t="s">
        <v>4100</v>
      </c>
      <c r="I1" s="64" t="s">
        <v>4101</v>
      </c>
      <c r="J1" s="131" t="s">
        <v>4102</v>
      </c>
      <c r="K1" s="64" t="s">
        <v>4103</v>
      </c>
      <c r="L1" s="64" t="s">
        <v>4104</v>
      </c>
      <c r="M1" s="64" t="s">
        <v>4105</v>
      </c>
      <c r="N1" s="64" t="s">
        <v>4106</v>
      </c>
      <c r="O1" s="39" t="s">
        <v>4107</v>
      </c>
      <c r="P1" s="39" t="s">
        <v>4108</v>
      </c>
      <c r="Q1" s="39" t="s">
        <v>4109</v>
      </c>
      <c r="R1" s="39" t="s">
        <v>4110</v>
      </c>
      <c r="S1" s="39" t="s">
        <v>4111</v>
      </c>
      <c r="T1" s="39" t="s">
        <v>4112</v>
      </c>
      <c r="U1" s="39" t="s">
        <v>3302</v>
      </c>
      <c r="V1" s="39" t="s">
        <v>3303</v>
      </c>
      <c r="W1" s="39" t="s">
        <v>4113</v>
      </c>
      <c r="X1" s="39" t="s">
        <v>4114</v>
      </c>
      <c r="Y1" s="39" t="s">
        <v>4115</v>
      </c>
      <c r="Z1" s="39" t="s">
        <v>4116</v>
      </c>
      <c r="AA1" s="39" t="s">
        <v>4117</v>
      </c>
      <c r="AB1" s="39" t="s">
        <v>4118</v>
      </c>
      <c r="AC1" s="39" t="s">
        <v>4119</v>
      </c>
      <c r="AD1" s="39" t="s">
        <v>4120</v>
      </c>
      <c r="AE1" s="132" t="s">
        <v>4121</v>
      </c>
      <c r="AF1" s="132" t="s">
        <v>4122</v>
      </c>
      <c r="AG1" s="133" t="s">
        <v>4123</v>
      </c>
      <c r="AH1" s="132" t="s">
        <v>4124</v>
      </c>
      <c r="AI1" s="132" t="s">
        <v>4125</v>
      </c>
      <c r="AJ1" s="132" t="s">
        <v>4126</v>
      </c>
      <c r="AK1" s="132" t="s">
        <v>4127</v>
      </c>
      <c r="AL1" s="132" t="s">
        <v>4128</v>
      </c>
    </row>
    <row r="2" ht="18.75" customHeight="1">
      <c r="A2" s="64" t="s">
        <v>4129</v>
      </c>
      <c r="B2" s="64" t="s">
        <v>2994</v>
      </c>
      <c r="D2" s="134"/>
      <c r="J2" s="134"/>
    </row>
    <row r="3" ht="18.75" customHeight="1">
      <c r="A3" s="64" t="s">
        <v>4130</v>
      </c>
      <c r="B3" s="98" t="s">
        <v>4131</v>
      </c>
      <c r="C3" s="37" t="s">
        <v>4132</v>
      </c>
      <c r="D3" s="135">
        <v>0.012</v>
      </c>
      <c r="F3" s="39">
        <v>1.0</v>
      </c>
      <c r="J3" s="135">
        <v>0.5</v>
      </c>
      <c r="K3" s="39">
        <v>2.0</v>
      </c>
      <c r="N3" s="39">
        <v>5.0</v>
      </c>
      <c r="O3" s="39" t="s">
        <v>4133</v>
      </c>
      <c r="P3" s="39" t="s">
        <v>4134</v>
      </c>
      <c r="Q3" s="39">
        <v>0.0</v>
      </c>
      <c r="R3" s="39" t="b">
        <v>0</v>
      </c>
      <c r="S3" s="39" t="b">
        <v>0</v>
      </c>
      <c r="T3" s="39" t="s">
        <v>3244</v>
      </c>
      <c r="U3" s="39" t="s">
        <v>4135</v>
      </c>
      <c r="V3" s="39">
        <v>1.0</v>
      </c>
      <c r="W3" s="39" t="b">
        <v>1</v>
      </c>
      <c r="X3" s="39">
        <v>4.0</v>
      </c>
      <c r="Y3" s="39" t="s">
        <v>4136</v>
      </c>
      <c r="Z3" s="39">
        <v>0.0</v>
      </c>
      <c r="AA3" s="39">
        <v>3.0</v>
      </c>
      <c r="AB3" s="39" t="s">
        <v>284</v>
      </c>
      <c r="AC3" s="39">
        <v>20.0</v>
      </c>
      <c r="AD3" s="39">
        <v>20.0</v>
      </c>
      <c r="AE3" s="39"/>
      <c r="AF3" s="39"/>
      <c r="AG3" s="39"/>
      <c r="AH3" s="39" t="s">
        <v>4137</v>
      </c>
      <c r="AI3" s="39" t="s">
        <v>4138</v>
      </c>
      <c r="AJ3" s="39">
        <v>2.0</v>
      </c>
      <c r="AK3" s="39"/>
      <c r="AL3" s="39"/>
    </row>
    <row r="4" ht="18.75" customHeight="1">
      <c r="A4" s="64" t="s">
        <v>3183</v>
      </c>
      <c r="B4" s="64" t="s">
        <v>4139</v>
      </c>
      <c r="C4" s="37" t="s">
        <v>4140</v>
      </c>
      <c r="D4" s="135">
        <v>0.01</v>
      </c>
      <c r="F4" s="39">
        <v>1.0</v>
      </c>
      <c r="J4" s="135">
        <v>0.5</v>
      </c>
      <c r="K4" s="39">
        <v>2.0</v>
      </c>
      <c r="N4" s="39">
        <v>4.0</v>
      </c>
      <c r="O4" s="39" t="s">
        <v>4141</v>
      </c>
      <c r="P4" s="39" t="s">
        <v>4134</v>
      </c>
      <c r="Q4" s="39">
        <v>0.0</v>
      </c>
      <c r="R4" s="39" t="b">
        <v>0</v>
      </c>
      <c r="S4" s="39" t="b">
        <v>0</v>
      </c>
      <c r="T4" s="39" t="s">
        <v>453</v>
      </c>
      <c r="U4" s="39" t="s">
        <v>4135</v>
      </c>
      <c r="V4" s="39">
        <v>2.0</v>
      </c>
      <c r="W4" s="39" t="b">
        <v>1</v>
      </c>
      <c r="X4" s="39">
        <v>4.0</v>
      </c>
      <c r="Y4" s="39" t="s">
        <v>4142</v>
      </c>
      <c r="Z4" s="39">
        <v>0.0</v>
      </c>
      <c r="AA4" s="39">
        <v>1.0</v>
      </c>
      <c r="AB4" s="39" t="s">
        <v>1782</v>
      </c>
      <c r="AC4" s="39">
        <v>20.0</v>
      </c>
      <c r="AD4" s="39">
        <v>0.0</v>
      </c>
      <c r="AE4" s="39" t="s">
        <v>4143</v>
      </c>
      <c r="AF4" s="39">
        <v>0.0</v>
      </c>
      <c r="AG4" s="39"/>
      <c r="AH4" s="39" t="s">
        <v>4137</v>
      </c>
      <c r="AI4" s="39" t="s">
        <v>4144</v>
      </c>
      <c r="AJ4" s="39">
        <v>2.0</v>
      </c>
      <c r="AK4" s="39"/>
      <c r="AL4" s="39"/>
    </row>
    <row r="5" ht="18.75" customHeight="1">
      <c r="A5" s="64" t="s">
        <v>4145</v>
      </c>
      <c r="B5" s="64" t="s">
        <v>4146</v>
      </c>
      <c r="C5" s="37" t="s">
        <v>4147</v>
      </c>
      <c r="D5" s="135">
        <v>0.01</v>
      </c>
      <c r="F5" s="39">
        <v>2.0</v>
      </c>
      <c r="J5" s="135">
        <v>0.5</v>
      </c>
      <c r="K5" s="39">
        <v>3.0</v>
      </c>
      <c r="N5" s="39">
        <v>3.0</v>
      </c>
      <c r="O5" s="39" t="s">
        <v>4148</v>
      </c>
      <c r="P5" s="39" t="s">
        <v>4134</v>
      </c>
      <c r="Q5" s="39">
        <v>0.0</v>
      </c>
      <c r="R5" s="39" t="b">
        <v>0</v>
      </c>
      <c r="S5" s="39" t="b">
        <v>0</v>
      </c>
      <c r="T5" s="39" t="s">
        <v>4149</v>
      </c>
      <c r="U5" s="39" t="s">
        <v>4135</v>
      </c>
      <c r="V5" s="39">
        <v>3.0</v>
      </c>
      <c r="W5" s="39" t="b">
        <v>1</v>
      </c>
      <c r="X5" s="39">
        <v>4.0</v>
      </c>
      <c r="Y5" s="39" t="s">
        <v>4150</v>
      </c>
      <c r="Z5" s="39">
        <v>0.0</v>
      </c>
      <c r="AA5" s="39">
        <v>1.0</v>
      </c>
      <c r="AB5" s="39"/>
      <c r="AC5" s="39"/>
      <c r="AD5" s="39"/>
      <c r="AE5" s="39"/>
      <c r="AF5" s="39"/>
      <c r="AG5" s="39"/>
      <c r="AH5" s="39" t="s">
        <v>4137</v>
      </c>
      <c r="AI5" s="39" t="s">
        <v>4138</v>
      </c>
      <c r="AJ5" s="39">
        <v>3.0</v>
      </c>
      <c r="AK5" s="39"/>
      <c r="AL5" s="39"/>
    </row>
    <row r="6" ht="18.75" customHeight="1">
      <c r="A6" s="64" t="s">
        <v>1767</v>
      </c>
      <c r="B6" s="64" t="s">
        <v>4151</v>
      </c>
      <c r="C6" s="37" t="s">
        <v>4152</v>
      </c>
      <c r="D6" s="135">
        <v>0.008</v>
      </c>
      <c r="F6" s="39">
        <v>2.0</v>
      </c>
      <c r="J6" s="135">
        <v>0.8</v>
      </c>
      <c r="K6" s="39">
        <v>2.0</v>
      </c>
      <c r="N6" s="39">
        <v>2.0</v>
      </c>
      <c r="O6" s="39" t="s">
        <v>29</v>
      </c>
      <c r="P6" s="39" t="s">
        <v>4134</v>
      </c>
      <c r="Q6" s="39">
        <v>0.0</v>
      </c>
      <c r="R6" s="39" t="b">
        <v>0</v>
      </c>
      <c r="S6" s="39" t="b">
        <v>0</v>
      </c>
      <c r="T6" s="39" t="s">
        <v>908</v>
      </c>
      <c r="U6" s="39" t="s">
        <v>4135</v>
      </c>
      <c r="V6" s="39">
        <v>4.0</v>
      </c>
      <c r="W6" s="39" t="b">
        <v>1</v>
      </c>
      <c r="X6" s="39">
        <v>4.0</v>
      </c>
      <c r="Y6" s="39" t="s">
        <v>4150</v>
      </c>
      <c r="Z6" s="39">
        <v>0.0</v>
      </c>
      <c r="AA6" s="39">
        <v>1.0</v>
      </c>
      <c r="AB6" s="39"/>
      <c r="AC6" s="39"/>
      <c r="AD6" s="39"/>
      <c r="AE6" s="39"/>
      <c r="AF6" s="39"/>
      <c r="AG6" s="39"/>
      <c r="AH6" s="39" t="s">
        <v>4137</v>
      </c>
      <c r="AI6" s="39" t="s">
        <v>4153</v>
      </c>
      <c r="AJ6" s="39">
        <v>1.0</v>
      </c>
      <c r="AK6" s="39"/>
      <c r="AL6" s="39"/>
    </row>
    <row r="7" ht="18.75" customHeight="1">
      <c r="A7" s="64" t="s">
        <v>1049</v>
      </c>
      <c r="B7" s="64" t="s">
        <v>4154</v>
      </c>
      <c r="C7" s="37" t="s">
        <v>4155</v>
      </c>
      <c r="D7" s="135">
        <v>0.006</v>
      </c>
      <c r="F7" s="39">
        <v>1.0</v>
      </c>
      <c r="J7" s="135">
        <v>0.7</v>
      </c>
      <c r="K7" s="39">
        <v>1.0</v>
      </c>
      <c r="N7" s="39">
        <v>7.0</v>
      </c>
      <c r="O7" s="39" t="s">
        <v>4156</v>
      </c>
      <c r="P7" s="39" t="s">
        <v>4134</v>
      </c>
      <c r="Q7" s="39">
        <v>0.0</v>
      </c>
      <c r="R7" s="39" t="b">
        <v>0</v>
      </c>
      <c r="S7" s="39" t="b">
        <v>0</v>
      </c>
      <c r="T7" s="39" t="s">
        <v>4157</v>
      </c>
      <c r="U7" s="39" t="s">
        <v>4135</v>
      </c>
      <c r="V7" s="39">
        <v>5.0</v>
      </c>
      <c r="W7" s="39" t="b">
        <v>1</v>
      </c>
      <c r="X7" s="39">
        <v>4.0</v>
      </c>
      <c r="Y7" s="39" t="s">
        <v>4158</v>
      </c>
      <c r="Z7" s="39">
        <v>0.0</v>
      </c>
      <c r="AA7" s="39">
        <v>1.0</v>
      </c>
      <c r="AB7" s="39" t="s">
        <v>1782</v>
      </c>
      <c r="AC7" s="39">
        <v>40.0</v>
      </c>
      <c r="AD7" s="39">
        <v>0.0</v>
      </c>
      <c r="AE7" s="39" t="s">
        <v>4143</v>
      </c>
      <c r="AF7" s="39">
        <v>0.0</v>
      </c>
      <c r="AG7" s="39"/>
      <c r="AH7" s="39" t="s">
        <v>4159</v>
      </c>
      <c r="AI7" s="39" t="s">
        <v>29</v>
      </c>
      <c r="AJ7" s="39">
        <v>0.0</v>
      </c>
      <c r="AK7" s="39"/>
      <c r="AL7" s="39"/>
    </row>
    <row r="8" ht="18.75" customHeight="1">
      <c r="A8" s="64" t="s">
        <v>4160</v>
      </c>
      <c r="B8" s="98" t="s">
        <v>4161</v>
      </c>
      <c r="C8" s="37" t="s">
        <v>4162</v>
      </c>
      <c r="D8" s="135">
        <v>0.006</v>
      </c>
      <c r="F8" s="39">
        <v>1.0</v>
      </c>
      <c r="J8" s="135">
        <v>0.9</v>
      </c>
      <c r="K8" s="39">
        <v>1.0</v>
      </c>
      <c r="N8" s="39">
        <v>3.0</v>
      </c>
      <c r="O8" s="39" t="s">
        <v>29</v>
      </c>
      <c r="P8" s="39" t="s">
        <v>4134</v>
      </c>
      <c r="Q8" s="39">
        <v>0.0</v>
      </c>
      <c r="R8" s="39" t="b">
        <v>0</v>
      </c>
      <c r="S8" s="39" t="b">
        <v>0</v>
      </c>
      <c r="T8" s="39" t="s">
        <v>518</v>
      </c>
      <c r="U8" s="39" t="s">
        <v>4135</v>
      </c>
      <c r="V8" s="39">
        <v>6.0</v>
      </c>
      <c r="W8" s="39" t="b">
        <v>1</v>
      </c>
      <c r="X8" s="39">
        <v>4.0</v>
      </c>
      <c r="Y8" s="39" t="s">
        <v>4163</v>
      </c>
      <c r="Z8" s="39">
        <v>0.0</v>
      </c>
      <c r="AA8" s="39">
        <v>1.0</v>
      </c>
      <c r="AB8" s="39" t="s">
        <v>518</v>
      </c>
      <c r="AC8" s="39">
        <v>100.0</v>
      </c>
      <c r="AD8" s="39">
        <v>0.0</v>
      </c>
      <c r="AE8" s="39" t="s">
        <v>4164</v>
      </c>
      <c r="AF8" s="39">
        <v>0.0</v>
      </c>
      <c r="AG8" s="39">
        <v>3.0</v>
      </c>
      <c r="AH8" s="39" t="s">
        <v>4137</v>
      </c>
      <c r="AI8" s="39" t="s">
        <v>554</v>
      </c>
      <c r="AJ8" s="39">
        <v>1.0</v>
      </c>
      <c r="AK8" s="39"/>
      <c r="AL8" s="39"/>
    </row>
    <row r="9" ht="18.75" customHeight="1">
      <c r="A9" s="64" t="s">
        <v>4165</v>
      </c>
      <c r="B9" s="64" t="s">
        <v>4166</v>
      </c>
      <c r="C9" s="37" t="s">
        <v>4167</v>
      </c>
      <c r="D9" s="135">
        <v>0.006</v>
      </c>
      <c r="F9" s="39">
        <v>2.0</v>
      </c>
      <c r="J9" s="135">
        <v>0.7</v>
      </c>
      <c r="K9" s="39">
        <v>2.0</v>
      </c>
      <c r="N9" s="39">
        <v>3.0</v>
      </c>
      <c r="O9" s="39" t="s">
        <v>4168</v>
      </c>
      <c r="P9" s="39" t="s">
        <v>4134</v>
      </c>
      <c r="Q9" s="39">
        <v>0.0</v>
      </c>
      <c r="R9" s="39" t="b">
        <v>0</v>
      </c>
      <c r="S9" s="39" t="b">
        <v>0</v>
      </c>
      <c r="T9" s="39" t="s">
        <v>4169</v>
      </c>
      <c r="U9" s="39" t="s">
        <v>4135</v>
      </c>
      <c r="V9" s="39">
        <v>7.0</v>
      </c>
      <c r="W9" s="39" t="b">
        <v>1</v>
      </c>
      <c r="X9" s="39">
        <v>4.0</v>
      </c>
      <c r="Y9" s="39" t="s">
        <v>4150</v>
      </c>
      <c r="Z9" s="39">
        <v>0.0</v>
      </c>
      <c r="AA9" s="39">
        <v>1.0</v>
      </c>
      <c r="AB9" s="39"/>
      <c r="AC9" s="39"/>
      <c r="AD9" s="39"/>
      <c r="AE9" s="39"/>
      <c r="AF9" s="39"/>
      <c r="AG9" s="39"/>
      <c r="AH9" s="39" t="s">
        <v>4137</v>
      </c>
      <c r="AI9" s="39" t="s">
        <v>4170</v>
      </c>
      <c r="AJ9" s="39">
        <v>2.0</v>
      </c>
      <c r="AK9" s="39"/>
      <c r="AL9" s="39"/>
    </row>
    <row r="10" ht="18.75" customHeight="1">
      <c r="A10" s="64" t="s">
        <v>4171</v>
      </c>
      <c r="B10" s="64" t="s">
        <v>4172</v>
      </c>
      <c r="C10" s="37" t="s">
        <v>4173</v>
      </c>
      <c r="D10" s="135">
        <v>0.006</v>
      </c>
      <c r="F10" s="39">
        <v>2.0</v>
      </c>
      <c r="J10" s="135">
        <v>0.5</v>
      </c>
      <c r="K10" s="39">
        <v>2.0</v>
      </c>
      <c r="N10" s="39">
        <v>3.0</v>
      </c>
      <c r="O10" s="39" t="s">
        <v>4148</v>
      </c>
      <c r="P10" s="39" t="s">
        <v>4134</v>
      </c>
      <c r="Q10" s="39">
        <v>0.0</v>
      </c>
      <c r="R10" s="39" t="b">
        <v>0</v>
      </c>
      <c r="S10" s="39" t="b">
        <v>0</v>
      </c>
      <c r="T10" s="39" t="s">
        <v>4174</v>
      </c>
      <c r="U10" s="39" t="s">
        <v>4135</v>
      </c>
      <c r="V10" s="39">
        <v>8.0</v>
      </c>
      <c r="W10" s="39" t="b">
        <v>1</v>
      </c>
      <c r="X10" s="39">
        <v>4.0</v>
      </c>
      <c r="Y10" s="39" t="s">
        <v>4150</v>
      </c>
      <c r="Z10" s="39">
        <v>0.0</v>
      </c>
      <c r="AA10" s="39">
        <v>1.0</v>
      </c>
      <c r="AB10" s="39"/>
      <c r="AC10" s="39"/>
      <c r="AD10" s="39"/>
      <c r="AE10" s="39"/>
      <c r="AF10" s="39"/>
      <c r="AG10" s="39"/>
      <c r="AH10" s="39" t="s">
        <v>4137</v>
      </c>
      <c r="AI10" s="39" t="s">
        <v>4175</v>
      </c>
      <c r="AJ10" s="39">
        <v>2.0</v>
      </c>
      <c r="AK10" s="39"/>
      <c r="AL10" s="39"/>
    </row>
    <row r="11" ht="18.75" customHeight="1">
      <c r="A11" s="64" t="s">
        <v>4176</v>
      </c>
      <c r="B11" s="64" t="s">
        <v>4177</v>
      </c>
      <c r="C11" s="37" t="s">
        <v>4178</v>
      </c>
      <c r="D11" s="134">
        <v>0.01</v>
      </c>
      <c r="E11" s="37">
        <v>1.0</v>
      </c>
      <c r="F11" s="37">
        <v>1.0</v>
      </c>
      <c r="G11" s="37">
        <v>3.0</v>
      </c>
      <c r="H11" s="37">
        <v>0.35</v>
      </c>
      <c r="I11" s="37">
        <v>38.0</v>
      </c>
      <c r="J11" s="134">
        <v>0.5</v>
      </c>
      <c r="K11" s="37">
        <v>2.0</v>
      </c>
      <c r="L11" s="37">
        <v>1.0</v>
      </c>
      <c r="M11" s="37">
        <v>3.0</v>
      </c>
      <c r="N11" s="37">
        <v>10.0</v>
      </c>
      <c r="O11" s="39" t="s">
        <v>29</v>
      </c>
      <c r="P11" s="39" t="s">
        <v>4134</v>
      </c>
      <c r="Q11" s="39">
        <v>0.0</v>
      </c>
      <c r="R11" s="39" t="b">
        <v>0</v>
      </c>
      <c r="S11" s="39" t="b">
        <v>0</v>
      </c>
      <c r="T11" s="39" t="s">
        <v>4179</v>
      </c>
      <c r="U11" s="39" t="s">
        <v>4135</v>
      </c>
      <c r="V11" s="39">
        <v>9.0</v>
      </c>
      <c r="W11" s="39" t="b">
        <v>1</v>
      </c>
      <c r="X11" s="39">
        <v>4.0</v>
      </c>
      <c r="Y11" s="39" t="s">
        <v>4180</v>
      </c>
      <c r="Z11" s="39">
        <v>0.0</v>
      </c>
      <c r="AA11" s="39">
        <v>1.0</v>
      </c>
      <c r="AB11" s="39"/>
      <c r="AC11" s="39"/>
      <c r="AD11" s="39"/>
      <c r="AE11" s="39"/>
      <c r="AF11" s="39"/>
      <c r="AG11" s="39"/>
      <c r="AH11" s="39" t="s">
        <v>4181</v>
      </c>
      <c r="AI11" s="39" t="s">
        <v>29</v>
      </c>
      <c r="AJ11" s="39">
        <v>0.0</v>
      </c>
      <c r="AK11" s="39"/>
      <c r="AL11" s="39"/>
    </row>
    <row r="12" ht="18.75" customHeight="1">
      <c r="A12" s="64" t="s">
        <v>4182</v>
      </c>
      <c r="B12" s="64" t="s">
        <v>4183</v>
      </c>
      <c r="C12" s="37" t="s">
        <v>4184</v>
      </c>
      <c r="D12" s="135">
        <v>0.008</v>
      </c>
      <c r="F12" s="39">
        <v>1.0</v>
      </c>
      <c r="J12" s="135">
        <v>0.6</v>
      </c>
      <c r="K12" s="39">
        <v>1.0</v>
      </c>
      <c r="N12" s="39">
        <v>5.0</v>
      </c>
      <c r="O12" s="39" t="s">
        <v>4156</v>
      </c>
      <c r="P12" s="39" t="s">
        <v>4134</v>
      </c>
      <c r="Q12" s="39">
        <v>0.0</v>
      </c>
      <c r="R12" s="39" t="b">
        <v>0</v>
      </c>
      <c r="S12" s="39" t="b">
        <v>0</v>
      </c>
      <c r="T12" s="39" t="s">
        <v>4185</v>
      </c>
      <c r="U12" s="39" t="s">
        <v>4135</v>
      </c>
      <c r="V12" s="39">
        <v>10.0</v>
      </c>
      <c r="W12" s="39" t="b">
        <v>1</v>
      </c>
      <c r="X12" s="39">
        <v>4.0</v>
      </c>
      <c r="Y12" s="39" t="s">
        <v>4158</v>
      </c>
      <c r="Z12" s="39">
        <v>0.0</v>
      </c>
      <c r="AA12" s="39">
        <v>1.0</v>
      </c>
      <c r="AB12" s="39" t="s">
        <v>1782</v>
      </c>
      <c r="AC12" s="39">
        <v>40.0</v>
      </c>
      <c r="AD12" s="39">
        <v>0.0</v>
      </c>
      <c r="AE12" s="39" t="s">
        <v>4143</v>
      </c>
      <c r="AF12" s="39">
        <v>0.0</v>
      </c>
      <c r="AG12" s="39"/>
      <c r="AH12" s="39" t="s">
        <v>4137</v>
      </c>
      <c r="AI12" s="39" t="s">
        <v>4144</v>
      </c>
      <c r="AJ12" s="39">
        <v>2.0</v>
      </c>
      <c r="AK12" s="39"/>
      <c r="AL12" s="39"/>
    </row>
    <row r="13" ht="18.75" customHeight="1">
      <c r="A13" s="64"/>
      <c r="B13" s="64"/>
      <c r="D13" s="134"/>
      <c r="J13" s="134"/>
    </row>
    <row r="14" ht="18.75" customHeight="1">
      <c r="A14" s="64"/>
      <c r="B14" s="64"/>
      <c r="D14" s="134"/>
      <c r="J14" s="134"/>
    </row>
    <row r="15" ht="18.75" customHeight="1">
      <c r="A15" s="64" t="s">
        <v>4129</v>
      </c>
      <c r="B15" s="64" t="s">
        <v>2994</v>
      </c>
      <c r="D15" s="134"/>
      <c r="J15" s="134"/>
    </row>
    <row r="16" ht="18.75" customHeight="1">
      <c r="A16" s="64" t="s">
        <v>4186</v>
      </c>
      <c r="B16" s="64" t="s">
        <v>4187</v>
      </c>
      <c r="C16" s="37" t="s">
        <v>4188</v>
      </c>
      <c r="D16" s="135">
        <v>0.004</v>
      </c>
      <c r="F16" s="39">
        <v>1.0</v>
      </c>
      <c r="J16" s="135">
        <v>0.7</v>
      </c>
      <c r="K16" s="39">
        <v>3.0</v>
      </c>
      <c r="N16" s="39">
        <v>5.0</v>
      </c>
      <c r="O16" s="39" t="s">
        <v>4189</v>
      </c>
      <c r="P16" s="39" t="s">
        <v>4134</v>
      </c>
      <c r="Q16" s="39">
        <v>0.0</v>
      </c>
      <c r="R16" s="39" t="b">
        <v>0</v>
      </c>
      <c r="S16" s="39" t="b">
        <v>1</v>
      </c>
      <c r="T16" s="39" t="s">
        <v>716</v>
      </c>
      <c r="U16" s="39" t="s">
        <v>29</v>
      </c>
      <c r="V16" s="39">
        <v>0.0</v>
      </c>
      <c r="W16" s="39" t="b">
        <v>1</v>
      </c>
      <c r="X16" s="39">
        <v>4.0</v>
      </c>
      <c r="Y16" s="39" t="s">
        <v>4150</v>
      </c>
      <c r="Z16" s="39">
        <v>0.0</v>
      </c>
      <c r="AA16" s="39">
        <v>1.0</v>
      </c>
      <c r="AB16" s="39"/>
      <c r="AC16" s="39"/>
      <c r="AD16" s="39"/>
      <c r="AE16" s="39"/>
      <c r="AF16" s="39"/>
      <c r="AG16" s="39"/>
      <c r="AH16" s="39" t="s">
        <v>4137</v>
      </c>
      <c r="AI16" s="39" t="s">
        <v>4190</v>
      </c>
      <c r="AJ16" s="39">
        <v>1.0</v>
      </c>
      <c r="AK16" s="39"/>
      <c r="AL16" s="39"/>
    </row>
    <row r="17" ht="18.75" customHeight="1">
      <c r="A17" s="64" t="s">
        <v>4191</v>
      </c>
      <c r="B17" s="64" t="s">
        <v>4192</v>
      </c>
      <c r="C17" s="37" t="s">
        <v>4193</v>
      </c>
      <c r="D17" s="135">
        <v>0.003</v>
      </c>
      <c r="F17" s="39">
        <v>1.0</v>
      </c>
      <c r="J17" s="135">
        <v>0.9</v>
      </c>
      <c r="K17" s="39">
        <v>1.0</v>
      </c>
      <c r="N17" s="39">
        <v>2.0</v>
      </c>
      <c r="O17" s="39" t="s">
        <v>29</v>
      </c>
      <c r="P17" s="39" t="s">
        <v>4134</v>
      </c>
      <c r="Q17" s="39">
        <v>0.0</v>
      </c>
      <c r="R17" s="39" t="b">
        <v>0</v>
      </c>
      <c r="S17" s="39" t="b">
        <v>0</v>
      </c>
      <c r="T17" s="39" t="s">
        <v>4194</v>
      </c>
      <c r="U17" s="39" t="s">
        <v>29</v>
      </c>
      <c r="V17" s="39">
        <v>0.0</v>
      </c>
      <c r="W17" s="39" t="b">
        <v>1</v>
      </c>
      <c r="X17" s="39">
        <v>4.0</v>
      </c>
      <c r="Y17" s="39" t="s">
        <v>4195</v>
      </c>
      <c r="Z17" s="39">
        <v>0.0</v>
      </c>
      <c r="AA17" s="39">
        <v>1.0</v>
      </c>
      <c r="AB17" s="39" t="s">
        <v>783</v>
      </c>
      <c r="AC17" s="39">
        <v>40.0</v>
      </c>
      <c r="AD17" s="39">
        <v>0.0</v>
      </c>
      <c r="AE17" s="39" t="s">
        <v>4143</v>
      </c>
      <c r="AF17" s="39">
        <v>0.0</v>
      </c>
      <c r="AG17" s="39"/>
      <c r="AH17" s="39" t="s">
        <v>4196</v>
      </c>
      <c r="AI17" s="39" t="s">
        <v>29</v>
      </c>
      <c r="AJ17" s="39">
        <v>0.0</v>
      </c>
      <c r="AK17" s="39"/>
      <c r="AL17" s="39"/>
    </row>
    <row r="18" ht="18.75" customHeight="1">
      <c r="A18" s="64" t="s">
        <v>4197</v>
      </c>
      <c r="B18" s="64" t="s">
        <v>4198</v>
      </c>
      <c r="C18" s="37" t="s">
        <v>4199</v>
      </c>
      <c r="D18" s="135">
        <v>0.003</v>
      </c>
      <c r="F18" s="39">
        <v>1.0</v>
      </c>
      <c r="J18" s="135">
        <v>0.8</v>
      </c>
      <c r="K18" s="39">
        <v>2.0</v>
      </c>
      <c r="N18" s="39">
        <v>2.0</v>
      </c>
      <c r="O18" s="39" t="s">
        <v>29</v>
      </c>
      <c r="P18" s="39" t="s">
        <v>4134</v>
      </c>
      <c r="Q18" s="39">
        <v>0.0</v>
      </c>
      <c r="R18" s="39" t="b">
        <v>0</v>
      </c>
      <c r="S18" s="39" t="b">
        <v>0</v>
      </c>
      <c r="T18" s="39" t="s">
        <v>4200</v>
      </c>
      <c r="U18" s="39" t="s">
        <v>29</v>
      </c>
      <c r="V18" s="39">
        <v>0.0</v>
      </c>
      <c r="W18" s="39" t="b">
        <v>1</v>
      </c>
      <c r="X18" s="39">
        <v>4.0</v>
      </c>
      <c r="Y18" s="39" t="s">
        <v>4150</v>
      </c>
      <c r="Z18" s="39">
        <v>0.0</v>
      </c>
      <c r="AA18" s="39">
        <v>1.0</v>
      </c>
      <c r="AB18" s="39"/>
      <c r="AC18" s="39"/>
      <c r="AD18" s="39"/>
      <c r="AE18" s="39"/>
      <c r="AF18" s="39"/>
      <c r="AG18" s="39"/>
      <c r="AH18" s="39" t="s">
        <v>4196</v>
      </c>
      <c r="AI18" s="39" t="s">
        <v>29</v>
      </c>
      <c r="AJ18" s="39">
        <v>0.0</v>
      </c>
      <c r="AK18" s="39"/>
      <c r="AL18" s="39"/>
    </row>
    <row r="19" ht="18.75" customHeight="1">
      <c r="A19" s="64" t="s">
        <v>4201</v>
      </c>
      <c r="B19" s="64" t="s">
        <v>4202</v>
      </c>
      <c r="C19" s="37" t="s">
        <v>4203</v>
      </c>
      <c r="D19" s="135">
        <v>0.003</v>
      </c>
      <c r="F19" s="39">
        <v>1.0</v>
      </c>
      <c r="J19" s="135">
        <v>0.9</v>
      </c>
      <c r="K19" s="39">
        <v>2.0</v>
      </c>
      <c r="N19" s="39">
        <v>1.0</v>
      </c>
      <c r="O19" s="39" t="s">
        <v>29</v>
      </c>
      <c r="P19" s="39" t="s">
        <v>4134</v>
      </c>
      <c r="Q19" s="39">
        <v>0.0</v>
      </c>
      <c r="R19" s="39" t="b">
        <v>0</v>
      </c>
      <c r="S19" s="39" t="b">
        <v>0</v>
      </c>
      <c r="T19" s="39" t="s">
        <v>4204</v>
      </c>
      <c r="U19" s="39" t="s">
        <v>29</v>
      </c>
      <c r="V19" s="39">
        <v>0.0</v>
      </c>
      <c r="W19" s="39" t="b">
        <v>1</v>
      </c>
      <c r="X19" s="39">
        <v>4.0</v>
      </c>
      <c r="Y19" s="39" t="s">
        <v>4150</v>
      </c>
      <c r="Z19" s="39">
        <v>0.0</v>
      </c>
      <c r="AA19" s="39">
        <v>1.0</v>
      </c>
      <c r="AB19" s="39"/>
      <c r="AC19" s="39"/>
      <c r="AD19" s="39"/>
      <c r="AE19" s="39"/>
      <c r="AF19" s="39"/>
      <c r="AG19" s="39"/>
      <c r="AH19" s="39" t="s">
        <v>4196</v>
      </c>
      <c r="AI19" s="39" t="s">
        <v>29</v>
      </c>
      <c r="AJ19" s="39">
        <v>0.0</v>
      </c>
      <c r="AK19" s="39"/>
      <c r="AL19" s="39"/>
    </row>
    <row r="20" ht="18.75" customHeight="1">
      <c r="A20" s="64" t="s">
        <v>4205</v>
      </c>
      <c r="B20" s="64" t="s">
        <v>4206</v>
      </c>
      <c r="C20" s="37" t="s">
        <v>4207</v>
      </c>
      <c r="D20" s="135">
        <v>0.003</v>
      </c>
      <c r="F20" s="39">
        <v>1.0</v>
      </c>
      <c r="J20" s="135">
        <v>0.9</v>
      </c>
      <c r="K20" s="39">
        <v>2.0</v>
      </c>
      <c r="N20" s="39">
        <v>1.0</v>
      </c>
      <c r="O20" s="39" t="s">
        <v>29</v>
      </c>
      <c r="P20" s="39" t="s">
        <v>4134</v>
      </c>
      <c r="Q20" s="39">
        <v>0.0</v>
      </c>
      <c r="R20" s="39" t="b">
        <v>0</v>
      </c>
      <c r="S20" s="39" t="b">
        <v>0</v>
      </c>
      <c r="T20" s="39" t="s">
        <v>4208</v>
      </c>
      <c r="U20" s="39" t="s">
        <v>29</v>
      </c>
      <c r="V20" s="39">
        <v>0.0</v>
      </c>
      <c r="W20" s="39" t="b">
        <v>1</v>
      </c>
      <c r="X20" s="39">
        <v>4.0</v>
      </c>
      <c r="Y20" s="39" t="s">
        <v>4150</v>
      </c>
      <c r="Z20" s="39">
        <v>0.0</v>
      </c>
      <c r="AA20" s="39">
        <v>1.0</v>
      </c>
      <c r="AB20" s="39"/>
      <c r="AC20" s="39"/>
      <c r="AD20" s="39"/>
      <c r="AE20" s="39"/>
      <c r="AF20" s="39"/>
      <c r="AG20" s="39"/>
      <c r="AH20" s="39" t="s">
        <v>4196</v>
      </c>
      <c r="AI20" s="39" t="s">
        <v>29</v>
      </c>
      <c r="AJ20" s="39">
        <v>0.0</v>
      </c>
      <c r="AK20" s="39"/>
      <c r="AL20" s="39"/>
    </row>
    <row r="21" ht="18.75" customHeight="1">
      <c r="A21" s="64" t="s">
        <v>4209</v>
      </c>
      <c r="B21" s="64" t="s">
        <v>4210</v>
      </c>
      <c r="C21" s="37" t="s">
        <v>4211</v>
      </c>
      <c r="D21" s="135">
        <v>0.004</v>
      </c>
      <c r="F21" s="39">
        <v>1.0</v>
      </c>
      <c r="J21" s="135">
        <v>0.8</v>
      </c>
      <c r="K21" s="39">
        <v>2.0</v>
      </c>
      <c r="N21" s="39">
        <v>4.0</v>
      </c>
      <c r="O21" s="39" t="s">
        <v>4189</v>
      </c>
      <c r="P21" s="39" t="s">
        <v>4134</v>
      </c>
      <c r="Q21" s="39">
        <v>0.0</v>
      </c>
      <c r="R21" s="39" t="b">
        <v>0</v>
      </c>
      <c r="S21" s="39" t="b">
        <v>1</v>
      </c>
      <c r="T21" s="39" t="s">
        <v>2627</v>
      </c>
      <c r="U21" s="39" t="s">
        <v>29</v>
      </c>
      <c r="V21" s="39">
        <v>0.0</v>
      </c>
      <c r="W21" s="39" t="b">
        <v>1</v>
      </c>
      <c r="X21" s="39">
        <v>4.0</v>
      </c>
      <c r="Y21" s="39" t="s">
        <v>4212</v>
      </c>
      <c r="Z21" s="39">
        <v>0.0</v>
      </c>
      <c r="AA21" s="39">
        <v>1.0</v>
      </c>
      <c r="AB21" s="39" t="s">
        <v>1348</v>
      </c>
      <c r="AC21" s="39">
        <v>30.0</v>
      </c>
      <c r="AD21" s="39">
        <v>0.0</v>
      </c>
      <c r="AE21" s="39" t="s">
        <v>4143</v>
      </c>
      <c r="AF21" s="39">
        <v>0.0</v>
      </c>
      <c r="AG21" s="39"/>
      <c r="AH21" s="39" t="s">
        <v>4137</v>
      </c>
      <c r="AI21" s="39" t="s">
        <v>4190</v>
      </c>
      <c r="AJ21" s="39">
        <v>1.0</v>
      </c>
      <c r="AK21" s="39"/>
      <c r="AL21" s="39"/>
    </row>
    <row r="22" ht="18.75" customHeight="1">
      <c r="A22" s="64" t="s">
        <v>4213</v>
      </c>
      <c r="B22" s="64" t="s">
        <v>4214</v>
      </c>
      <c r="C22" s="37" t="s">
        <v>4215</v>
      </c>
      <c r="D22" s="135">
        <v>0.005</v>
      </c>
      <c r="F22" s="39">
        <v>1.0</v>
      </c>
      <c r="J22" s="135">
        <v>0.7</v>
      </c>
      <c r="K22" s="39">
        <v>2.0</v>
      </c>
      <c r="N22" s="39">
        <v>4.0</v>
      </c>
      <c r="O22" s="39" t="s">
        <v>4216</v>
      </c>
      <c r="P22" s="39" t="s">
        <v>4134</v>
      </c>
      <c r="Q22" s="39">
        <v>0.0</v>
      </c>
      <c r="R22" s="39" t="b">
        <v>0</v>
      </c>
      <c r="S22" s="39" t="b">
        <v>0</v>
      </c>
      <c r="T22" s="39" t="s">
        <v>4217</v>
      </c>
      <c r="U22" s="39" t="s">
        <v>4135</v>
      </c>
      <c r="V22" s="39">
        <v>11.0</v>
      </c>
      <c r="W22" s="39" t="b">
        <v>1</v>
      </c>
      <c r="X22" s="39">
        <v>4.0</v>
      </c>
      <c r="Y22" s="39" t="s">
        <v>4218</v>
      </c>
      <c r="Z22" s="39">
        <v>0.0</v>
      </c>
      <c r="AA22" s="39">
        <v>1.0</v>
      </c>
      <c r="AB22" s="39" t="s">
        <v>644</v>
      </c>
      <c r="AC22" s="39">
        <v>20.0</v>
      </c>
      <c r="AD22" s="39">
        <v>0.0</v>
      </c>
      <c r="AE22" s="39" t="s">
        <v>4143</v>
      </c>
      <c r="AF22" s="39">
        <v>0.0</v>
      </c>
      <c r="AG22" s="39"/>
      <c r="AH22" s="39" t="s">
        <v>4137</v>
      </c>
      <c r="AI22" s="39" t="s">
        <v>4190</v>
      </c>
      <c r="AJ22" s="39">
        <v>1.0</v>
      </c>
      <c r="AK22" s="39"/>
      <c r="AL22" s="39"/>
    </row>
    <row r="23" ht="18.75" customHeight="1">
      <c r="A23" s="64"/>
      <c r="B23" s="64"/>
      <c r="D23" s="134"/>
      <c r="J23" s="134"/>
    </row>
    <row r="24" ht="18.75" customHeight="1">
      <c r="A24" s="64"/>
      <c r="B24" s="64"/>
      <c r="D24" s="134"/>
      <c r="J24" s="134"/>
    </row>
    <row r="25" ht="18.75" customHeight="1">
      <c r="A25" s="64" t="s">
        <v>4129</v>
      </c>
      <c r="B25" s="64" t="s">
        <v>2994</v>
      </c>
      <c r="D25" s="134"/>
      <c r="J25" s="134"/>
    </row>
    <row r="26" ht="18.75" customHeight="1">
      <c r="A26" s="64" t="s">
        <v>4219</v>
      </c>
      <c r="B26" s="64" t="s">
        <v>4220</v>
      </c>
      <c r="C26" s="37" t="s">
        <v>4221</v>
      </c>
      <c r="D26" s="135">
        <v>0.005</v>
      </c>
      <c r="F26" s="39">
        <v>0.0</v>
      </c>
      <c r="J26" s="135">
        <v>0.8</v>
      </c>
      <c r="K26" s="39">
        <v>3.0</v>
      </c>
      <c r="N26" s="39">
        <v>6.0</v>
      </c>
      <c r="O26" s="39" t="s">
        <v>29</v>
      </c>
      <c r="P26" s="39" t="s">
        <v>4222</v>
      </c>
      <c r="Q26" s="39">
        <v>0.0</v>
      </c>
      <c r="R26" s="39" t="b">
        <v>0</v>
      </c>
      <c r="S26" s="39" t="b">
        <v>0</v>
      </c>
      <c r="T26" s="39" t="s">
        <v>4223</v>
      </c>
      <c r="U26" s="39" t="s">
        <v>4135</v>
      </c>
      <c r="V26" s="39">
        <v>12.0</v>
      </c>
      <c r="W26" s="39" t="b">
        <v>1</v>
      </c>
      <c r="X26" s="39">
        <v>4.0</v>
      </c>
      <c r="Y26" s="39" t="s">
        <v>4150</v>
      </c>
      <c r="Z26" s="39">
        <v>0.0</v>
      </c>
      <c r="AA26" s="39">
        <v>1.0</v>
      </c>
      <c r="AB26" s="39"/>
      <c r="AC26" s="39"/>
      <c r="AD26" s="39"/>
      <c r="AE26" s="39"/>
      <c r="AF26" s="39"/>
      <c r="AG26" s="39"/>
      <c r="AH26" s="39" t="s">
        <v>4224</v>
      </c>
      <c r="AI26" s="39" t="s">
        <v>29</v>
      </c>
      <c r="AJ26" s="39">
        <v>0.0</v>
      </c>
      <c r="AK26" s="39"/>
      <c r="AL26" s="39"/>
    </row>
    <row r="27" ht="18.75" customHeight="1">
      <c r="A27" s="64" t="s">
        <v>4225</v>
      </c>
      <c r="B27" s="64" t="s">
        <v>4226</v>
      </c>
      <c r="C27" s="37" t="s">
        <v>4227</v>
      </c>
      <c r="D27" s="135">
        <v>0.003</v>
      </c>
      <c r="F27" s="39">
        <v>0.0</v>
      </c>
      <c r="J27" s="135">
        <v>0.8</v>
      </c>
      <c r="K27" s="39">
        <v>2.0</v>
      </c>
      <c r="N27" s="39">
        <v>8.0</v>
      </c>
      <c r="O27" s="39" t="s">
        <v>29</v>
      </c>
      <c r="P27" s="39" t="s">
        <v>4222</v>
      </c>
      <c r="Q27" s="39">
        <v>0.0</v>
      </c>
      <c r="R27" s="39" t="b">
        <v>0</v>
      </c>
      <c r="S27" s="39" t="b">
        <v>0</v>
      </c>
      <c r="T27" s="39" t="s">
        <v>4228</v>
      </c>
      <c r="U27" s="39" t="s">
        <v>29</v>
      </c>
      <c r="V27" s="39">
        <v>0.0</v>
      </c>
      <c r="W27" s="39" t="b">
        <v>1</v>
      </c>
      <c r="X27" s="39">
        <v>4.0</v>
      </c>
      <c r="Y27" s="39" t="s">
        <v>4150</v>
      </c>
      <c r="Z27" s="39">
        <v>0.0</v>
      </c>
      <c r="AA27" s="39">
        <v>1.0</v>
      </c>
      <c r="AB27" s="39"/>
      <c r="AC27" s="39"/>
      <c r="AD27" s="39"/>
      <c r="AE27" s="39"/>
      <c r="AF27" s="39"/>
      <c r="AG27" s="39"/>
      <c r="AH27" s="39" t="s">
        <v>4224</v>
      </c>
      <c r="AI27" s="39" t="s">
        <v>29</v>
      </c>
      <c r="AJ27" s="39">
        <v>0.0</v>
      </c>
      <c r="AK27" s="39"/>
      <c r="AL27" s="39"/>
    </row>
    <row r="28" ht="18.75" customHeight="1">
      <c r="A28" s="64" t="s">
        <v>4229</v>
      </c>
      <c r="B28" s="64" t="s">
        <v>4230</v>
      </c>
      <c r="C28" s="37" t="s">
        <v>4231</v>
      </c>
      <c r="D28" s="135">
        <v>0.005</v>
      </c>
      <c r="F28" s="39">
        <v>0.0</v>
      </c>
      <c r="J28" s="135">
        <v>0.6</v>
      </c>
      <c r="K28" s="39">
        <v>3.0</v>
      </c>
      <c r="N28" s="39">
        <v>6.0</v>
      </c>
      <c r="O28" s="39" t="s">
        <v>29</v>
      </c>
      <c r="P28" s="39" t="s">
        <v>4222</v>
      </c>
      <c r="Q28" s="39">
        <v>0.0</v>
      </c>
      <c r="R28" s="39" t="b">
        <v>0</v>
      </c>
      <c r="S28" s="39" t="b">
        <v>0</v>
      </c>
      <c r="T28" s="39" t="s">
        <v>4232</v>
      </c>
      <c r="U28" s="39" t="s">
        <v>29</v>
      </c>
      <c r="V28" s="39">
        <v>0.0</v>
      </c>
      <c r="W28" s="39" t="b">
        <v>1</v>
      </c>
      <c r="X28" s="39">
        <v>4.0</v>
      </c>
      <c r="Y28" s="39" t="s">
        <v>4150</v>
      </c>
      <c r="Z28" s="39">
        <v>0.0</v>
      </c>
      <c r="AA28" s="39">
        <v>1.0</v>
      </c>
      <c r="AB28" s="39"/>
      <c r="AC28" s="39"/>
      <c r="AD28" s="39"/>
      <c r="AE28" s="39"/>
      <c r="AF28" s="39"/>
      <c r="AG28" s="39"/>
      <c r="AH28" s="39" t="s">
        <v>4224</v>
      </c>
      <c r="AI28" s="39" t="s">
        <v>29</v>
      </c>
      <c r="AJ28" s="39">
        <v>0.0</v>
      </c>
      <c r="AK28" s="39"/>
      <c r="AL28" s="39"/>
    </row>
    <row r="29" ht="18.75" customHeight="1">
      <c r="A29" s="64" t="s">
        <v>4233</v>
      </c>
      <c r="B29" s="64" t="s">
        <v>4234</v>
      </c>
      <c r="C29" s="37" t="s">
        <v>4235</v>
      </c>
      <c r="D29" s="135">
        <v>0.004</v>
      </c>
      <c r="F29" s="39">
        <v>0.0</v>
      </c>
      <c r="J29" s="135">
        <v>0.5</v>
      </c>
      <c r="K29" s="39">
        <v>3.0</v>
      </c>
      <c r="N29" s="39">
        <v>2.0</v>
      </c>
      <c r="O29" s="39" t="s">
        <v>29</v>
      </c>
      <c r="P29" s="39" t="s">
        <v>4222</v>
      </c>
      <c r="Q29" s="39">
        <v>0.0</v>
      </c>
      <c r="R29" s="39" t="b">
        <v>0</v>
      </c>
      <c r="S29" s="39" t="b">
        <v>0</v>
      </c>
      <c r="T29" s="39" t="s">
        <v>4236</v>
      </c>
      <c r="U29" s="39" t="s">
        <v>29</v>
      </c>
      <c r="V29" s="39">
        <v>0.0</v>
      </c>
      <c r="W29" s="39" t="b">
        <v>1</v>
      </c>
      <c r="X29" s="39">
        <v>4.0</v>
      </c>
      <c r="Y29" s="39" t="s">
        <v>4150</v>
      </c>
      <c r="Z29" s="39">
        <v>0.0</v>
      </c>
      <c r="AA29" s="39">
        <v>1.0</v>
      </c>
      <c r="AB29" s="39"/>
      <c r="AC29" s="39"/>
      <c r="AD29" s="39"/>
      <c r="AE29" s="39"/>
      <c r="AF29" s="39"/>
      <c r="AG29" s="39"/>
      <c r="AH29" s="39" t="s">
        <v>4224</v>
      </c>
      <c r="AI29" s="39" t="s">
        <v>29</v>
      </c>
      <c r="AJ29" s="39">
        <v>0.0</v>
      </c>
      <c r="AK29" s="39"/>
      <c r="AL29" s="39"/>
    </row>
    <row r="30" ht="18.75" customHeight="1">
      <c r="A30" s="64" t="s">
        <v>4237</v>
      </c>
      <c r="B30" s="64" t="s">
        <v>4238</v>
      </c>
      <c r="C30" s="37" t="s">
        <v>4239</v>
      </c>
      <c r="D30" s="135">
        <v>0.003</v>
      </c>
      <c r="F30" s="39">
        <v>0.0</v>
      </c>
      <c r="J30" s="135">
        <v>0.9</v>
      </c>
      <c r="K30" s="39">
        <v>3.0</v>
      </c>
      <c r="N30" s="39">
        <v>5.0</v>
      </c>
      <c r="O30" s="39" t="s">
        <v>29</v>
      </c>
      <c r="P30" s="39" t="s">
        <v>4222</v>
      </c>
      <c r="Q30" s="39">
        <v>0.0</v>
      </c>
      <c r="R30" s="39" t="b">
        <v>0</v>
      </c>
      <c r="S30" s="39" t="b">
        <v>0</v>
      </c>
      <c r="T30" s="39" t="s">
        <v>4240</v>
      </c>
      <c r="U30" s="39" t="s">
        <v>29</v>
      </c>
      <c r="V30" s="39">
        <v>0.0</v>
      </c>
      <c r="W30" s="39" t="b">
        <v>1</v>
      </c>
      <c r="X30" s="39">
        <v>4.0</v>
      </c>
      <c r="Y30" s="39" t="s">
        <v>4150</v>
      </c>
      <c r="Z30" s="39">
        <v>0.0</v>
      </c>
      <c r="AA30" s="39">
        <v>1.0</v>
      </c>
      <c r="AB30" s="39"/>
      <c r="AC30" s="39"/>
      <c r="AD30" s="39"/>
      <c r="AE30" s="39"/>
      <c r="AF30" s="39"/>
      <c r="AG30" s="39"/>
      <c r="AH30" s="39" t="s">
        <v>4224</v>
      </c>
      <c r="AI30" s="39" t="s">
        <v>29</v>
      </c>
      <c r="AJ30" s="39">
        <v>0.0</v>
      </c>
      <c r="AK30" s="39"/>
      <c r="AL30" s="39"/>
    </row>
    <row r="31" ht="18.75" customHeight="1">
      <c r="A31" s="64" t="s">
        <v>4241</v>
      </c>
      <c r="B31" s="64" t="s">
        <v>4242</v>
      </c>
      <c r="C31" s="37" t="s">
        <v>4243</v>
      </c>
      <c r="D31" s="135">
        <v>0.003</v>
      </c>
      <c r="F31" s="39">
        <v>0.0</v>
      </c>
      <c r="J31" s="135">
        <v>0.7</v>
      </c>
      <c r="K31" s="39">
        <v>3.0</v>
      </c>
      <c r="N31" s="39">
        <v>3.0</v>
      </c>
      <c r="O31" s="39" t="s">
        <v>29</v>
      </c>
      <c r="P31" s="39" t="s">
        <v>4222</v>
      </c>
      <c r="Q31" s="39">
        <v>0.0</v>
      </c>
      <c r="R31" s="39" t="b">
        <v>0</v>
      </c>
      <c r="S31" s="39" t="b">
        <v>0</v>
      </c>
      <c r="T31" s="39" t="s">
        <v>4244</v>
      </c>
      <c r="U31" s="39" t="s">
        <v>29</v>
      </c>
      <c r="V31" s="39">
        <v>0.0</v>
      </c>
      <c r="W31" s="39" t="b">
        <v>1</v>
      </c>
      <c r="X31" s="39">
        <v>4.0</v>
      </c>
      <c r="Y31" s="39" t="s">
        <v>4150</v>
      </c>
      <c r="Z31" s="39">
        <v>0.0</v>
      </c>
      <c r="AA31" s="39">
        <v>1.0</v>
      </c>
      <c r="AB31" s="39"/>
      <c r="AC31" s="39"/>
      <c r="AD31" s="39"/>
      <c r="AE31" s="39"/>
      <c r="AF31" s="39"/>
      <c r="AG31" s="39"/>
      <c r="AH31" s="39" t="s">
        <v>4224</v>
      </c>
      <c r="AI31" s="39" t="s">
        <v>29</v>
      </c>
      <c r="AJ31" s="39">
        <v>0.0</v>
      </c>
      <c r="AK31" s="39"/>
      <c r="AL31" s="39"/>
    </row>
    <row r="32" ht="18.75" customHeight="1">
      <c r="A32" s="64" t="s">
        <v>4245</v>
      </c>
      <c r="B32" s="64" t="s">
        <v>4246</v>
      </c>
      <c r="C32" s="37" t="s">
        <v>4247</v>
      </c>
      <c r="D32" s="135">
        <v>0.004</v>
      </c>
      <c r="F32" s="39">
        <v>1.0</v>
      </c>
      <c r="J32" s="135">
        <v>1.0</v>
      </c>
      <c r="K32" s="39">
        <v>1.0</v>
      </c>
      <c r="N32" s="39">
        <v>4.0</v>
      </c>
      <c r="O32" s="39" t="s">
        <v>29</v>
      </c>
      <c r="P32" s="39" t="s">
        <v>4134</v>
      </c>
      <c r="Q32" s="39">
        <v>0.0</v>
      </c>
      <c r="R32" s="39" t="b">
        <v>1</v>
      </c>
      <c r="S32" s="39" t="b">
        <v>0</v>
      </c>
      <c r="T32" s="39" t="s">
        <v>2939</v>
      </c>
      <c r="U32" s="39" t="s">
        <v>29</v>
      </c>
      <c r="V32" s="39">
        <v>0.0</v>
      </c>
      <c r="W32" s="39" t="b">
        <v>1</v>
      </c>
      <c r="X32" s="39">
        <v>4.0</v>
      </c>
      <c r="Y32" s="39" t="s">
        <v>4150</v>
      </c>
      <c r="Z32" s="39">
        <v>0.0</v>
      </c>
      <c r="AA32" s="39">
        <v>1.0</v>
      </c>
      <c r="AB32" s="39"/>
      <c r="AC32" s="39"/>
      <c r="AD32" s="39"/>
      <c r="AE32" s="39"/>
      <c r="AF32" s="39"/>
      <c r="AG32" s="39"/>
      <c r="AH32" s="39" t="s">
        <v>4196</v>
      </c>
      <c r="AI32" s="39" t="s">
        <v>29</v>
      </c>
      <c r="AJ32" s="39">
        <v>0.0</v>
      </c>
      <c r="AK32" s="39"/>
      <c r="AL32" s="39"/>
    </row>
    <row r="33" ht="18.75" customHeight="1">
      <c r="A33" s="64"/>
      <c r="B33" s="64"/>
      <c r="D33" s="134"/>
      <c r="J33" s="134"/>
    </row>
    <row r="34" ht="18.75" customHeight="1">
      <c r="A34" s="64" t="s">
        <v>4248</v>
      </c>
      <c r="B34" s="64" t="s">
        <v>4249</v>
      </c>
      <c r="C34" s="37" t="s">
        <v>4250</v>
      </c>
      <c r="D34" s="135">
        <v>0.002</v>
      </c>
      <c r="F34" s="39">
        <v>1.0</v>
      </c>
      <c r="J34" s="135">
        <v>0.5</v>
      </c>
      <c r="K34" s="39">
        <v>1.0</v>
      </c>
      <c r="N34" s="39">
        <v>8.0</v>
      </c>
      <c r="O34" s="39" t="s">
        <v>29</v>
      </c>
      <c r="P34" s="39" t="s">
        <v>4134</v>
      </c>
      <c r="Q34" s="39">
        <v>0.0</v>
      </c>
      <c r="R34" s="39" t="b">
        <v>0</v>
      </c>
      <c r="S34" s="39" t="b">
        <v>0</v>
      </c>
      <c r="T34" s="39" t="s">
        <v>4251</v>
      </c>
      <c r="U34" s="39" t="s">
        <v>29</v>
      </c>
      <c r="V34" s="39">
        <v>0.0</v>
      </c>
      <c r="W34" s="39" t="b">
        <v>1</v>
      </c>
      <c r="X34" s="39">
        <v>4.0</v>
      </c>
      <c r="Y34" s="39" t="s">
        <v>4252</v>
      </c>
      <c r="Z34" s="39">
        <v>0.0</v>
      </c>
      <c r="AA34" s="39">
        <v>1.0</v>
      </c>
      <c r="AB34" s="39" t="s">
        <v>1782</v>
      </c>
      <c r="AC34" s="39">
        <v>100.0</v>
      </c>
      <c r="AD34" s="39">
        <v>0.0</v>
      </c>
      <c r="AE34" s="39" t="s">
        <v>4143</v>
      </c>
      <c r="AF34" s="39">
        <v>0.0</v>
      </c>
      <c r="AG34" s="39"/>
      <c r="AH34" s="39" t="s">
        <v>4159</v>
      </c>
      <c r="AI34" s="39" t="s">
        <v>29</v>
      </c>
      <c r="AJ34" s="39">
        <v>0.0</v>
      </c>
      <c r="AK34" s="39"/>
      <c r="AL34" s="39"/>
    </row>
    <row r="35" ht="18.75" customHeight="1">
      <c r="A35" s="64"/>
      <c r="B35" s="64"/>
      <c r="D35" s="134"/>
      <c r="J35" s="134"/>
    </row>
    <row r="36" ht="18.75" customHeight="1">
      <c r="A36" s="98" t="s">
        <v>3270</v>
      </c>
      <c r="B36" s="98" t="s">
        <v>4253</v>
      </c>
      <c r="C36" s="39" t="s">
        <v>4254</v>
      </c>
      <c r="D36" s="135">
        <v>0.0</v>
      </c>
      <c r="F36" s="39">
        <v>1.0</v>
      </c>
      <c r="J36" s="135">
        <v>1.0</v>
      </c>
      <c r="K36" s="39">
        <v>1.0</v>
      </c>
      <c r="N36" s="39">
        <v>0.0</v>
      </c>
      <c r="O36" s="39" t="s">
        <v>4255</v>
      </c>
      <c r="P36" s="39" t="s">
        <v>4134</v>
      </c>
      <c r="Q36" s="39">
        <v>0.0</v>
      </c>
      <c r="R36" s="39" t="b">
        <v>0</v>
      </c>
      <c r="S36" s="39" t="b">
        <v>0</v>
      </c>
      <c r="T36" s="39" t="s">
        <v>4256</v>
      </c>
      <c r="W36" s="39" t="b">
        <v>1</v>
      </c>
      <c r="X36" s="39">
        <v>0.0</v>
      </c>
      <c r="Y36" s="39" t="s">
        <v>4257</v>
      </c>
      <c r="Z36" s="39">
        <v>0.0</v>
      </c>
      <c r="AA36" s="39">
        <v>1.0</v>
      </c>
      <c r="AB36" s="39" t="s">
        <v>644</v>
      </c>
      <c r="AC36" s="39">
        <v>20.0</v>
      </c>
      <c r="AD36" s="39">
        <v>20.0</v>
      </c>
      <c r="AE36" s="39" t="s">
        <v>4143</v>
      </c>
      <c r="AH36" s="39" t="s">
        <v>4258</v>
      </c>
      <c r="AJ36" s="39">
        <v>0.0</v>
      </c>
      <c r="AK36" s="39" t="b">
        <v>1</v>
      </c>
      <c r="AL36" s="39" t="s">
        <v>4259</v>
      </c>
    </row>
    <row r="37" ht="18.75" customHeight="1">
      <c r="A37" s="98" t="s">
        <v>3273</v>
      </c>
      <c r="B37" s="98" t="s">
        <v>4260</v>
      </c>
      <c r="C37" s="39" t="s">
        <v>4261</v>
      </c>
      <c r="D37" s="135">
        <v>0.0</v>
      </c>
      <c r="F37" s="39">
        <v>1.0</v>
      </c>
      <c r="J37" s="135">
        <v>1.0</v>
      </c>
      <c r="K37" s="39">
        <v>1.0</v>
      </c>
      <c r="N37" s="39">
        <v>0.0</v>
      </c>
      <c r="O37" s="39" t="s">
        <v>4262</v>
      </c>
      <c r="P37" s="39" t="s">
        <v>4134</v>
      </c>
      <c r="Q37" s="39">
        <v>0.0</v>
      </c>
      <c r="R37" s="39" t="b">
        <v>0</v>
      </c>
      <c r="S37" s="39" t="b">
        <v>0</v>
      </c>
      <c r="T37" s="39" t="s">
        <v>644</v>
      </c>
      <c r="W37" s="39" t="b">
        <v>1</v>
      </c>
      <c r="X37" s="39">
        <v>0.0</v>
      </c>
      <c r="Y37" s="39" t="s">
        <v>4257</v>
      </c>
      <c r="Z37" s="39">
        <v>0.0</v>
      </c>
      <c r="AA37" s="39">
        <v>1.0</v>
      </c>
      <c r="AB37" s="39" t="s">
        <v>644</v>
      </c>
      <c r="AC37" s="39">
        <v>0.0</v>
      </c>
      <c r="AD37" s="39">
        <v>0.0</v>
      </c>
      <c r="AE37" s="39" t="s">
        <v>4143</v>
      </c>
      <c r="AH37" s="39" t="s">
        <v>4258</v>
      </c>
      <c r="AJ37" s="39">
        <v>0.0</v>
      </c>
      <c r="AK37" s="39" t="b">
        <v>1</v>
      </c>
      <c r="AL37" s="39" t="s">
        <v>4263</v>
      </c>
    </row>
    <row r="38" ht="18.75" customHeight="1">
      <c r="A38" s="98" t="s">
        <v>3276</v>
      </c>
      <c r="B38" s="98" t="s">
        <v>4264</v>
      </c>
      <c r="C38" s="39" t="s">
        <v>4265</v>
      </c>
      <c r="D38" s="135">
        <v>0.0</v>
      </c>
      <c r="F38" s="39">
        <v>1.0</v>
      </c>
      <c r="J38" s="135">
        <v>1.0</v>
      </c>
      <c r="K38" s="39">
        <v>1.0</v>
      </c>
      <c r="N38" s="39">
        <v>0.0</v>
      </c>
      <c r="O38" s="39" t="s">
        <v>4266</v>
      </c>
      <c r="P38" s="39" t="s">
        <v>4134</v>
      </c>
      <c r="Q38" s="39">
        <v>0.0</v>
      </c>
      <c r="R38" s="39" t="b">
        <v>0</v>
      </c>
      <c r="S38" s="39" t="b">
        <v>0</v>
      </c>
      <c r="T38" s="39" t="s">
        <v>4267</v>
      </c>
      <c r="W38" s="39" t="b">
        <v>1</v>
      </c>
      <c r="X38" s="39">
        <v>0.0</v>
      </c>
      <c r="Y38" s="39" t="s">
        <v>4257</v>
      </c>
      <c r="Z38" s="39">
        <v>0.0</v>
      </c>
      <c r="AA38" s="39">
        <v>1.0</v>
      </c>
      <c r="AB38" s="39" t="s">
        <v>29</v>
      </c>
      <c r="AC38" s="39">
        <v>0.0</v>
      </c>
      <c r="AD38" s="39">
        <v>0.0</v>
      </c>
      <c r="AE38" s="39" t="s">
        <v>4143</v>
      </c>
      <c r="AH38" s="39" t="s">
        <v>4258</v>
      </c>
      <c r="AJ38" s="39">
        <v>0.0</v>
      </c>
      <c r="AK38" s="39" t="b">
        <v>1</v>
      </c>
      <c r="AL38" s="39" t="s">
        <v>4268</v>
      </c>
    </row>
    <row r="39" ht="18.75" customHeight="1">
      <c r="A39" s="98" t="s">
        <v>3279</v>
      </c>
      <c r="B39" s="98" t="s">
        <v>4269</v>
      </c>
      <c r="C39" s="39" t="s">
        <v>4270</v>
      </c>
      <c r="D39" s="135">
        <v>0.0</v>
      </c>
      <c r="F39" s="39">
        <v>1.0</v>
      </c>
      <c r="J39" s="135">
        <v>1.0</v>
      </c>
      <c r="K39" s="39">
        <v>1.0</v>
      </c>
      <c r="N39" s="39">
        <v>0.0</v>
      </c>
      <c r="O39" s="39" t="s">
        <v>67</v>
      </c>
      <c r="P39" s="39" t="s">
        <v>4134</v>
      </c>
      <c r="Q39" s="39">
        <v>0.0</v>
      </c>
      <c r="R39" s="39" t="b">
        <v>0</v>
      </c>
      <c r="S39" s="39" t="b">
        <v>0</v>
      </c>
      <c r="T39" s="39" t="s">
        <v>4271</v>
      </c>
      <c r="W39" s="39" t="b">
        <v>1</v>
      </c>
      <c r="X39" s="39">
        <v>0.0</v>
      </c>
      <c r="Y39" s="39" t="s">
        <v>4257</v>
      </c>
      <c r="Z39" s="39">
        <v>0.0</v>
      </c>
      <c r="AA39" s="39">
        <v>1.0</v>
      </c>
      <c r="AB39" s="39" t="s">
        <v>284</v>
      </c>
      <c r="AC39" s="39">
        <v>15.0</v>
      </c>
      <c r="AD39" s="39">
        <v>0.0</v>
      </c>
      <c r="AE39" s="39" t="s">
        <v>4143</v>
      </c>
      <c r="AH39" s="39" t="s">
        <v>4258</v>
      </c>
      <c r="AJ39" s="39">
        <v>0.0</v>
      </c>
      <c r="AK39" s="39" t="b">
        <v>1</v>
      </c>
      <c r="AL39" s="39" t="s">
        <v>4272</v>
      </c>
    </row>
    <row r="40" ht="18.75" customHeight="1">
      <c r="A40" s="98" t="s">
        <v>3282</v>
      </c>
      <c r="B40" s="98" t="s">
        <v>4273</v>
      </c>
      <c r="C40" s="39" t="s">
        <v>4274</v>
      </c>
      <c r="D40" s="135">
        <v>0.0</v>
      </c>
      <c r="F40" s="39">
        <v>1.0</v>
      </c>
      <c r="J40" s="135">
        <v>1.0</v>
      </c>
      <c r="K40" s="39">
        <v>1.0</v>
      </c>
      <c r="N40" s="39">
        <v>0.0</v>
      </c>
      <c r="O40" s="39" t="s">
        <v>4275</v>
      </c>
      <c r="P40" s="39" t="s">
        <v>4134</v>
      </c>
      <c r="Q40" s="39">
        <v>0.0</v>
      </c>
      <c r="R40" s="39" t="b">
        <v>0</v>
      </c>
      <c r="S40" s="39" t="b">
        <v>0</v>
      </c>
      <c r="T40" s="39" t="s">
        <v>4276</v>
      </c>
      <c r="W40" s="39" t="b">
        <v>1</v>
      </c>
      <c r="X40" s="39">
        <v>0.0</v>
      </c>
      <c r="Y40" s="39" t="s">
        <v>4257</v>
      </c>
      <c r="Z40" s="39">
        <v>0.0</v>
      </c>
      <c r="AA40" s="39">
        <v>1.0</v>
      </c>
      <c r="AB40" s="39" t="s">
        <v>370</v>
      </c>
      <c r="AC40" s="39">
        <v>15.0</v>
      </c>
      <c r="AD40" s="39">
        <v>0.0</v>
      </c>
      <c r="AE40" s="39" t="s">
        <v>4143</v>
      </c>
      <c r="AH40" s="39" t="s">
        <v>4258</v>
      </c>
      <c r="AJ40" s="39">
        <v>0.0</v>
      </c>
      <c r="AK40" s="39" t="b">
        <v>1</v>
      </c>
      <c r="AL40" s="39" t="s">
        <v>4277</v>
      </c>
    </row>
    <row r="41" ht="18.75" customHeight="1">
      <c r="A41" s="98" t="s">
        <v>3285</v>
      </c>
      <c r="B41" s="98" t="s">
        <v>4278</v>
      </c>
      <c r="C41" s="39" t="s">
        <v>4279</v>
      </c>
      <c r="D41" s="135">
        <v>0.0</v>
      </c>
      <c r="F41" s="39">
        <v>1.0</v>
      </c>
      <c r="J41" s="135">
        <v>1.0</v>
      </c>
      <c r="K41" s="39">
        <v>1.0</v>
      </c>
      <c r="N41" s="39">
        <v>0.0</v>
      </c>
      <c r="O41" s="39" t="s">
        <v>4280</v>
      </c>
      <c r="P41" s="39" t="s">
        <v>4134</v>
      </c>
      <c r="Q41" s="39">
        <v>0.0</v>
      </c>
      <c r="R41" s="39" t="b">
        <v>0</v>
      </c>
      <c r="S41" s="39" t="b">
        <v>0</v>
      </c>
      <c r="T41" s="39" t="s">
        <v>4217</v>
      </c>
      <c r="W41" s="39" t="b">
        <v>1</v>
      </c>
      <c r="X41" s="39">
        <v>0.0</v>
      </c>
      <c r="Y41" s="39" t="s">
        <v>4257</v>
      </c>
      <c r="Z41" s="39">
        <v>0.0</v>
      </c>
      <c r="AA41" s="39">
        <v>1.0</v>
      </c>
      <c r="AB41" s="39" t="s">
        <v>29</v>
      </c>
      <c r="AC41" s="39">
        <v>0.0</v>
      </c>
      <c r="AD41" s="39">
        <v>0.0</v>
      </c>
      <c r="AE41" s="39" t="s">
        <v>4143</v>
      </c>
      <c r="AH41" s="39" t="s">
        <v>4258</v>
      </c>
      <c r="AJ41" s="39">
        <v>0.0</v>
      </c>
      <c r="AK41" s="39" t="b">
        <v>1</v>
      </c>
      <c r="AL41" s="39" t="s">
        <v>4281</v>
      </c>
    </row>
    <row r="42" ht="18.75" customHeight="1">
      <c r="A42" s="64"/>
      <c r="B42" s="64"/>
      <c r="D42" s="134"/>
      <c r="J42" s="134"/>
    </row>
    <row r="43" ht="18.75" customHeight="1">
      <c r="A43" s="64"/>
      <c r="B43" s="64"/>
      <c r="D43" s="134"/>
      <c r="J43" s="134"/>
    </row>
    <row r="44" ht="18.75" customHeight="1">
      <c r="A44" s="64"/>
      <c r="B44" s="64"/>
      <c r="D44" s="134"/>
      <c r="J44" s="134"/>
    </row>
    <row r="45" ht="18.75" customHeight="1">
      <c r="A45" s="64"/>
      <c r="B45" s="64"/>
      <c r="D45" s="134"/>
      <c r="J45" s="134"/>
    </row>
    <row r="46" ht="18.75" customHeight="1">
      <c r="A46" s="64"/>
      <c r="B46" s="64"/>
      <c r="D46" s="134"/>
      <c r="J46" s="134"/>
    </row>
    <row r="47" ht="18.75" customHeight="1">
      <c r="A47" s="64"/>
      <c r="B47" s="64"/>
      <c r="D47" s="134"/>
      <c r="J47" s="134"/>
    </row>
    <row r="48" ht="18.75" customHeight="1">
      <c r="A48" s="64"/>
      <c r="B48" s="64"/>
      <c r="D48" s="134"/>
      <c r="J48" s="134"/>
    </row>
    <row r="49" ht="18.75" customHeight="1">
      <c r="A49" s="64"/>
      <c r="B49" s="64"/>
      <c r="D49" s="134"/>
      <c r="J49" s="134"/>
    </row>
    <row r="50" ht="18.75" customHeight="1">
      <c r="A50" s="64"/>
      <c r="B50" s="64"/>
      <c r="D50" s="134"/>
      <c r="J50" s="134"/>
    </row>
    <row r="51" ht="18.75" customHeight="1">
      <c r="A51" s="64"/>
      <c r="B51" s="64"/>
      <c r="D51" s="134"/>
      <c r="J51" s="134"/>
    </row>
    <row r="52" ht="18.75" customHeight="1">
      <c r="A52" s="64"/>
      <c r="B52" s="64"/>
      <c r="D52" s="134"/>
      <c r="J52" s="134"/>
    </row>
    <row r="53" ht="18.75" customHeight="1">
      <c r="A53" s="64"/>
      <c r="B53" s="64"/>
      <c r="D53" s="134"/>
      <c r="J53" s="134"/>
    </row>
    <row r="54" ht="18.75" customHeight="1">
      <c r="A54" s="64"/>
      <c r="B54" s="64"/>
      <c r="D54" s="134"/>
      <c r="J54" s="134"/>
    </row>
    <row r="55" ht="18.75" customHeight="1">
      <c r="A55" s="64"/>
      <c r="B55" s="64"/>
      <c r="D55" s="134"/>
      <c r="J55" s="134"/>
    </row>
    <row r="56" ht="18.75" customHeight="1">
      <c r="A56" s="64"/>
      <c r="B56" s="64"/>
      <c r="D56" s="134"/>
      <c r="J56" s="134"/>
    </row>
    <row r="57" ht="18.75" customHeight="1">
      <c r="A57" s="64"/>
      <c r="B57" s="64"/>
      <c r="D57" s="134"/>
      <c r="J57" s="134"/>
    </row>
    <row r="58" ht="18.75" customHeight="1">
      <c r="A58" s="64"/>
      <c r="B58" s="64"/>
      <c r="D58" s="134"/>
      <c r="J58" s="134"/>
    </row>
    <row r="59" ht="18.75" customHeight="1">
      <c r="A59" s="64"/>
      <c r="B59" s="64"/>
      <c r="D59" s="134"/>
      <c r="J59" s="134"/>
    </row>
    <row r="60" ht="18.75" customHeight="1">
      <c r="A60" s="64"/>
      <c r="B60" s="64"/>
      <c r="D60" s="134"/>
      <c r="J60" s="134"/>
    </row>
    <row r="61" ht="18.75" customHeight="1">
      <c r="A61" s="64"/>
      <c r="B61" s="64"/>
      <c r="D61" s="134"/>
      <c r="J61" s="134"/>
    </row>
    <row r="62" ht="18.75" customHeight="1">
      <c r="A62" s="64"/>
      <c r="B62" s="64"/>
      <c r="D62" s="134"/>
      <c r="J62" s="134"/>
    </row>
    <row r="63" ht="18.75" customHeight="1">
      <c r="A63" s="64"/>
      <c r="B63" s="64"/>
      <c r="D63" s="134"/>
      <c r="J63" s="134"/>
    </row>
    <row r="64" ht="18.75" customHeight="1">
      <c r="A64" s="64"/>
      <c r="B64" s="64"/>
      <c r="D64" s="134"/>
      <c r="J64" s="134"/>
    </row>
    <row r="65" ht="18.75" customHeight="1">
      <c r="A65" s="64"/>
      <c r="B65" s="64"/>
      <c r="D65" s="134"/>
      <c r="J65" s="134"/>
    </row>
    <row r="66" ht="18.75" customHeight="1">
      <c r="A66" s="64"/>
      <c r="B66" s="64"/>
      <c r="D66" s="134"/>
      <c r="J66" s="134"/>
    </row>
    <row r="67" ht="18.75" customHeight="1">
      <c r="A67" s="64"/>
      <c r="B67" s="64"/>
      <c r="D67" s="134"/>
      <c r="J67" s="134"/>
    </row>
    <row r="68" ht="18.75" customHeight="1">
      <c r="A68" s="64"/>
      <c r="B68" s="64"/>
      <c r="D68" s="134"/>
      <c r="J68" s="134"/>
    </row>
    <row r="69" ht="18.75" customHeight="1">
      <c r="A69" s="64"/>
      <c r="B69" s="64"/>
      <c r="D69" s="134"/>
      <c r="J69" s="134"/>
    </row>
    <row r="70" ht="18.75" customHeight="1">
      <c r="A70" s="64"/>
      <c r="B70" s="64"/>
      <c r="D70" s="134"/>
      <c r="J70" s="134"/>
    </row>
    <row r="71" ht="18.75" customHeight="1">
      <c r="A71" s="64"/>
      <c r="B71" s="64"/>
      <c r="D71" s="134"/>
      <c r="J71" s="134"/>
    </row>
    <row r="72" ht="18.75" customHeight="1">
      <c r="A72" s="64"/>
      <c r="B72" s="64"/>
      <c r="D72" s="134"/>
      <c r="J72" s="134"/>
    </row>
    <row r="73" ht="18.75" customHeight="1">
      <c r="A73" s="64"/>
      <c r="B73" s="64"/>
      <c r="D73" s="134"/>
      <c r="J73" s="134"/>
    </row>
    <row r="74" ht="18.75" customHeight="1">
      <c r="A74" s="64"/>
      <c r="B74" s="64"/>
      <c r="D74" s="134"/>
      <c r="J74" s="134"/>
    </row>
    <row r="75" ht="18.75" customHeight="1">
      <c r="A75" s="64"/>
      <c r="B75" s="64"/>
      <c r="D75" s="134"/>
      <c r="J75" s="134"/>
    </row>
    <row r="76" ht="18.75" customHeight="1">
      <c r="A76" s="64"/>
      <c r="B76" s="64"/>
      <c r="D76" s="134"/>
      <c r="J76" s="134"/>
    </row>
    <row r="77" ht="18.75" customHeight="1">
      <c r="A77" s="64"/>
      <c r="B77" s="64"/>
      <c r="D77" s="134"/>
      <c r="J77" s="134"/>
    </row>
    <row r="78" ht="18.75" customHeight="1">
      <c r="A78" s="64"/>
      <c r="B78" s="64"/>
      <c r="D78" s="134"/>
      <c r="J78" s="134"/>
    </row>
    <row r="79" ht="18.75" customHeight="1">
      <c r="A79" s="64"/>
      <c r="B79" s="64"/>
      <c r="D79" s="134"/>
      <c r="J79" s="134"/>
    </row>
    <row r="80" ht="18.75" customHeight="1">
      <c r="A80" s="64"/>
      <c r="B80" s="64"/>
      <c r="D80" s="134"/>
      <c r="J80" s="134"/>
    </row>
    <row r="81" ht="18.75" customHeight="1">
      <c r="A81" s="64"/>
      <c r="B81" s="64"/>
      <c r="D81" s="134"/>
      <c r="J81" s="134"/>
    </row>
    <row r="82" ht="18.75" customHeight="1">
      <c r="A82" s="64"/>
      <c r="B82" s="64"/>
      <c r="D82" s="134"/>
      <c r="J82" s="134"/>
    </row>
    <row r="83" ht="18.75" customHeight="1">
      <c r="A83" s="64"/>
      <c r="B83" s="64"/>
      <c r="D83" s="134"/>
      <c r="J83" s="134"/>
    </row>
    <row r="84" ht="18.75" customHeight="1">
      <c r="A84" s="64"/>
      <c r="B84" s="64"/>
      <c r="D84" s="134"/>
      <c r="J84" s="134"/>
    </row>
    <row r="85" ht="18.75" customHeight="1">
      <c r="A85" s="64"/>
      <c r="B85" s="64"/>
      <c r="D85" s="134"/>
      <c r="J85" s="134"/>
    </row>
    <row r="86" ht="18.75" customHeight="1">
      <c r="A86" s="64"/>
      <c r="B86" s="64"/>
      <c r="D86" s="134"/>
      <c r="J86" s="134"/>
    </row>
    <row r="87" ht="18.75" customHeight="1">
      <c r="A87" s="64"/>
      <c r="B87" s="64"/>
      <c r="D87" s="134"/>
      <c r="J87" s="134"/>
    </row>
    <row r="88" ht="18.75" customHeight="1">
      <c r="A88" s="64"/>
      <c r="B88" s="64"/>
      <c r="D88" s="134"/>
      <c r="J88" s="134"/>
    </row>
    <row r="89" ht="18.75" customHeight="1">
      <c r="A89" s="64"/>
      <c r="B89" s="64"/>
      <c r="D89" s="134"/>
      <c r="J89" s="134"/>
    </row>
    <row r="90" ht="18.75" customHeight="1">
      <c r="A90" s="64"/>
      <c r="B90" s="64"/>
      <c r="D90" s="134"/>
      <c r="J90" s="134"/>
    </row>
    <row r="91" ht="18.75" customHeight="1">
      <c r="A91" s="64"/>
      <c r="B91" s="64"/>
      <c r="D91" s="134"/>
      <c r="J91" s="134"/>
    </row>
    <row r="92" ht="18.75" customHeight="1">
      <c r="A92" s="64"/>
      <c r="B92" s="64"/>
      <c r="D92" s="134"/>
      <c r="J92" s="134"/>
    </row>
    <row r="93" ht="18.75" customHeight="1">
      <c r="A93" s="64"/>
      <c r="B93" s="64"/>
      <c r="D93" s="134"/>
      <c r="J93" s="134"/>
    </row>
    <row r="94" ht="18.75" customHeight="1">
      <c r="A94" s="64"/>
      <c r="B94" s="64"/>
      <c r="D94" s="134"/>
      <c r="J94" s="134"/>
    </row>
    <row r="95" ht="18.75" customHeight="1">
      <c r="A95" s="64"/>
      <c r="B95" s="64"/>
      <c r="D95" s="134"/>
      <c r="J95" s="134"/>
    </row>
    <row r="96" ht="18.75" customHeight="1">
      <c r="A96" s="64"/>
      <c r="B96" s="64"/>
      <c r="D96" s="134"/>
      <c r="J96" s="134"/>
    </row>
    <row r="97" ht="18.75" customHeight="1">
      <c r="A97" s="64"/>
      <c r="B97" s="64"/>
      <c r="D97" s="134"/>
      <c r="J97" s="134"/>
    </row>
    <row r="98" ht="18.75" customHeight="1">
      <c r="A98" s="64"/>
      <c r="B98" s="64"/>
      <c r="D98" s="134"/>
      <c r="J98" s="134"/>
    </row>
    <row r="99" ht="18.75" customHeight="1">
      <c r="A99" s="64"/>
      <c r="B99" s="64"/>
      <c r="D99" s="134"/>
      <c r="J99" s="134"/>
    </row>
    <row r="100" ht="18.75" customHeight="1">
      <c r="A100" s="64"/>
      <c r="B100" s="64"/>
      <c r="D100" s="134"/>
      <c r="J100" s="134"/>
    </row>
    <row r="101" ht="18.75" customHeight="1">
      <c r="A101" s="64"/>
      <c r="B101" s="64"/>
      <c r="D101" s="134"/>
      <c r="J101" s="134"/>
    </row>
    <row r="102" ht="18.75" customHeight="1">
      <c r="A102" s="64"/>
      <c r="B102" s="64"/>
      <c r="D102" s="134"/>
      <c r="J102" s="134"/>
    </row>
    <row r="103" ht="18.75" customHeight="1">
      <c r="A103" s="64"/>
      <c r="B103" s="64"/>
      <c r="D103" s="134"/>
      <c r="J103" s="134"/>
    </row>
    <row r="104" ht="18.75" customHeight="1">
      <c r="A104" s="64"/>
      <c r="B104" s="64"/>
      <c r="D104" s="134"/>
      <c r="J104" s="134"/>
    </row>
    <row r="105" ht="18.75" customHeight="1">
      <c r="A105" s="64"/>
      <c r="B105" s="64"/>
      <c r="D105" s="134"/>
      <c r="J105" s="134"/>
    </row>
    <row r="106" ht="18.75" customHeight="1">
      <c r="A106" s="64"/>
      <c r="B106" s="64"/>
      <c r="D106" s="134"/>
      <c r="J106" s="134"/>
    </row>
    <row r="107" ht="18.75" customHeight="1">
      <c r="A107" s="64"/>
      <c r="B107" s="64"/>
      <c r="D107" s="134"/>
      <c r="J107" s="134"/>
    </row>
    <row r="108" ht="18.75" customHeight="1">
      <c r="A108" s="64"/>
      <c r="B108" s="64"/>
      <c r="D108" s="134"/>
      <c r="J108" s="134"/>
    </row>
    <row r="109" ht="18.75" customHeight="1">
      <c r="A109" s="64"/>
      <c r="B109" s="64"/>
      <c r="D109" s="134"/>
      <c r="J109" s="134"/>
    </row>
    <row r="110" ht="18.75" customHeight="1">
      <c r="A110" s="64"/>
      <c r="B110" s="64"/>
      <c r="D110" s="134"/>
      <c r="J110" s="134"/>
    </row>
    <row r="111" ht="18.75" customHeight="1">
      <c r="A111" s="64"/>
      <c r="B111" s="64"/>
      <c r="D111" s="134"/>
      <c r="J111" s="134"/>
    </row>
    <row r="112" ht="18.75" customHeight="1">
      <c r="A112" s="64"/>
      <c r="B112" s="64"/>
      <c r="D112" s="134"/>
      <c r="J112" s="134"/>
    </row>
    <row r="113" ht="18.75" customHeight="1">
      <c r="A113" s="64"/>
      <c r="B113" s="64"/>
      <c r="D113" s="134"/>
      <c r="J113" s="134"/>
    </row>
    <row r="114" ht="18.75" customHeight="1">
      <c r="A114" s="64"/>
      <c r="B114" s="64"/>
      <c r="D114" s="134"/>
      <c r="J114" s="134"/>
    </row>
    <row r="115" ht="18.75" customHeight="1">
      <c r="A115" s="64"/>
      <c r="B115" s="64"/>
      <c r="D115" s="134"/>
      <c r="J115" s="134"/>
    </row>
    <row r="116" ht="18.75" customHeight="1">
      <c r="A116" s="64"/>
      <c r="B116" s="64"/>
      <c r="D116" s="134"/>
      <c r="J116" s="134"/>
    </row>
    <row r="117" ht="18.75" customHeight="1">
      <c r="A117" s="64"/>
      <c r="B117" s="64"/>
      <c r="D117" s="134"/>
      <c r="J117" s="134"/>
    </row>
    <row r="118" ht="18.75" customHeight="1">
      <c r="A118" s="64"/>
      <c r="B118" s="64"/>
      <c r="D118" s="134"/>
      <c r="J118" s="134"/>
    </row>
    <row r="119" ht="18.75" customHeight="1">
      <c r="A119" s="64"/>
      <c r="B119" s="64"/>
      <c r="D119" s="134"/>
      <c r="J119" s="134"/>
    </row>
    <row r="120" ht="18.75" customHeight="1">
      <c r="A120" s="64"/>
      <c r="B120" s="64"/>
      <c r="D120" s="134"/>
      <c r="J120" s="134"/>
    </row>
    <row r="121" ht="18.75" customHeight="1">
      <c r="A121" s="64"/>
      <c r="B121" s="64"/>
      <c r="D121" s="134"/>
      <c r="J121" s="134"/>
    </row>
    <row r="122" ht="18.75" customHeight="1">
      <c r="A122" s="64"/>
      <c r="B122" s="64"/>
      <c r="D122" s="134"/>
      <c r="J122" s="134"/>
    </row>
    <row r="123" ht="18.75" customHeight="1">
      <c r="A123" s="64"/>
      <c r="B123" s="64"/>
      <c r="D123" s="134"/>
      <c r="J123" s="134"/>
    </row>
    <row r="124" ht="18.75" customHeight="1">
      <c r="A124" s="64"/>
      <c r="B124" s="64"/>
      <c r="D124" s="134"/>
      <c r="J124" s="134"/>
    </row>
    <row r="125" ht="18.75" customHeight="1">
      <c r="A125" s="64"/>
      <c r="B125" s="64"/>
      <c r="D125" s="134"/>
      <c r="J125" s="134"/>
    </row>
    <row r="126" ht="18.75" customHeight="1">
      <c r="A126" s="64"/>
      <c r="B126" s="64"/>
      <c r="D126" s="134"/>
      <c r="J126" s="134"/>
    </row>
    <row r="127" ht="18.75" customHeight="1">
      <c r="A127" s="64"/>
      <c r="B127" s="64"/>
      <c r="D127" s="134"/>
      <c r="J127" s="134"/>
    </row>
    <row r="128" ht="18.75" customHeight="1">
      <c r="A128" s="64"/>
      <c r="B128" s="64"/>
      <c r="D128" s="134"/>
      <c r="J128" s="134"/>
    </row>
    <row r="129" ht="18.75" customHeight="1">
      <c r="A129" s="64"/>
      <c r="B129" s="64"/>
      <c r="D129" s="134"/>
      <c r="J129" s="134"/>
    </row>
    <row r="130" ht="18.75" customHeight="1">
      <c r="A130" s="64"/>
      <c r="B130" s="64"/>
      <c r="D130" s="134"/>
      <c r="J130" s="134"/>
    </row>
    <row r="131" ht="18.75" customHeight="1">
      <c r="A131" s="64"/>
      <c r="B131" s="64"/>
      <c r="D131" s="134"/>
      <c r="J131" s="134"/>
    </row>
    <row r="132" ht="18.75" customHeight="1">
      <c r="A132" s="64"/>
      <c r="B132" s="64"/>
      <c r="D132" s="134"/>
      <c r="J132" s="134"/>
    </row>
    <row r="133" ht="18.75" customHeight="1">
      <c r="A133" s="64"/>
      <c r="B133" s="64"/>
      <c r="D133" s="134"/>
      <c r="J133" s="134"/>
    </row>
    <row r="134" ht="18.75" customHeight="1">
      <c r="A134" s="64"/>
      <c r="B134" s="64"/>
      <c r="D134" s="134"/>
      <c r="J134" s="134"/>
    </row>
    <row r="135" ht="18.75" customHeight="1">
      <c r="A135" s="64"/>
      <c r="B135" s="64"/>
      <c r="D135" s="134"/>
      <c r="J135" s="134"/>
    </row>
    <row r="136" ht="18.75" customHeight="1">
      <c r="A136" s="64"/>
      <c r="B136" s="64"/>
      <c r="D136" s="134"/>
      <c r="J136" s="134"/>
    </row>
    <row r="137" ht="18.75" customHeight="1">
      <c r="A137" s="64"/>
      <c r="B137" s="64"/>
      <c r="D137" s="134"/>
      <c r="J137" s="134"/>
    </row>
    <row r="138" ht="18.75" customHeight="1">
      <c r="A138" s="64"/>
      <c r="B138" s="64"/>
      <c r="D138" s="134"/>
      <c r="J138" s="134"/>
    </row>
    <row r="139" ht="18.75" customHeight="1">
      <c r="A139" s="64"/>
      <c r="B139" s="64"/>
      <c r="D139" s="134"/>
      <c r="J139" s="134"/>
    </row>
    <row r="140" ht="18.75" customHeight="1">
      <c r="A140" s="64"/>
      <c r="B140" s="64"/>
      <c r="D140" s="134"/>
      <c r="J140" s="134"/>
    </row>
    <row r="141" ht="18.75" customHeight="1">
      <c r="A141" s="64"/>
      <c r="B141" s="64"/>
      <c r="D141" s="134"/>
      <c r="J141" s="134"/>
    </row>
    <row r="142" ht="18.75" customHeight="1">
      <c r="A142" s="64"/>
      <c r="B142" s="64"/>
      <c r="D142" s="134"/>
      <c r="J142" s="134"/>
    </row>
    <row r="143" ht="18.75" customHeight="1">
      <c r="A143" s="64"/>
      <c r="B143" s="64"/>
      <c r="D143" s="134"/>
      <c r="J143" s="134"/>
    </row>
    <row r="144" ht="18.75" customHeight="1">
      <c r="A144" s="64"/>
      <c r="B144" s="64"/>
      <c r="D144" s="134"/>
      <c r="J144" s="134"/>
    </row>
    <row r="145" ht="18.75" customHeight="1">
      <c r="A145" s="64"/>
      <c r="B145" s="64"/>
      <c r="D145" s="134"/>
      <c r="J145" s="134"/>
    </row>
    <row r="146" ht="18.75" customHeight="1">
      <c r="A146" s="64"/>
      <c r="B146" s="64"/>
      <c r="D146" s="134"/>
      <c r="J146" s="134"/>
    </row>
    <row r="147" ht="18.75" customHeight="1">
      <c r="A147" s="64"/>
      <c r="B147" s="64"/>
      <c r="D147" s="134"/>
      <c r="J147" s="134"/>
    </row>
    <row r="148" ht="18.75" customHeight="1">
      <c r="A148" s="64"/>
      <c r="B148" s="64"/>
      <c r="D148" s="134"/>
      <c r="J148" s="134"/>
    </row>
    <row r="149" ht="18.75" customHeight="1">
      <c r="A149" s="64"/>
      <c r="B149" s="64"/>
      <c r="D149" s="134"/>
      <c r="J149" s="134"/>
    </row>
    <row r="150" ht="18.75" customHeight="1">
      <c r="A150" s="64"/>
      <c r="B150" s="64"/>
      <c r="D150" s="134"/>
      <c r="J150" s="134"/>
    </row>
    <row r="151" ht="18.75" customHeight="1">
      <c r="A151" s="64"/>
      <c r="B151" s="64"/>
      <c r="D151" s="134"/>
      <c r="J151" s="134"/>
    </row>
    <row r="152" ht="18.75" customHeight="1">
      <c r="A152" s="64"/>
      <c r="B152" s="64"/>
      <c r="D152" s="134"/>
      <c r="J152" s="134"/>
    </row>
    <row r="153" ht="18.75" customHeight="1">
      <c r="A153" s="64"/>
      <c r="B153" s="64"/>
      <c r="D153" s="134"/>
      <c r="J153" s="134"/>
    </row>
    <row r="154" ht="18.75" customHeight="1">
      <c r="A154" s="64"/>
      <c r="B154" s="64"/>
      <c r="D154" s="134"/>
      <c r="J154" s="134"/>
    </row>
    <row r="155" ht="18.75" customHeight="1">
      <c r="A155" s="64"/>
      <c r="B155" s="64"/>
      <c r="D155" s="134"/>
      <c r="J155" s="134"/>
    </row>
    <row r="156" ht="18.75" customHeight="1">
      <c r="A156" s="64"/>
      <c r="B156" s="64"/>
      <c r="D156" s="134"/>
      <c r="J156" s="134"/>
    </row>
    <row r="157" ht="18.75" customHeight="1">
      <c r="A157" s="64"/>
      <c r="B157" s="64"/>
      <c r="D157" s="134"/>
      <c r="J157" s="134"/>
    </row>
    <row r="158" ht="18.75" customHeight="1">
      <c r="A158" s="64"/>
      <c r="B158" s="64"/>
      <c r="D158" s="134"/>
      <c r="J158" s="134"/>
    </row>
    <row r="159" ht="18.75" customHeight="1">
      <c r="A159" s="64"/>
      <c r="B159" s="64"/>
      <c r="D159" s="134"/>
      <c r="J159" s="134"/>
    </row>
    <row r="160" ht="18.75" customHeight="1">
      <c r="A160" s="64"/>
      <c r="B160" s="64"/>
      <c r="D160" s="134"/>
      <c r="J160" s="134"/>
    </row>
    <row r="161" ht="18.75" customHeight="1">
      <c r="A161" s="64"/>
      <c r="B161" s="64"/>
      <c r="D161" s="134"/>
      <c r="J161" s="134"/>
    </row>
    <row r="162" ht="18.75" customHeight="1">
      <c r="A162" s="64"/>
      <c r="B162" s="64"/>
      <c r="D162" s="134"/>
      <c r="J162" s="134"/>
    </row>
    <row r="163" ht="18.75" customHeight="1">
      <c r="A163" s="64"/>
      <c r="B163" s="64"/>
      <c r="D163" s="134"/>
      <c r="J163" s="134"/>
    </row>
    <row r="164" ht="18.75" customHeight="1">
      <c r="A164" s="64"/>
      <c r="B164" s="64"/>
      <c r="D164" s="134"/>
      <c r="J164" s="134"/>
    </row>
    <row r="165" ht="18.75" customHeight="1">
      <c r="A165" s="64"/>
      <c r="B165" s="64"/>
      <c r="D165" s="134"/>
      <c r="J165" s="134"/>
    </row>
    <row r="166" ht="18.75" customHeight="1">
      <c r="A166" s="64"/>
      <c r="B166" s="64"/>
      <c r="D166" s="134"/>
      <c r="J166" s="134"/>
    </row>
    <row r="167" ht="18.75" customHeight="1">
      <c r="A167" s="64"/>
      <c r="B167" s="64"/>
      <c r="D167" s="134"/>
      <c r="J167" s="134"/>
    </row>
    <row r="168" ht="18.75" customHeight="1">
      <c r="A168" s="64"/>
      <c r="B168" s="64"/>
      <c r="D168" s="134"/>
      <c r="J168" s="134"/>
    </row>
    <row r="169" ht="18.75" customHeight="1">
      <c r="A169" s="64"/>
      <c r="B169" s="64"/>
      <c r="D169" s="134"/>
      <c r="J169" s="134"/>
    </row>
    <row r="170" ht="18.75" customHeight="1">
      <c r="A170" s="64"/>
      <c r="B170" s="64"/>
      <c r="D170" s="134"/>
      <c r="J170" s="134"/>
    </row>
    <row r="171" ht="18.75" customHeight="1">
      <c r="A171" s="64"/>
      <c r="B171" s="64"/>
      <c r="D171" s="134"/>
      <c r="J171" s="134"/>
    </row>
    <row r="172" ht="18.75" customHeight="1">
      <c r="A172" s="64"/>
      <c r="B172" s="64"/>
      <c r="D172" s="134"/>
      <c r="J172" s="134"/>
    </row>
    <row r="173" ht="18.75" customHeight="1">
      <c r="A173" s="64"/>
      <c r="B173" s="64"/>
      <c r="D173" s="134"/>
      <c r="J173" s="134"/>
    </row>
    <row r="174" ht="18.75" customHeight="1">
      <c r="A174" s="64"/>
      <c r="B174" s="64"/>
      <c r="D174" s="134"/>
      <c r="J174" s="134"/>
    </row>
    <row r="175" ht="18.75" customHeight="1">
      <c r="A175" s="64"/>
      <c r="B175" s="64"/>
      <c r="D175" s="134"/>
      <c r="J175" s="134"/>
    </row>
    <row r="176" ht="18.75" customHeight="1">
      <c r="A176" s="64"/>
      <c r="B176" s="64"/>
      <c r="D176" s="134"/>
      <c r="J176" s="134"/>
    </row>
    <row r="177" ht="18.75" customHeight="1">
      <c r="A177" s="64"/>
      <c r="B177" s="64"/>
      <c r="D177" s="134"/>
      <c r="J177" s="134"/>
    </row>
    <row r="178" ht="18.75" customHeight="1">
      <c r="A178" s="64"/>
      <c r="B178" s="64"/>
      <c r="D178" s="134"/>
      <c r="J178" s="134"/>
    </row>
    <row r="179" ht="18.75" customHeight="1">
      <c r="A179" s="64"/>
      <c r="B179" s="64"/>
      <c r="D179" s="134"/>
      <c r="J179" s="134"/>
    </row>
    <row r="180" ht="18.75" customHeight="1">
      <c r="A180" s="64"/>
      <c r="B180" s="64"/>
      <c r="D180" s="134"/>
      <c r="J180" s="134"/>
    </row>
    <row r="181" ht="18.75" customHeight="1">
      <c r="A181" s="64"/>
      <c r="B181" s="64"/>
      <c r="D181" s="134"/>
      <c r="J181" s="134"/>
    </row>
    <row r="182" ht="18.75" customHeight="1">
      <c r="A182" s="64"/>
      <c r="B182" s="64"/>
      <c r="D182" s="134"/>
      <c r="J182" s="134"/>
    </row>
    <row r="183" ht="18.75" customHeight="1">
      <c r="A183" s="64"/>
      <c r="B183" s="64"/>
      <c r="D183" s="134"/>
      <c r="J183" s="134"/>
    </row>
    <row r="184" ht="18.75" customHeight="1">
      <c r="A184" s="64"/>
      <c r="B184" s="64"/>
      <c r="D184" s="134"/>
      <c r="J184" s="134"/>
    </row>
    <row r="185" ht="18.75" customHeight="1">
      <c r="A185" s="64"/>
      <c r="B185" s="64"/>
      <c r="D185" s="134"/>
      <c r="J185" s="134"/>
    </row>
    <row r="186" ht="18.75" customHeight="1">
      <c r="A186" s="64"/>
      <c r="B186" s="64"/>
      <c r="D186" s="134"/>
      <c r="J186" s="134"/>
    </row>
    <row r="187" ht="18.75" customHeight="1">
      <c r="A187" s="64"/>
      <c r="B187" s="64"/>
      <c r="D187" s="134"/>
      <c r="J187" s="134"/>
    </row>
    <row r="188" ht="18.75" customHeight="1">
      <c r="A188" s="64"/>
      <c r="B188" s="64"/>
      <c r="D188" s="134"/>
      <c r="J188" s="134"/>
    </row>
    <row r="189" ht="18.75" customHeight="1">
      <c r="A189" s="64"/>
      <c r="B189" s="64"/>
      <c r="D189" s="134"/>
      <c r="J189" s="134"/>
    </row>
    <row r="190" ht="18.75" customHeight="1">
      <c r="A190" s="64"/>
      <c r="B190" s="64"/>
      <c r="D190" s="134"/>
      <c r="J190" s="134"/>
    </row>
    <row r="191" ht="18.75" customHeight="1">
      <c r="A191" s="64"/>
      <c r="B191" s="64"/>
      <c r="D191" s="134"/>
      <c r="J191" s="134"/>
    </row>
    <row r="192" ht="18.75" customHeight="1">
      <c r="A192" s="64"/>
      <c r="B192" s="64"/>
      <c r="D192" s="134"/>
      <c r="J192" s="134"/>
    </row>
    <row r="193" ht="18.75" customHeight="1">
      <c r="A193" s="64"/>
      <c r="B193" s="64"/>
      <c r="D193" s="134"/>
      <c r="J193" s="134"/>
    </row>
    <row r="194" ht="18.75" customHeight="1">
      <c r="A194" s="64"/>
      <c r="B194" s="64"/>
      <c r="D194" s="134"/>
      <c r="J194" s="134"/>
    </row>
    <row r="195" ht="18.75" customHeight="1">
      <c r="A195" s="64"/>
      <c r="B195" s="64"/>
      <c r="D195" s="134"/>
      <c r="J195" s="134"/>
    </row>
    <row r="196" ht="18.75" customHeight="1">
      <c r="A196" s="64"/>
      <c r="B196" s="64"/>
      <c r="D196" s="134"/>
      <c r="J196" s="134"/>
    </row>
    <row r="197" ht="18.75" customHeight="1">
      <c r="A197" s="64"/>
      <c r="B197" s="64"/>
      <c r="D197" s="134"/>
      <c r="J197" s="134"/>
    </row>
    <row r="198" ht="18.75" customHeight="1">
      <c r="A198" s="64"/>
      <c r="B198" s="64"/>
      <c r="D198" s="134"/>
      <c r="J198" s="134"/>
    </row>
    <row r="199" ht="18.75" customHeight="1">
      <c r="A199" s="64"/>
      <c r="B199" s="64"/>
      <c r="D199" s="134"/>
      <c r="J199" s="134"/>
    </row>
    <row r="200" ht="18.75" customHeight="1">
      <c r="A200" s="64"/>
      <c r="B200" s="64"/>
      <c r="D200" s="134"/>
      <c r="J200" s="134"/>
    </row>
    <row r="201" ht="18.75" customHeight="1">
      <c r="A201" s="64"/>
      <c r="B201" s="64"/>
      <c r="D201" s="134"/>
      <c r="J201" s="134"/>
    </row>
    <row r="202" ht="18.75" customHeight="1">
      <c r="A202" s="64"/>
      <c r="B202" s="64"/>
      <c r="D202" s="134"/>
      <c r="J202" s="134"/>
    </row>
    <row r="203" ht="18.75" customHeight="1">
      <c r="A203" s="64"/>
      <c r="B203" s="64"/>
      <c r="D203" s="134"/>
      <c r="J203" s="134"/>
    </row>
    <row r="204" ht="18.75" customHeight="1">
      <c r="A204" s="64"/>
      <c r="B204" s="64"/>
      <c r="D204" s="134"/>
      <c r="J204" s="134"/>
    </row>
    <row r="205" ht="18.75" customHeight="1">
      <c r="A205" s="64"/>
      <c r="B205" s="64"/>
      <c r="D205" s="134"/>
      <c r="J205" s="134"/>
    </row>
    <row r="206" ht="18.75" customHeight="1">
      <c r="A206" s="64"/>
      <c r="B206" s="64"/>
      <c r="D206" s="134"/>
      <c r="J206" s="134"/>
    </row>
    <row r="207" ht="18.75" customHeight="1">
      <c r="A207" s="64"/>
      <c r="B207" s="64"/>
      <c r="D207" s="134"/>
      <c r="J207" s="134"/>
    </row>
    <row r="208" ht="18.75" customHeight="1">
      <c r="A208" s="64"/>
      <c r="B208" s="64"/>
      <c r="D208" s="134"/>
      <c r="J208" s="134"/>
    </row>
    <row r="209" ht="18.75" customHeight="1">
      <c r="A209" s="64"/>
      <c r="B209" s="64"/>
      <c r="D209" s="134"/>
      <c r="J209" s="134"/>
    </row>
    <row r="210" ht="18.75" customHeight="1">
      <c r="A210" s="64"/>
      <c r="B210" s="64"/>
      <c r="D210" s="134"/>
      <c r="J210" s="134"/>
    </row>
    <row r="211" ht="18.75" customHeight="1">
      <c r="A211" s="64"/>
      <c r="B211" s="64"/>
      <c r="D211" s="134"/>
      <c r="J211" s="134"/>
    </row>
    <row r="212" ht="18.75" customHeight="1">
      <c r="A212" s="64"/>
      <c r="B212" s="64"/>
      <c r="D212" s="134"/>
      <c r="J212" s="134"/>
    </row>
    <row r="213" ht="18.75" customHeight="1">
      <c r="A213" s="64"/>
      <c r="B213" s="64"/>
      <c r="D213" s="134"/>
      <c r="J213" s="134"/>
    </row>
    <row r="214" ht="18.75" customHeight="1">
      <c r="A214" s="64"/>
      <c r="B214" s="64"/>
      <c r="D214" s="134"/>
      <c r="J214" s="134"/>
    </row>
    <row r="215" ht="18.75" customHeight="1">
      <c r="A215" s="64"/>
      <c r="B215" s="64"/>
      <c r="D215" s="134"/>
      <c r="J215" s="134"/>
    </row>
    <row r="216" ht="18.75" customHeight="1">
      <c r="A216" s="64"/>
      <c r="B216" s="64"/>
      <c r="D216" s="134"/>
      <c r="J216" s="134"/>
    </row>
    <row r="217" ht="18.75" customHeight="1">
      <c r="A217" s="64"/>
      <c r="B217" s="64"/>
      <c r="D217" s="134"/>
      <c r="J217" s="134"/>
    </row>
    <row r="218" ht="18.75" customHeight="1">
      <c r="A218" s="64"/>
      <c r="B218" s="64"/>
      <c r="D218" s="134"/>
      <c r="J218" s="134"/>
    </row>
    <row r="219" ht="18.75" customHeight="1">
      <c r="A219" s="64"/>
      <c r="B219" s="64"/>
      <c r="D219" s="134"/>
      <c r="J219" s="134"/>
    </row>
    <row r="220" ht="18.75" customHeight="1">
      <c r="A220" s="64"/>
      <c r="B220" s="64"/>
      <c r="D220" s="134"/>
      <c r="J220" s="134"/>
    </row>
    <row r="221" ht="18.75" customHeight="1">
      <c r="A221" s="64"/>
      <c r="B221" s="64"/>
      <c r="D221" s="134"/>
      <c r="J221" s="134"/>
    </row>
    <row r="222" ht="18.75" customHeight="1">
      <c r="A222" s="64"/>
      <c r="B222" s="64"/>
      <c r="D222" s="134"/>
      <c r="J222" s="134"/>
    </row>
    <row r="223" ht="18.75" customHeight="1">
      <c r="A223" s="64"/>
      <c r="B223" s="64"/>
      <c r="D223" s="134"/>
      <c r="J223" s="134"/>
    </row>
    <row r="224" ht="18.75" customHeight="1">
      <c r="A224" s="64"/>
      <c r="B224" s="64"/>
      <c r="D224" s="134"/>
      <c r="J224" s="134"/>
    </row>
    <row r="225" ht="18.75" customHeight="1">
      <c r="A225" s="64"/>
      <c r="B225" s="64"/>
      <c r="D225" s="134"/>
      <c r="J225" s="134"/>
    </row>
    <row r="226" ht="18.75" customHeight="1">
      <c r="A226" s="64"/>
      <c r="B226" s="64"/>
      <c r="D226" s="134"/>
      <c r="J226" s="134"/>
    </row>
    <row r="227" ht="18.75" customHeight="1">
      <c r="A227" s="64"/>
      <c r="B227" s="64"/>
      <c r="D227" s="134"/>
      <c r="J227" s="134"/>
    </row>
    <row r="228" ht="18.75" customHeight="1">
      <c r="A228" s="64"/>
      <c r="B228" s="64"/>
      <c r="D228" s="134"/>
      <c r="J228" s="134"/>
    </row>
    <row r="229" ht="18.75" customHeight="1">
      <c r="A229" s="64"/>
      <c r="B229" s="64"/>
      <c r="D229" s="134"/>
      <c r="J229" s="134"/>
    </row>
    <row r="230" ht="18.75" customHeight="1">
      <c r="A230" s="64"/>
      <c r="B230" s="64"/>
      <c r="D230" s="134"/>
      <c r="J230" s="134"/>
    </row>
    <row r="231" ht="18.75" customHeight="1">
      <c r="A231" s="64"/>
      <c r="B231" s="64"/>
      <c r="D231" s="134"/>
      <c r="J231" s="134"/>
    </row>
    <row r="232" ht="18.75" customHeight="1">
      <c r="A232" s="64"/>
      <c r="B232" s="64"/>
      <c r="D232" s="134"/>
      <c r="J232" s="134"/>
    </row>
    <row r="233" ht="18.75" customHeight="1">
      <c r="A233" s="64"/>
      <c r="B233" s="64"/>
      <c r="D233" s="134"/>
      <c r="J233" s="134"/>
    </row>
    <row r="234" ht="18.75" customHeight="1">
      <c r="A234" s="64"/>
      <c r="B234" s="64"/>
      <c r="D234" s="134"/>
      <c r="J234" s="134"/>
    </row>
    <row r="235" ht="18.75" customHeight="1">
      <c r="A235" s="64"/>
      <c r="B235" s="64"/>
      <c r="D235" s="134"/>
      <c r="J235" s="134"/>
    </row>
    <row r="236" ht="18.75" customHeight="1">
      <c r="A236" s="64"/>
      <c r="B236" s="64"/>
      <c r="D236" s="134"/>
      <c r="J236" s="134"/>
    </row>
    <row r="237" ht="18.75" customHeight="1">
      <c r="A237" s="64"/>
      <c r="B237" s="64"/>
      <c r="D237" s="134"/>
      <c r="J237" s="134"/>
    </row>
    <row r="238" ht="18.75" customHeight="1">
      <c r="A238" s="64"/>
      <c r="B238" s="64"/>
      <c r="D238" s="134"/>
      <c r="J238" s="134"/>
    </row>
    <row r="239" ht="18.75" customHeight="1">
      <c r="A239" s="64"/>
      <c r="B239" s="64"/>
      <c r="D239" s="134"/>
      <c r="J239" s="134"/>
    </row>
    <row r="240" ht="18.75" customHeight="1">
      <c r="A240" s="64"/>
      <c r="B240" s="64"/>
      <c r="D240" s="134"/>
      <c r="J240" s="134"/>
    </row>
    <row r="241" ht="18.75" customHeight="1">
      <c r="A241" s="64"/>
      <c r="B241" s="64"/>
      <c r="D241" s="134"/>
      <c r="J241" s="134"/>
    </row>
    <row r="242" ht="18.75" customHeight="1">
      <c r="A242" s="64"/>
      <c r="B242" s="64"/>
      <c r="D242" s="134"/>
      <c r="J242" s="134"/>
    </row>
    <row r="243" ht="18.75" customHeight="1">
      <c r="A243" s="64"/>
      <c r="B243" s="64"/>
      <c r="D243" s="134"/>
      <c r="J243" s="134"/>
    </row>
    <row r="244" ht="18.75" customHeight="1">
      <c r="A244" s="64"/>
      <c r="B244" s="64"/>
      <c r="D244" s="134"/>
      <c r="J244" s="134"/>
    </row>
    <row r="245" ht="18.75" customHeight="1">
      <c r="A245" s="64"/>
      <c r="B245" s="64"/>
      <c r="D245" s="134"/>
      <c r="J245" s="134"/>
    </row>
    <row r="246" ht="18.75" customHeight="1">
      <c r="A246" s="64"/>
      <c r="B246" s="64"/>
      <c r="D246" s="134"/>
      <c r="J246" s="134"/>
    </row>
    <row r="247" ht="18.75" customHeight="1">
      <c r="A247" s="64"/>
      <c r="B247" s="64"/>
      <c r="D247" s="134"/>
      <c r="J247" s="134"/>
    </row>
    <row r="248" ht="18.75" customHeight="1">
      <c r="A248" s="64"/>
      <c r="B248" s="64"/>
      <c r="D248" s="134"/>
      <c r="J248" s="134"/>
    </row>
    <row r="249" ht="18.75" customHeight="1">
      <c r="A249" s="64"/>
      <c r="B249" s="64"/>
      <c r="D249" s="134"/>
      <c r="J249" s="134"/>
    </row>
    <row r="250" ht="18.75" customHeight="1">
      <c r="A250" s="64"/>
      <c r="B250" s="64"/>
      <c r="D250" s="134"/>
      <c r="J250" s="134"/>
    </row>
    <row r="251" ht="18.75" customHeight="1">
      <c r="A251" s="64"/>
      <c r="B251" s="64"/>
      <c r="D251" s="134"/>
      <c r="J251" s="134"/>
    </row>
    <row r="252" ht="18.75" customHeight="1">
      <c r="A252" s="64"/>
      <c r="B252" s="64"/>
      <c r="D252" s="134"/>
      <c r="J252" s="134"/>
    </row>
    <row r="253" ht="18.75" customHeight="1">
      <c r="A253" s="64"/>
      <c r="B253" s="64"/>
      <c r="D253" s="134"/>
      <c r="J253" s="134"/>
    </row>
    <row r="254" ht="18.75" customHeight="1">
      <c r="A254" s="64"/>
      <c r="B254" s="64"/>
      <c r="D254" s="134"/>
      <c r="J254" s="134"/>
    </row>
    <row r="255" ht="18.75" customHeight="1">
      <c r="A255" s="64"/>
      <c r="B255" s="64"/>
      <c r="D255" s="134"/>
      <c r="J255" s="134"/>
    </row>
    <row r="256" ht="18.75" customHeight="1">
      <c r="A256" s="64"/>
      <c r="B256" s="64"/>
      <c r="D256" s="134"/>
      <c r="J256" s="134"/>
    </row>
    <row r="257" ht="18.75" customHeight="1">
      <c r="A257" s="64"/>
      <c r="B257" s="64"/>
      <c r="D257" s="134"/>
      <c r="J257" s="134"/>
    </row>
    <row r="258" ht="18.75" customHeight="1">
      <c r="A258" s="64"/>
      <c r="B258" s="64"/>
      <c r="D258" s="134"/>
      <c r="J258" s="134"/>
    </row>
    <row r="259" ht="18.75" customHeight="1">
      <c r="A259" s="64"/>
      <c r="B259" s="64"/>
      <c r="D259" s="134"/>
      <c r="J259" s="134"/>
    </row>
    <row r="260" ht="18.75" customHeight="1">
      <c r="A260" s="64"/>
      <c r="B260" s="64"/>
      <c r="D260" s="134"/>
      <c r="J260" s="134"/>
    </row>
    <row r="261" ht="18.75" customHeight="1">
      <c r="A261" s="64"/>
      <c r="B261" s="64"/>
      <c r="D261" s="134"/>
      <c r="J261" s="134"/>
    </row>
    <row r="262" ht="18.75" customHeight="1">
      <c r="A262" s="64"/>
      <c r="B262" s="64"/>
      <c r="D262" s="134"/>
      <c r="J262" s="134"/>
    </row>
    <row r="263" ht="18.75" customHeight="1">
      <c r="A263" s="64"/>
      <c r="B263" s="64"/>
      <c r="D263" s="134"/>
      <c r="J263" s="134"/>
    </row>
    <row r="264" ht="18.75" customHeight="1">
      <c r="A264" s="64"/>
      <c r="B264" s="64"/>
      <c r="D264" s="134"/>
      <c r="J264" s="134"/>
    </row>
    <row r="265" ht="18.75" customHeight="1">
      <c r="A265" s="64"/>
      <c r="B265" s="64"/>
      <c r="D265" s="134"/>
      <c r="J265" s="134"/>
    </row>
    <row r="266" ht="18.75" customHeight="1">
      <c r="A266" s="64"/>
      <c r="B266" s="64"/>
      <c r="D266" s="134"/>
      <c r="J266" s="134"/>
    </row>
    <row r="267" ht="18.75" customHeight="1">
      <c r="A267" s="64"/>
      <c r="B267" s="64"/>
      <c r="D267" s="134"/>
      <c r="J267" s="134"/>
    </row>
    <row r="268" ht="18.75" customHeight="1">
      <c r="A268" s="64"/>
      <c r="B268" s="64"/>
      <c r="D268" s="134"/>
      <c r="J268" s="134"/>
    </row>
    <row r="269" ht="18.75" customHeight="1">
      <c r="A269" s="64"/>
      <c r="B269" s="64"/>
      <c r="D269" s="134"/>
      <c r="J269" s="134"/>
    </row>
    <row r="270" ht="18.75" customHeight="1">
      <c r="A270" s="64"/>
      <c r="B270" s="64"/>
      <c r="D270" s="134"/>
      <c r="J270" s="134"/>
    </row>
    <row r="271" ht="18.75" customHeight="1">
      <c r="A271" s="64"/>
      <c r="B271" s="64"/>
      <c r="D271" s="134"/>
      <c r="J271" s="134"/>
    </row>
    <row r="272" ht="18.75" customHeight="1">
      <c r="A272" s="64"/>
      <c r="B272" s="64"/>
      <c r="D272" s="134"/>
      <c r="J272" s="134"/>
    </row>
    <row r="273" ht="18.75" customHeight="1">
      <c r="A273" s="64"/>
      <c r="B273" s="64"/>
      <c r="D273" s="134"/>
      <c r="J273" s="134"/>
    </row>
    <row r="274" ht="18.75" customHeight="1">
      <c r="A274" s="64"/>
      <c r="B274" s="64"/>
      <c r="D274" s="134"/>
      <c r="J274" s="134"/>
    </row>
    <row r="275" ht="18.75" customHeight="1">
      <c r="A275" s="64"/>
      <c r="B275" s="64"/>
      <c r="D275" s="134"/>
      <c r="J275" s="134"/>
    </row>
    <row r="276" ht="18.75" customHeight="1">
      <c r="A276" s="64"/>
      <c r="B276" s="64"/>
      <c r="D276" s="134"/>
      <c r="J276" s="134"/>
    </row>
    <row r="277" ht="18.75" customHeight="1">
      <c r="A277" s="64"/>
      <c r="B277" s="64"/>
      <c r="D277" s="134"/>
      <c r="J277" s="134"/>
    </row>
    <row r="278" ht="18.75" customHeight="1">
      <c r="A278" s="64"/>
      <c r="B278" s="64"/>
      <c r="D278" s="134"/>
      <c r="J278" s="134"/>
    </row>
    <row r="279" ht="18.75" customHeight="1">
      <c r="A279" s="64"/>
      <c r="B279" s="64"/>
      <c r="D279" s="134"/>
      <c r="J279" s="134"/>
    </row>
    <row r="280" ht="18.75" customHeight="1">
      <c r="A280" s="64"/>
      <c r="B280" s="64"/>
      <c r="D280" s="134"/>
      <c r="J280" s="134"/>
    </row>
    <row r="281" ht="18.75" customHeight="1">
      <c r="A281" s="64"/>
      <c r="B281" s="64"/>
      <c r="D281" s="134"/>
      <c r="J281" s="134"/>
    </row>
    <row r="282" ht="18.75" customHeight="1">
      <c r="A282" s="64"/>
      <c r="B282" s="64"/>
      <c r="D282" s="134"/>
      <c r="J282" s="134"/>
    </row>
    <row r="283" ht="18.75" customHeight="1">
      <c r="A283" s="64"/>
      <c r="B283" s="64"/>
      <c r="D283" s="134"/>
      <c r="J283" s="134"/>
    </row>
    <row r="284" ht="18.75" customHeight="1">
      <c r="A284" s="64"/>
      <c r="B284" s="64"/>
      <c r="D284" s="134"/>
      <c r="J284" s="134"/>
    </row>
    <row r="285" ht="18.75" customHeight="1">
      <c r="A285" s="64"/>
      <c r="B285" s="64"/>
      <c r="D285" s="134"/>
      <c r="J285" s="134"/>
    </row>
    <row r="286" ht="18.75" customHeight="1">
      <c r="A286" s="64"/>
      <c r="B286" s="64"/>
      <c r="D286" s="134"/>
      <c r="J286" s="134"/>
    </row>
    <row r="287" ht="18.75" customHeight="1">
      <c r="A287" s="64"/>
      <c r="B287" s="64"/>
      <c r="D287" s="134"/>
      <c r="J287" s="134"/>
    </row>
    <row r="288" ht="18.75" customHeight="1">
      <c r="A288" s="64"/>
      <c r="B288" s="64"/>
      <c r="D288" s="134"/>
      <c r="J288" s="134"/>
    </row>
    <row r="289" ht="18.75" customHeight="1">
      <c r="A289" s="64"/>
      <c r="B289" s="64"/>
      <c r="D289" s="134"/>
      <c r="J289" s="134"/>
    </row>
    <row r="290" ht="18.75" customHeight="1">
      <c r="A290" s="64"/>
      <c r="B290" s="64"/>
      <c r="D290" s="134"/>
      <c r="J290" s="134"/>
    </row>
    <row r="291" ht="18.75" customHeight="1">
      <c r="A291" s="64"/>
      <c r="B291" s="64"/>
      <c r="D291" s="134"/>
      <c r="J291" s="134"/>
    </row>
    <row r="292" ht="18.75" customHeight="1">
      <c r="A292" s="64"/>
      <c r="B292" s="64"/>
      <c r="D292" s="134"/>
      <c r="J292" s="134"/>
    </row>
    <row r="293" ht="18.75" customHeight="1">
      <c r="A293" s="64"/>
      <c r="B293" s="64"/>
      <c r="D293" s="134"/>
      <c r="J293" s="134"/>
    </row>
    <row r="294" ht="18.75" customHeight="1">
      <c r="A294" s="64"/>
      <c r="B294" s="64"/>
      <c r="D294" s="134"/>
      <c r="J294" s="134"/>
    </row>
    <row r="295" ht="18.75" customHeight="1">
      <c r="A295" s="64"/>
      <c r="B295" s="64"/>
      <c r="D295" s="134"/>
      <c r="J295" s="134"/>
    </row>
    <row r="296" ht="18.75" customHeight="1">
      <c r="A296" s="64"/>
      <c r="B296" s="64"/>
      <c r="D296" s="134"/>
      <c r="J296" s="134"/>
    </row>
    <row r="297" ht="18.75" customHeight="1">
      <c r="A297" s="64"/>
      <c r="B297" s="64"/>
      <c r="D297" s="134"/>
      <c r="J297" s="134"/>
    </row>
    <row r="298" ht="18.75" customHeight="1">
      <c r="A298" s="64"/>
      <c r="B298" s="64"/>
      <c r="D298" s="134"/>
      <c r="J298" s="134"/>
    </row>
    <row r="299" ht="18.75" customHeight="1">
      <c r="A299" s="64"/>
      <c r="B299" s="64"/>
      <c r="D299" s="134"/>
      <c r="J299" s="134"/>
    </row>
    <row r="300" ht="18.75" customHeight="1">
      <c r="A300" s="64"/>
      <c r="B300" s="64"/>
      <c r="D300" s="134"/>
      <c r="J300" s="134"/>
    </row>
    <row r="301" ht="18.75" customHeight="1">
      <c r="A301" s="64"/>
      <c r="B301" s="64"/>
      <c r="D301" s="134"/>
      <c r="J301" s="134"/>
    </row>
    <row r="302" ht="18.75" customHeight="1">
      <c r="A302" s="64"/>
      <c r="B302" s="64"/>
      <c r="D302" s="134"/>
      <c r="J302" s="134"/>
    </row>
    <row r="303" ht="18.75" customHeight="1">
      <c r="A303" s="64"/>
      <c r="B303" s="64"/>
      <c r="D303" s="134"/>
      <c r="J303" s="134"/>
    </row>
    <row r="304" ht="18.75" customHeight="1">
      <c r="A304" s="64"/>
      <c r="B304" s="64"/>
      <c r="D304" s="134"/>
      <c r="J304" s="134"/>
    </row>
    <row r="305" ht="18.75" customHeight="1">
      <c r="A305" s="64"/>
      <c r="B305" s="64"/>
      <c r="D305" s="134"/>
      <c r="J305" s="134"/>
    </row>
    <row r="306" ht="18.75" customHeight="1">
      <c r="A306" s="64"/>
      <c r="B306" s="64"/>
      <c r="D306" s="134"/>
      <c r="J306" s="134"/>
    </row>
    <row r="307" ht="18.75" customHeight="1">
      <c r="A307" s="64"/>
      <c r="B307" s="64"/>
      <c r="D307" s="134"/>
      <c r="J307" s="134"/>
    </row>
    <row r="308" ht="18.75" customHeight="1">
      <c r="A308" s="64"/>
      <c r="B308" s="64"/>
      <c r="D308" s="134"/>
      <c r="J308" s="134"/>
    </row>
    <row r="309" ht="18.75" customHeight="1">
      <c r="A309" s="64"/>
      <c r="B309" s="64"/>
      <c r="D309" s="134"/>
      <c r="J309" s="134"/>
    </row>
    <row r="310" ht="18.75" customHeight="1">
      <c r="A310" s="64"/>
      <c r="B310" s="64"/>
      <c r="D310" s="134"/>
      <c r="J310" s="134"/>
    </row>
    <row r="311" ht="18.75" customHeight="1">
      <c r="A311" s="64"/>
      <c r="B311" s="64"/>
      <c r="D311" s="134"/>
      <c r="J311" s="134"/>
    </row>
    <row r="312" ht="18.75" customHeight="1">
      <c r="A312" s="64"/>
      <c r="B312" s="64"/>
      <c r="D312" s="134"/>
      <c r="J312" s="134"/>
    </row>
    <row r="313" ht="18.75" customHeight="1">
      <c r="A313" s="64"/>
      <c r="B313" s="64"/>
      <c r="D313" s="134"/>
      <c r="J313" s="134"/>
    </row>
    <row r="314" ht="18.75" customHeight="1">
      <c r="A314" s="64"/>
      <c r="B314" s="64"/>
      <c r="D314" s="134"/>
      <c r="J314" s="134"/>
    </row>
    <row r="315" ht="18.75" customHeight="1">
      <c r="A315" s="64"/>
      <c r="B315" s="64"/>
      <c r="D315" s="134"/>
      <c r="J315" s="134"/>
    </row>
    <row r="316" ht="18.75" customHeight="1">
      <c r="A316" s="64"/>
      <c r="B316" s="64"/>
      <c r="D316" s="134"/>
      <c r="J316" s="134"/>
    </row>
    <row r="317" ht="18.75" customHeight="1">
      <c r="A317" s="64"/>
      <c r="B317" s="64"/>
      <c r="D317" s="134"/>
      <c r="J317" s="134"/>
    </row>
    <row r="318" ht="18.75" customHeight="1">
      <c r="A318" s="64"/>
      <c r="B318" s="64"/>
      <c r="D318" s="134"/>
      <c r="J318" s="134"/>
    </row>
    <row r="319" ht="18.75" customHeight="1">
      <c r="A319" s="64"/>
      <c r="B319" s="64"/>
      <c r="D319" s="134"/>
      <c r="J319" s="134"/>
    </row>
    <row r="320" ht="18.75" customHeight="1">
      <c r="A320" s="64"/>
      <c r="B320" s="64"/>
      <c r="D320" s="134"/>
      <c r="J320" s="134"/>
    </row>
    <row r="321" ht="18.75" customHeight="1">
      <c r="A321" s="64"/>
      <c r="B321" s="64"/>
      <c r="D321" s="134"/>
      <c r="J321" s="134"/>
    </row>
    <row r="322" ht="18.75" customHeight="1">
      <c r="A322" s="64"/>
      <c r="B322" s="64"/>
      <c r="D322" s="134"/>
      <c r="J322" s="134"/>
    </row>
    <row r="323" ht="18.75" customHeight="1">
      <c r="A323" s="64"/>
      <c r="B323" s="64"/>
      <c r="D323" s="134"/>
      <c r="J323" s="134"/>
    </row>
    <row r="324" ht="18.75" customHeight="1">
      <c r="A324" s="64"/>
      <c r="B324" s="64"/>
      <c r="D324" s="134"/>
      <c r="J324" s="134"/>
    </row>
    <row r="325" ht="18.75" customHeight="1">
      <c r="A325" s="64"/>
      <c r="B325" s="64"/>
      <c r="D325" s="134"/>
      <c r="J325" s="134"/>
    </row>
    <row r="326" ht="18.75" customHeight="1">
      <c r="A326" s="64"/>
      <c r="B326" s="64"/>
      <c r="D326" s="134"/>
      <c r="J326" s="134"/>
    </row>
    <row r="327" ht="18.75" customHeight="1">
      <c r="A327" s="64"/>
      <c r="B327" s="64"/>
      <c r="D327" s="134"/>
      <c r="J327" s="134"/>
    </row>
    <row r="328" ht="18.75" customHeight="1">
      <c r="A328" s="64"/>
      <c r="B328" s="64"/>
      <c r="D328" s="134"/>
      <c r="J328" s="134"/>
    </row>
    <row r="329" ht="18.75" customHeight="1">
      <c r="A329" s="64"/>
      <c r="B329" s="64"/>
      <c r="D329" s="134"/>
      <c r="J329" s="134"/>
    </row>
    <row r="330" ht="18.75" customHeight="1">
      <c r="A330" s="64"/>
      <c r="B330" s="64"/>
      <c r="D330" s="134"/>
      <c r="J330" s="134"/>
    </row>
    <row r="331" ht="18.75" customHeight="1">
      <c r="A331" s="64"/>
      <c r="B331" s="64"/>
      <c r="D331" s="134"/>
      <c r="J331" s="134"/>
    </row>
    <row r="332" ht="18.75" customHeight="1">
      <c r="A332" s="64"/>
      <c r="B332" s="64"/>
      <c r="D332" s="134"/>
      <c r="J332" s="134"/>
    </row>
    <row r="333" ht="18.75" customHeight="1">
      <c r="A333" s="64"/>
      <c r="B333" s="64"/>
      <c r="D333" s="134"/>
      <c r="J333" s="134"/>
    </row>
    <row r="334" ht="18.75" customHeight="1">
      <c r="A334" s="64"/>
      <c r="B334" s="64"/>
      <c r="D334" s="134"/>
      <c r="J334" s="134"/>
    </row>
    <row r="335" ht="18.75" customHeight="1">
      <c r="A335" s="64"/>
      <c r="B335" s="64"/>
      <c r="D335" s="134"/>
      <c r="J335" s="134"/>
    </row>
    <row r="336" ht="18.75" customHeight="1">
      <c r="A336" s="64"/>
      <c r="B336" s="64"/>
      <c r="D336" s="134"/>
      <c r="J336" s="134"/>
    </row>
    <row r="337" ht="18.75" customHeight="1">
      <c r="A337" s="64"/>
      <c r="B337" s="64"/>
      <c r="D337" s="134"/>
      <c r="J337" s="134"/>
    </row>
    <row r="338" ht="18.75" customHeight="1">
      <c r="A338" s="64"/>
      <c r="B338" s="64"/>
      <c r="D338" s="134"/>
      <c r="J338" s="134"/>
    </row>
    <row r="339" ht="18.75" customHeight="1">
      <c r="A339" s="64"/>
      <c r="B339" s="64"/>
      <c r="D339" s="134"/>
      <c r="J339" s="134"/>
    </row>
    <row r="340" ht="18.75" customHeight="1">
      <c r="A340" s="64"/>
      <c r="B340" s="64"/>
      <c r="D340" s="134"/>
      <c r="J340" s="134"/>
    </row>
    <row r="341" ht="18.75" customHeight="1">
      <c r="A341" s="64"/>
      <c r="B341" s="64"/>
      <c r="D341" s="134"/>
      <c r="J341" s="134"/>
    </row>
    <row r="342" ht="18.75" customHeight="1">
      <c r="A342" s="64"/>
      <c r="B342" s="64"/>
      <c r="D342" s="134"/>
      <c r="J342" s="134"/>
    </row>
    <row r="343" ht="18.75" customHeight="1">
      <c r="A343" s="64"/>
      <c r="B343" s="64"/>
      <c r="D343" s="134"/>
      <c r="J343" s="134"/>
    </row>
    <row r="344" ht="18.75" customHeight="1">
      <c r="A344" s="64"/>
      <c r="B344" s="64"/>
      <c r="D344" s="134"/>
      <c r="J344" s="134"/>
    </row>
    <row r="345" ht="18.75" customHeight="1">
      <c r="A345" s="64"/>
      <c r="B345" s="64"/>
      <c r="D345" s="134"/>
      <c r="J345" s="134"/>
    </row>
    <row r="346" ht="18.75" customHeight="1">
      <c r="A346" s="64"/>
      <c r="B346" s="64"/>
      <c r="D346" s="134"/>
      <c r="J346" s="134"/>
    </row>
    <row r="347" ht="18.75" customHeight="1">
      <c r="A347" s="64"/>
      <c r="B347" s="64"/>
      <c r="D347" s="134"/>
      <c r="J347" s="134"/>
    </row>
    <row r="348" ht="18.75" customHeight="1">
      <c r="A348" s="64"/>
      <c r="B348" s="64"/>
      <c r="D348" s="134"/>
      <c r="J348" s="134"/>
    </row>
    <row r="349" ht="18.75" customHeight="1">
      <c r="A349" s="64"/>
      <c r="B349" s="64"/>
      <c r="D349" s="134"/>
      <c r="J349" s="134"/>
    </row>
    <row r="350" ht="18.75" customHeight="1">
      <c r="A350" s="64"/>
      <c r="B350" s="64"/>
      <c r="D350" s="134"/>
      <c r="J350" s="134"/>
    </row>
    <row r="351" ht="18.75" customHeight="1">
      <c r="A351" s="64"/>
      <c r="B351" s="64"/>
      <c r="D351" s="134"/>
      <c r="J351" s="134"/>
    </row>
    <row r="352" ht="18.75" customHeight="1">
      <c r="A352" s="64"/>
      <c r="B352" s="64"/>
      <c r="D352" s="134"/>
      <c r="J352" s="134"/>
    </row>
    <row r="353" ht="18.75" customHeight="1">
      <c r="A353" s="64"/>
      <c r="B353" s="64"/>
      <c r="D353" s="134"/>
      <c r="J353" s="134"/>
    </row>
    <row r="354" ht="18.75" customHeight="1">
      <c r="A354" s="64"/>
      <c r="B354" s="64"/>
      <c r="D354" s="134"/>
      <c r="J354" s="134"/>
    </row>
    <row r="355" ht="18.75" customHeight="1">
      <c r="A355" s="64"/>
      <c r="B355" s="64"/>
      <c r="D355" s="134"/>
      <c r="J355" s="134"/>
    </row>
    <row r="356" ht="18.75" customHeight="1">
      <c r="A356" s="64"/>
      <c r="B356" s="64"/>
      <c r="D356" s="134"/>
      <c r="J356" s="134"/>
    </row>
    <row r="357" ht="18.75" customHeight="1">
      <c r="A357" s="64"/>
      <c r="B357" s="64"/>
      <c r="D357" s="134"/>
      <c r="J357" s="134"/>
    </row>
    <row r="358" ht="18.75" customHeight="1">
      <c r="A358" s="64"/>
      <c r="B358" s="64"/>
      <c r="D358" s="134"/>
      <c r="J358" s="134"/>
    </row>
    <row r="359" ht="18.75" customHeight="1">
      <c r="A359" s="64"/>
      <c r="B359" s="64"/>
      <c r="D359" s="134"/>
      <c r="J359" s="134"/>
    </row>
    <row r="360" ht="18.75" customHeight="1">
      <c r="A360" s="64"/>
      <c r="B360" s="64"/>
      <c r="D360" s="134"/>
      <c r="J360" s="134"/>
    </row>
    <row r="361" ht="18.75" customHeight="1">
      <c r="A361" s="64"/>
      <c r="B361" s="64"/>
      <c r="D361" s="134"/>
      <c r="J361" s="134"/>
    </row>
    <row r="362" ht="18.75" customHeight="1">
      <c r="A362" s="64"/>
      <c r="B362" s="64"/>
      <c r="D362" s="134"/>
      <c r="J362" s="134"/>
    </row>
    <row r="363" ht="18.75" customHeight="1">
      <c r="A363" s="64"/>
      <c r="B363" s="64"/>
      <c r="D363" s="134"/>
      <c r="J363" s="134"/>
    </row>
    <row r="364" ht="18.75" customHeight="1">
      <c r="A364" s="64"/>
      <c r="B364" s="64"/>
      <c r="D364" s="134"/>
      <c r="J364" s="134"/>
    </row>
    <row r="365" ht="18.75" customHeight="1">
      <c r="A365" s="64"/>
      <c r="B365" s="64"/>
      <c r="D365" s="134"/>
      <c r="J365" s="134"/>
    </row>
    <row r="366" ht="18.75" customHeight="1">
      <c r="A366" s="64"/>
      <c r="B366" s="64"/>
      <c r="D366" s="134"/>
      <c r="J366" s="134"/>
    </row>
    <row r="367" ht="18.75" customHeight="1">
      <c r="A367" s="64"/>
      <c r="B367" s="64"/>
      <c r="D367" s="134"/>
      <c r="J367" s="134"/>
    </row>
    <row r="368" ht="18.75" customHeight="1">
      <c r="A368" s="64"/>
      <c r="B368" s="64"/>
      <c r="D368" s="134"/>
      <c r="J368" s="134"/>
    </row>
    <row r="369" ht="18.75" customHeight="1">
      <c r="A369" s="64"/>
      <c r="B369" s="64"/>
      <c r="D369" s="134"/>
      <c r="J369" s="134"/>
    </row>
    <row r="370" ht="18.75" customHeight="1">
      <c r="A370" s="64"/>
      <c r="B370" s="64"/>
      <c r="D370" s="134"/>
      <c r="J370" s="134"/>
    </row>
    <row r="371" ht="18.75" customHeight="1">
      <c r="A371" s="64"/>
      <c r="B371" s="64"/>
      <c r="D371" s="134"/>
      <c r="J371" s="134"/>
    </row>
    <row r="372" ht="18.75" customHeight="1">
      <c r="A372" s="64"/>
      <c r="B372" s="64"/>
      <c r="D372" s="134"/>
      <c r="J372" s="134"/>
    </row>
    <row r="373" ht="18.75" customHeight="1">
      <c r="A373" s="64"/>
      <c r="B373" s="64"/>
      <c r="D373" s="134"/>
      <c r="J373" s="134"/>
    </row>
    <row r="374" ht="18.75" customHeight="1">
      <c r="A374" s="64"/>
      <c r="B374" s="64"/>
      <c r="D374" s="134"/>
      <c r="J374" s="134"/>
    </row>
    <row r="375" ht="18.75" customHeight="1">
      <c r="A375" s="64"/>
      <c r="B375" s="64"/>
      <c r="D375" s="134"/>
      <c r="J375" s="134"/>
    </row>
    <row r="376" ht="18.75" customHeight="1">
      <c r="A376" s="64"/>
      <c r="B376" s="64"/>
      <c r="D376" s="134"/>
      <c r="J376" s="134"/>
    </row>
    <row r="377" ht="18.75" customHeight="1">
      <c r="A377" s="64"/>
      <c r="B377" s="64"/>
      <c r="D377" s="134"/>
      <c r="J377" s="134"/>
    </row>
    <row r="378" ht="18.75" customHeight="1">
      <c r="A378" s="64"/>
      <c r="B378" s="64"/>
      <c r="D378" s="134"/>
      <c r="J378" s="134"/>
    </row>
    <row r="379" ht="18.75" customHeight="1">
      <c r="A379" s="64"/>
      <c r="B379" s="64"/>
      <c r="D379" s="134"/>
      <c r="J379" s="134"/>
    </row>
    <row r="380" ht="18.75" customHeight="1">
      <c r="A380" s="64"/>
      <c r="B380" s="64"/>
      <c r="D380" s="134"/>
      <c r="J380" s="134"/>
    </row>
    <row r="381" ht="18.75" customHeight="1">
      <c r="A381" s="64"/>
      <c r="B381" s="64"/>
      <c r="D381" s="134"/>
      <c r="J381" s="134"/>
    </row>
    <row r="382" ht="18.75" customHeight="1">
      <c r="A382" s="64"/>
      <c r="B382" s="64"/>
      <c r="D382" s="134"/>
      <c r="J382" s="134"/>
    </row>
    <row r="383" ht="18.75" customHeight="1">
      <c r="A383" s="64"/>
      <c r="B383" s="64"/>
      <c r="D383" s="134"/>
      <c r="J383" s="134"/>
    </row>
    <row r="384" ht="18.75" customHeight="1">
      <c r="A384" s="64"/>
      <c r="B384" s="64"/>
      <c r="D384" s="134"/>
      <c r="J384" s="134"/>
    </row>
    <row r="385" ht="18.75" customHeight="1">
      <c r="A385" s="64"/>
      <c r="B385" s="64"/>
      <c r="D385" s="134"/>
      <c r="J385" s="134"/>
    </row>
    <row r="386" ht="18.75" customHeight="1">
      <c r="A386" s="64"/>
      <c r="B386" s="64"/>
      <c r="D386" s="134"/>
      <c r="J386" s="134"/>
    </row>
    <row r="387" ht="18.75" customHeight="1">
      <c r="A387" s="64"/>
      <c r="B387" s="64"/>
      <c r="D387" s="134"/>
      <c r="J387" s="134"/>
    </row>
    <row r="388" ht="18.75" customHeight="1">
      <c r="A388" s="64"/>
      <c r="B388" s="64"/>
      <c r="D388" s="134"/>
      <c r="J388" s="134"/>
    </row>
    <row r="389" ht="18.75" customHeight="1">
      <c r="A389" s="64"/>
      <c r="B389" s="64"/>
      <c r="D389" s="134"/>
      <c r="J389" s="134"/>
    </row>
    <row r="390" ht="18.75" customHeight="1">
      <c r="A390" s="64"/>
      <c r="B390" s="64"/>
      <c r="D390" s="134"/>
      <c r="J390" s="134"/>
    </row>
    <row r="391" ht="18.75" customHeight="1">
      <c r="A391" s="64"/>
      <c r="B391" s="64"/>
      <c r="D391" s="134"/>
      <c r="J391" s="134"/>
    </row>
    <row r="392" ht="18.75" customHeight="1">
      <c r="A392" s="64"/>
      <c r="B392" s="64"/>
      <c r="D392" s="134"/>
      <c r="J392" s="134"/>
    </row>
    <row r="393" ht="18.75" customHeight="1">
      <c r="A393" s="64"/>
      <c r="B393" s="64"/>
      <c r="D393" s="134"/>
      <c r="J393" s="134"/>
    </row>
    <row r="394" ht="18.75" customHeight="1">
      <c r="A394" s="64"/>
      <c r="B394" s="64"/>
      <c r="D394" s="134"/>
      <c r="J394" s="134"/>
    </row>
    <row r="395" ht="18.75" customHeight="1">
      <c r="A395" s="64"/>
      <c r="B395" s="64"/>
      <c r="D395" s="134"/>
      <c r="J395" s="134"/>
    </row>
    <row r="396" ht="18.75" customHeight="1">
      <c r="A396" s="64"/>
      <c r="B396" s="64"/>
      <c r="D396" s="134"/>
      <c r="J396" s="134"/>
    </row>
    <row r="397" ht="18.75" customHeight="1">
      <c r="A397" s="64"/>
      <c r="B397" s="64"/>
      <c r="D397" s="134"/>
      <c r="J397" s="134"/>
    </row>
    <row r="398" ht="18.75" customHeight="1">
      <c r="A398" s="64"/>
      <c r="B398" s="64"/>
      <c r="D398" s="134"/>
      <c r="J398" s="134"/>
    </row>
    <row r="399" ht="18.75" customHeight="1">
      <c r="A399" s="64"/>
      <c r="B399" s="64"/>
      <c r="D399" s="134"/>
      <c r="J399" s="134"/>
    </row>
    <row r="400" ht="18.75" customHeight="1">
      <c r="A400" s="64"/>
      <c r="B400" s="64"/>
      <c r="D400" s="134"/>
      <c r="J400" s="134"/>
    </row>
    <row r="401" ht="18.75" customHeight="1">
      <c r="A401" s="64"/>
      <c r="B401" s="64"/>
      <c r="D401" s="134"/>
      <c r="J401" s="134"/>
    </row>
    <row r="402" ht="18.75" customHeight="1">
      <c r="A402" s="64"/>
      <c r="B402" s="64"/>
      <c r="D402" s="134"/>
      <c r="J402" s="134"/>
    </row>
    <row r="403" ht="18.75" customHeight="1">
      <c r="A403" s="64"/>
      <c r="B403" s="64"/>
      <c r="D403" s="134"/>
      <c r="J403" s="134"/>
    </row>
    <row r="404" ht="18.75" customHeight="1">
      <c r="A404" s="64"/>
      <c r="B404" s="64"/>
      <c r="D404" s="134"/>
      <c r="J404" s="134"/>
    </row>
    <row r="405" ht="18.75" customHeight="1">
      <c r="A405" s="64"/>
      <c r="B405" s="64"/>
      <c r="D405" s="134"/>
      <c r="J405" s="134"/>
    </row>
    <row r="406" ht="18.75" customHeight="1">
      <c r="A406" s="64"/>
      <c r="B406" s="64"/>
      <c r="D406" s="134"/>
      <c r="J406" s="134"/>
    </row>
    <row r="407" ht="18.75" customHeight="1">
      <c r="A407" s="64"/>
      <c r="B407" s="64"/>
      <c r="D407" s="134"/>
      <c r="J407" s="134"/>
    </row>
    <row r="408" ht="18.75" customHeight="1">
      <c r="A408" s="64"/>
      <c r="B408" s="64"/>
      <c r="D408" s="134"/>
      <c r="J408" s="134"/>
    </row>
    <row r="409" ht="18.75" customHeight="1">
      <c r="A409" s="64"/>
      <c r="B409" s="64"/>
      <c r="D409" s="134"/>
      <c r="J409" s="134"/>
    </row>
    <row r="410" ht="18.75" customHeight="1">
      <c r="A410" s="64"/>
      <c r="B410" s="64"/>
      <c r="D410" s="134"/>
      <c r="J410" s="134"/>
    </row>
    <row r="411" ht="18.75" customHeight="1">
      <c r="A411" s="64"/>
      <c r="B411" s="64"/>
      <c r="D411" s="134"/>
      <c r="J411" s="134"/>
    </row>
    <row r="412" ht="18.75" customHeight="1">
      <c r="A412" s="64"/>
      <c r="B412" s="64"/>
      <c r="D412" s="134"/>
      <c r="J412" s="134"/>
    </row>
    <row r="413" ht="18.75" customHeight="1">
      <c r="A413" s="64"/>
      <c r="B413" s="64"/>
      <c r="D413" s="134"/>
      <c r="J413" s="134"/>
    </row>
    <row r="414" ht="18.75" customHeight="1">
      <c r="A414" s="64"/>
      <c r="B414" s="64"/>
      <c r="D414" s="134"/>
      <c r="J414" s="134"/>
    </row>
    <row r="415" ht="18.75" customHeight="1">
      <c r="A415" s="64"/>
      <c r="B415" s="64"/>
      <c r="D415" s="134"/>
      <c r="J415" s="134"/>
    </row>
    <row r="416" ht="18.75" customHeight="1">
      <c r="A416" s="64"/>
      <c r="B416" s="64"/>
      <c r="D416" s="134"/>
      <c r="J416" s="134"/>
    </row>
    <row r="417" ht="18.75" customHeight="1">
      <c r="A417" s="64"/>
      <c r="B417" s="64"/>
      <c r="D417" s="134"/>
      <c r="J417" s="134"/>
    </row>
    <row r="418" ht="18.75" customHeight="1">
      <c r="A418" s="64"/>
      <c r="B418" s="64"/>
      <c r="D418" s="134"/>
      <c r="J418" s="134"/>
    </row>
    <row r="419" ht="18.75" customHeight="1">
      <c r="A419" s="64"/>
      <c r="B419" s="64"/>
      <c r="D419" s="134"/>
      <c r="J419" s="134"/>
    </row>
    <row r="420" ht="18.75" customHeight="1">
      <c r="A420" s="64"/>
      <c r="B420" s="64"/>
      <c r="D420" s="134"/>
      <c r="J420" s="134"/>
    </row>
    <row r="421" ht="18.75" customHeight="1">
      <c r="A421" s="64"/>
      <c r="B421" s="64"/>
      <c r="D421" s="134"/>
      <c r="J421" s="134"/>
    </row>
    <row r="422" ht="18.75" customHeight="1">
      <c r="A422" s="64"/>
      <c r="B422" s="64"/>
      <c r="D422" s="134"/>
      <c r="J422" s="134"/>
    </row>
    <row r="423" ht="18.75" customHeight="1">
      <c r="A423" s="64"/>
      <c r="B423" s="64"/>
      <c r="D423" s="134"/>
      <c r="J423" s="134"/>
    </row>
    <row r="424" ht="18.75" customHeight="1">
      <c r="A424" s="64"/>
      <c r="B424" s="64"/>
      <c r="D424" s="134"/>
      <c r="J424" s="134"/>
    </row>
    <row r="425" ht="18.75" customHeight="1">
      <c r="A425" s="64"/>
      <c r="B425" s="64"/>
      <c r="D425" s="134"/>
      <c r="J425" s="134"/>
    </row>
    <row r="426" ht="18.75" customHeight="1">
      <c r="A426" s="64"/>
      <c r="B426" s="64"/>
      <c r="D426" s="134"/>
      <c r="J426" s="134"/>
    </row>
    <row r="427" ht="18.75" customHeight="1">
      <c r="A427" s="64"/>
      <c r="B427" s="64"/>
      <c r="D427" s="134"/>
      <c r="J427" s="134"/>
    </row>
    <row r="428" ht="18.75" customHeight="1">
      <c r="A428" s="64"/>
      <c r="B428" s="64"/>
      <c r="D428" s="134"/>
      <c r="J428" s="134"/>
    </row>
    <row r="429" ht="18.75" customHeight="1">
      <c r="A429" s="64"/>
      <c r="B429" s="64"/>
      <c r="D429" s="134"/>
      <c r="J429" s="134"/>
    </row>
    <row r="430" ht="18.75" customHeight="1">
      <c r="A430" s="64"/>
      <c r="B430" s="64"/>
      <c r="D430" s="134"/>
      <c r="J430" s="134"/>
    </row>
    <row r="431" ht="18.75" customHeight="1">
      <c r="A431" s="64"/>
      <c r="B431" s="64"/>
      <c r="D431" s="134"/>
      <c r="J431" s="134"/>
    </row>
    <row r="432" ht="18.75" customHeight="1">
      <c r="A432" s="64"/>
      <c r="B432" s="64"/>
      <c r="D432" s="134"/>
      <c r="J432" s="134"/>
    </row>
    <row r="433" ht="18.75" customHeight="1">
      <c r="A433" s="64"/>
      <c r="B433" s="64"/>
      <c r="D433" s="134"/>
      <c r="J433" s="134"/>
    </row>
    <row r="434" ht="18.75" customHeight="1">
      <c r="A434" s="64"/>
      <c r="B434" s="64"/>
      <c r="D434" s="134"/>
      <c r="J434" s="134"/>
    </row>
    <row r="435" ht="18.75" customHeight="1">
      <c r="A435" s="64"/>
      <c r="B435" s="64"/>
      <c r="D435" s="134"/>
      <c r="J435" s="134"/>
    </row>
    <row r="436" ht="18.75" customHeight="1">
      <c r="A436" s="64"/>
      <c r="B436" s="64"/>
      <c r="D436" s="134"/>
      <c r="J436" s="134"/>
    </row>
    <row r="437" ht="18.75" customHeight="1">
      <c r="A437" s="64"/>
      <c r="B437" s="64"/>
      <c r="D437" s="134"/>
      <c r="J437" s="134"/>
    </row>
    <row r="438" ht="18.75" customHeight="1">
      <c r="A438" s="64"/>
      <c r="B438" s="64"/>
      <c r="D438" s="134"/>
      <c r="J438" s="134"/>
    </row>
    <row r="439" ht="18.75" customHeight="1">
      <c r="A439" s="64"/>
      <c r="B439" s="64"/>
      <c r="D439" s="134"/>
      <c r="J439" s="134"/>
    </row>
    <row r="440" ht="18.75" customHeight="1">
      <c r="A440" s="64"/>
      <c r="B440" s="64"/>
      <c r="D440" s="134"/>
      <c r="J440" s="134"/>
    </row>
    <row r="441" ht="18.75" customHeight="1">
      <c r="A441" s="64"/>
      <c r="B441" s="64"/>
      <c r="D441" s="134"/>
      <c r="J441" s="134"/>
    </row>
    <row r="442" ht="18.75" customHeight="1">
      <c r="A442" s="64"/>
      <c r="B442" s="64"/>
      <c r="D442" s="134"/>
      <c r="J442" s="134"/>
    </row>
    <row r="443" ht="18.75" customHeight="1">
      <c r="A443" s="64"/>
      <c r="B443" s="64"/>
      <c r="D443" s="134"/>
      <c r="J443" s="134"/>
    </row>
    <row r="444" ht="18.75" customHeight="1">
      <c r="A444" s="64"/>
      <c r="B444" s="64"/>
      <c r="D444" s="134"/>
      <c r="J444" s="134"/>
    </row>
    <row r="445" ht="18.75" customHeight="1">
      <c r="A445" s="64"/>
      <c r="B445" s="64"/>
      <c r="D445" s="134"/>
      <c r="J445" s="134"/>
    </row>
    <row r="446" ht="18.75" customHeight="1">
      <c r="A446" s="64"/>
      <c r="B446" s="64"/>
      <c r="D446" s="134"/>
      <c r="J446" s="134"/>
    </row>
    <row r="447" ht="18.75" customHeight="1">
      <c r="A447" s="64"/>
      <c r="B447" s="64"/>
      <c r="D447" s="134"/>
      <c r="J447" s="134"/>
    </row>
    <row r="448" ht="18.75" customHeight="1">
      <c r="A448" s="64"/>
      <c r="B448" s="64"/>
      <c r="D448" s="134"/>
      <c r="J448" s="134"/>
    </row>
    <row r="449" ht="18.75" customHeight="1">
      <c r="A449" s="64"/>
      <c r="B449" s="64"/>
      <c r="D449" s="134"/>
      <c r="J449" s="134"/>
    </row>
    <row r="450" ht="18.75" customHeight="1">
      <c r="A450" s="64"/>
      <c r="B450" s="64"/>
      <c r="D450" s="134"/>
      <c r="J450" s="134"/>
    </row>
    <row r="451" ht="18.75" customHeight="1">
      <c r="A451" s="64"/>
      <c r="B451" s="64"/>
      <c r="D451" s="134"/>
      <c r="J451" s="134"/>
    </row>
    <row r="452" ht="18.75" customHeight="1">
      <c r="A452" s="64"/>
      <c r="B452" s="64"/>
      <c r="D452" s="134"/>
      <c r="J452" s="134"/>
    </row>
    <row r="453" ht="18.75" customHeight="1">
      <c r="A453" s="64"/>
      <c r="B453" s="64"/>
      <c r="D453" s="134"/>
      <c r="J453" s="134"/>
    </row>
    <row r="454" ht="18.75" customHeight="1">
      <c r="A454" s="64"/>
      <c r="B454" s="64"/>
      <c r="D454" s="134"/>
      <c r="J454" s="134"/>
    </row>
    <row r="455" ht="18.75" customHeight="1">
      <c r="A455" s="64"/>
      <c r="B455" s="64"/>
      <c r="D455" s="134"/>
      <c r="J455" s="134"/>
    </row>
    <row r="456" ht="18.75" customHeight="1">
      <c r="A456" s="64"/>
      <c r="B456" s="64"/>
      <c r="D456" s="134"/>
      <c r="J456" s="134"/>
    </row>
    <row r="457" ht="18.75" customHeight="1">
      <c r="A457" s="64"/>
      <c r="B457" s="64"/>
      <c r="D457" s="134"/>
      <c r="J457" s="134"/>
    </row>
    <row r="458" ht="18.75" customHeight="1">
      <c r="A458" s="64"/>
      <c r="B458" s="64"/>
      <c r="D458" s="134"/>
      <c r="J458" s="134"/>
    </row>
    <row r="459" ht="18.75" customHeight="1">
      <c r="A459" s="64"/>
      <c r="B459" s="64"/>
      <c r="D459" s="134"/>
      <c r="J459" s="134"/>
    </row>
    <row r="460" ht="18.75" customHeight="1">
      <c r="A460" s="64"/>
      <c r="B460" s="64"/>
      <c r="D460" s="134"/>
      <c r="J460" s="134"/>
    </row>
    <row r="461" ht="18.75" customHeight="1">
      <c r="A461" s="64"/>
      <c r="B461" s="64"/>
      <c r="D461" s="134"/>
      <c r="J461" s="134"/>
    </row>
    <row r="462" ht="18.75" customHeight="1">
      <c r="A462" s="64"/>
      <c r="B462" s="64"/>
      <c r="D462" s="134"/>
      <c r="J462" s="134"/>
    </row>
    <row r="463" ht="18.75" customHeight="1">
      <c r="A463" s="64"/>
      <c r="B463" s="64"/>
      <c r="D463" s="134"/>
      <c r="J463" s="134"/>
    </row>
    <row r="464" ht="18.75" customHeight="1">
      <c r="A464" s="64"/>
      <c r="B464" s="64"/>
      <c r="D464" s="134"/>
      <c r="J464" s="134"/>
    </row>
    <row r="465" ht="18.75" customHeight="1">
      <c r="A465" s="64"/>
      <c r="B465" s="64"/>
      <c r="D465" s="134"/>
      <c r="J465" s="134"/>
    </row>
    <row r="466" ht="18.75" customHeight="1">
      <c r="A466" s="64"/>
      <c r="B466" s="64"/>
      <c r="D466" s="134"/>
      <c r="J466" s="134"/>
    </row>
    <row r="467" ht="18.75" customHeight="1">
      <c r="A467" s="64"/>
      <c r="B467" s="64"/>
      <c r="D467" s="134"/>
      <c r="J467" s="134"/>
    </row>
    <row r="468" ht="18.75" customHeight="1">
      <c r="A468" s="64"/>
      <c r="B468" s="64"/>
      <c r="D468" s="134"/>
      <c r="J468" s="134"/>
    </row>
    <row r="469" ht="18.75" customHeight="1">
      <c r="A469" s="64"/>
      <c r="B469" s="64"/>
      <c r="D469" s="134"/>
      <c r="J469" s="134"/>
    </row>
    <row r="470" ht="18.75" customHeight="1">
      <c r="A470" s="64"/>
      <c r="B470" s="64"/>
      <c r="D470" s="134"/>
      <c r="J470" s="134"/>
    </row>
    <row r="471" ht="18.75" customHeight="1">
      <c r="A471" s="64"/>
      <c r="B471" s="64"/>
      <c r="D471" s="134"/>
      <c r="J471" s="134"/>
    </row>
    <row r="472" ht="18.75" customHeight="1">
      <c r="A472" s="64"/>
      <c r="B472" s="64"/>
      <c r="D472" s="134"/>
      <c r="J472" s="134"/>
    </row>
    <row r="473" ht="18.75" customHeight="1">
      <c r="A473" s="64"/>
      <c r="B473" s="64"/>
      <c r="D473" s="134"/>
      <c r="J473" s="134"/>
    </row>
    <row r="474" ht="18.75" customHeight="1">
      <c r="A474" s="64"/>
      <c r="B474" s="64"/>
      <c r="D474" s="134"/>
      <c r="J474" s="134"/>
    </row>
    <row r="475" ht="18.75" customHeight="1">
      <c r="A475" s="64"/>
      <c r="B475" s="64"/>
      <c r="D475" s="134"/>
      <c r="J475" s="134"/>
    </row>
    <row r="476" ht="18.75" customHeight="1">
      <c r="A476" s="64"/>
      <c r="B476" s="64"/>
      <c r="D476" s="134"/>
      <c r="J476" s="134"/>
    </row>
    <row r="477" ht="18.75" customHeight="1">
      <c r="A477" s="64"/>
      <c r="B477" s="64"/>
      <c r="D477" s="134"/>
      <c r="J477" s="134"/>
    </row>
    <row r="478" ht="18.75" customHeight="1">
      <c r="A478" s="64"/>
      <c r="B478" s="64"/>
      <c r="D478" s="134"/>
      <c r="J478" s="134"/>
    </row>
    <row r="479" ht="18.75" customHeight="1">
      <c r="A479" s="64"/>
      <c r="B479" s="64"/>
      <c r="D479" s="134"/>
      <c r="J479" s="134"/>
    </row>
    <row r="480" ht="18.75" customHeight="1">
      <c r="A480" s="64"/>
      <c r="B480" s="64"/>
      <c r="D480" s="134"/>
      <c r="J480" s="134"/>
    </row>
    <row r="481" ht="18.75" customHeight="1">
      <c r="A481" s="64"/>
      <c r="B481" s="64"/>
      <c r="D481" s="134"/>
      <c r="J481" s="134"/>
    </row>
    <row r="482" ht="18.75" customHeight="1">
      <c r="A482" s="64"/>
      <c r="B482" s="64"/>
      <c r="D482" s="134"/>
      <c r="J482" s="134"/>
    </row>
    <row r="483" ht="18.75" customHeight="1">
      <c r="A483" s="64"/>
      <c r="B483" s="64"/>
      <c r="D483" s="134"/>
      <c r="J483" s="134"/>
    </row>
    <row r="484" ht="18.75" customHeight="1">
      <c r="A484" s="64"/>
      <c r="B484" s="64"/>
      <c r="D484" s="134"/>
      <c r="J484" s="134"/>
    </row>
    <row r="485" ht="18.75" customHeight="1">
      <c r="A485" s="64"/>
      <c r="B485" s="64"/>
      <c r="D485" s="134"/>
      <c r="J485" s="134"/>
    </row>
    <row r="486" ht="18.75" customHeight="1">
      <c r="A486" s="64"/>
      <c r="B486" s="64"/>
      <c r="D486" s="134"/>
      <c r="J486" s="134"/>
    </row>
    <row r="487" ht="18.75" customHeight="1">
      <c r="A487" s="64"/>
      <c r="B487" s="64"/>
      <c r="D487" s="134"/>
      <c r="J487" s="134"/>
    </row>
    <row r="488" ht="18.75" customHeight="1">
      <c r="A488" s="64"/>
      <c r="B488" s="64"/>
      <c r="D488" s="134"/>
      <c r="J488" s="134"/>
    </row>
    <row r="489" ht="18.75" customHeight="1">
      <c r="A489" s="64"/>
      <c r="B489" s="64"/>
      <c r="D489" s="134"/>
      <c r="J489" s="134"/>
    </row>
    <row r="490" ht="18.75" customHeight="1">
      <c r="A490" s="64"/>
      <c r="B490" s="64"/>
      <c r="D490" s="134"/>
      <c r="J490" s="134"/>
    </row>
    <row r="491" ht="18.75" customHeight="1">
      <c r="A491" s="64"/>
      <c r="B491" s="64"/>
      <c r="D491" s="134"/>
      <c r="J491" s="134"/>
    </row>
    <row r="492" ht="18.75" customHeight="1">
      <c r="A492" s="64"/>
      <c r="B492" s="64"/>
      <c r="D492" s="134"/>
      <c r="J492" s="134"/>
    </row>
    <row r="493" ht="18.75" customHeight="1">
      <c r="A493" s="64"/>
      <c r="B493" s="64"/>
      <c r="D493" s="134"/>
      <c r="J493" s="134"/>
    </row>
    <row r="494" ht="18.75" customHeight="1">
      <c r="A494" s="64"/>
      <c r="B494" s="64"/>
      <c r="D494" s="134"/>
      <c r="J494" s="134"/>
    </row>
    <row r="495" ht="18.75" customHeight="1">
      <c r="A495" s="64"/>
      <c r="B495" s="64"/>
      <c r="D495" s="134"/>
      <c r="J495" s="134"/>
    </row>
    <row r="496" ht="18.75" customHeight="1">
      <c r="A496" s="64"/>
      <c r="B496" s="64"/>
      <c r="D496" s="134"/>
      <c r="J496" s="134"/>
    </row>
    <row r="497" ht="18.75" customHeight="1">
      <c r="A497" s="64"/>
      <c r="B497" s="64"/>
      <c r="D497" s="134"/>
      <c r="J497" s="134"/>
    </row>
    <row r="498" ht="18.75" customHeight="1">
      <c r="A498" s="64"/>
      <c r="B498" s="64"/>
      <c r="D498" s="134"/>
      <c r="J498" s="134"/>
    </row>
    <row r="499" ht="18.75" customHeight="1">
      <c r="A499" s="64"/>
      <c r="B499" s="64"/>
      <c r="D499" s="134"/>
      <c r="J499" s="134"/>
    </row>
    <row r="500" ht="18.75" customHeight="1">
      <c r="A500" s="64"/>
      <c r="B500" s="64"/>
      <c r="D500" s="134"/>
      <c r="J500" s="134"/>
    </row>
    <row r="501" ht="18.75" customHeight="1">
      <c r="A501" s="64"/>
      <c r="B501" s="64"/>
      <c r="D501" s="134"/>
      <c r="J501" s="134"/>
    </row>
    <row r="502" ht="18.75" customHeight="1">
      <c r="A502" s="64"/>
      <c r="B502" s="64"/>
      <c r="D502" s="134"/>
      <c r="J502" s="134"/>
    </row>
    <row r="503" ht="18.75" customHeight="1">
      <c r="A503" s="64"/>
      <c r="B503" s="64"/>
      <c r="D503" s="134"/>
      <c r="J503" s="134"/>
    </row>
    <row r="504" ht="18.75" customHeight="1">
      <c r="A504" s="64"/>
      <c r="B504" s="64"/>
      <c r="D504" s="134"/>
      <c r="J504" s="134"/>
    </row>
    <row r="505" ht="18.75" customHeight="1">
      <c r="A505" s="64"/>
      <c r="B505" s="64"/>
      <c r="D505" s="134"/>
      <c r="J505" s="134"/>
    </row>
    <row r="506" ht="18.75" customHeight="1">
      <c r="A506" s="64"/>
      <c r="B506" s="64"/>
      <c r="D506" s="134"/>
      <c r="J506" s="134"/>
    </row>
    <row r="507" ht="18.75" customHeight="1">
      <c r="A507" s="64"/>
      <c r="B507" s="64"/>
      <c r="D507" s="134"/>
      <c r="J507" s="134"/>
    </row>
    <row r="508" ht="18.75" customHeight="1">
      <c r="A508" s="64"/>
      <c r="B508" s="64"/>
      <c r="D508" s="134"/>
      <c r="J508" s="134"/>
    </row>
    <row r="509" ht="18.75" customHeight="1">
      <c r="A509" s="64"/>
      <c r="B509" s="64"/>
      <c r="D509" s="134"/>
      <c r="J509" s="134"/>
    </row>
    <row r="510" ht="18.75" customHeight="1">
      <c r="A510" s="64"/>
      <c r="B510" s="64"/>
      <c r="D510" s="134"/>
      <c r="J510" s="134"/>
    </row>
    <row r="511" ht="18.75" customHeight="1">
      <c r="A511" s="64"/>
      <c r="B511" s="64"/>
      <c r="D511" s="134"/>
      <c r="J511" s="134"/>
    </row>
    <row r="512" ht="18.75" customHeight="1">
      <c r="A512" s="64"/>
      <c r="B512" s="64"/>
      <c r="D512" s="134"/>
      <c r="J512" s="134"/>
    </row>
    <row r="513" ht="18.75" customHeight="1">
      <c r="A513" s="64"/>
      <c r="B513" s="64"/>
      <c r="D513" s="134"/>
      <c r="J513" s="134"/>
    </row>
    <row r="514" ht="18.75" customHeight="1">
      <c r="A514" s="64"/>
      <c r="B514" s="64"/>
      <c r="D514" s="134"/>
      <c r="J514" s="134"/>
    </row>
    <row r="515" ht="18.75" customHeight="1">
      <c r="A515" s="64"/>
      <c r="B515" s="64"/>
      <c r="D515" s="134"/>
      <c r="J515" s="134"/>
    </row>
    <row r="516" ht="18.75" customHeight="1">
      <c r="A516" s="64"/>
      <c r="B516" s="64"/>
      <c r="D516" s="134"/>
      <c r="J516" s="134"/>
    </row>
    <row r="517" ht="18.75" customHeight="1">
      <c r="A517" s="64"/>
      <c r="B517" s="64"/>
      <c r="D517" s="134"/>
      <c r="J517" s="134"/>
    </row>
    <row r="518" ht="18.75" customHeight="1">
      <c r="A518" s="64"/>
      <c r="B518" s="64"/>
      <c r="D518" s="134"/>
      <c r="J518" s="134"/>
    </row>
    <row r="519" ht="18.75" customHeight="1">
      <c r="A519" s="64"/>
      <c r="B519" s="64"/>
      <c r="D519" s="134"/>
      <c r="J519" s="134"/>
    </row>
    <row r="520" ht="18.75" customHeight="1">
      <c r="A520" s="64"/>
      <c r="B520" s="64"/>
      <c r="D520" s="134"/>
      <c r="J520" s="134"/>
    </row>
    <row r="521" ht="18.75" customHeight="1">
      <c r="A521" s="64"/>
      <c r="B521" s="64"/>
      <c r="D521" s="134"/>
      <c r="J521" s="134"/>
    </row>
    <row r="522" ht="18.75" customHeight="1">
      <c r="A522" s="64"/>
      <c r="B522" s="64"/>
      <c r="D522" s="134"/>
      <c r="J522" s="134"/>
    </row>
    <row r="523" ht="18.75" customHeight="1">
      <c r="A523" s="64"/>
      <c r="B523" s="64"/>
      <c r="D523" s="134"/>
      <c r="J523" s="134"/>
    </row>
    <row r="524" ht="18.75" customHeight="1">
      <c r="A524" s="64"/>
      <c r="B524" s="64"/>
      <c r="D524" s="134"/>
      <c r="J524" s="134"/>
    </row>
    <row r="525" ht="18.75" customHeight="1">
      <c r="A525" s="64"/>
      <c r="B525" s="64"/>
      <c r="D525" s="134"/>
      <c r="J525" s="134"/>
    </row>
    <row r="526" ht="18.75" customHeight="1">
      <c r="A526" s="64"/>
      <c r="B526" s="64"/>
      <c r="D526" s="134"/>
      <c r="J526" s="134"/>
    </row>
    <row r="527" ht="18.75" customHeight="1">
      <c r="A527" s="64"/>
      <c r="B527" s="64"/>
      <c r="D527" s="134"/>
      <c r="J527" s="134"/>
    </row>
    <row r="528" ht="18.75" customHeight="1">
      <c r="A528" s="64"/>
      <c r="B528" s="64"/>
      <c r="D528" s="134"/>
      <c r="J528" s="134"/>
    </row>
    <row r="529" ht="18.75" customHeight="1">
      <c r="A529" s="64"/>
      <c r="B529" s="64"/>
      <c r="D529" s="134"/>
      <c r="J529" s="134"/>
    </row>
    <row r="530" ht="18.75" customHeight="1">
      <c r="A530" s="64"/>
      <c r="B530" s="64"/>
      <c r="D530" s="134"/>
      <c r="J530" s="134"/>
    </row>
    <row r="531" ht="18.75" customHeight="1">
      <c r="A531" s="64"/>
      <c r="B531" s="64"/>
      <c r="D531" s="134"/>
      <c r="J531" s="134"/>
    </row>
    <row r="532" ht="18.75" customHeight="1">
      <c r="A532" s="64"/>
      <c r="B532" s="64"/>
      <c r="D532" s="134"/>
      <c r="J532" s="134"/>
    </row>
    <row r="533" ht="18.75" customHeight="1">
      <c r="A533" s="64"/>
      <c r="B533" s="64"/>
      <c r="D533" s="134"/>
      <c r="J533" s="134"/>
    </row>
    <row r="534" ht="18.75" customHeight="1">
      <c r="A534" s="64"/>
      <c r="B534" s="64"/>
      <c r="D534" s="134"/>
      <c r="J534" s="134"/>
    </row>
    <row r="535" ht="18.75" customHeight="1">
      <c r="A535" s="64"/>
      <c r="B535" s="64"/>
      <c r="D535" s="134"/>
      <c r="J535" s="134"/>
    </row>
    <row r="536" ht="18.75" customHeight="1">
      <c r="A536" s="64"/>
      <c r="B536" s="64"/>
      <c r="D536" s="134"/>
      <c r="J536" s="134"/>
    </row>
    <row r="537" ht="18.75" customHeight="1">
      <c r="A537" s="64"/>
      <c r="B537" s="64"/>
      <c r="D537" s="134"/>
      <c r="J537" s="134"/>
    </row>
    <row r="538" ht="18.75" customHeight="1">
      <c r="A538" s="64"/>
      <c r="B538" s="64"/>
      <c r="D538" s="134"/>
      <c r="J538" s="134"/>
    </row>
    <row r="539" ht="18.75" customHeight="1">
      <c r="A539" s="64"/>
      <c r="B539" s="64"/>
      <c r="D539" s="134"/>
      <c r="J539" s="134"/>
    </row>
    <row r="540" ht="18.75" customHeight="1">
      <c r="A540" s="64"/>
      <c r="B540" s="64"/>
      <c r="D540" s="134"/>
      <c r="J540" s="134"/>
    </row>
    <row r="541" ht="18.75" customHeight="1">
      <c r="A541" s="64"/>
      <c r="B541" s="64"/>
      <c r="D541" s="134"/>
      <c r="J541" s="134"/>
    </row>
    <row r="542" ht="18.75" customHeight="1">
      <c r="A542" s="64"/>
      <c r="B542" s="64"/>
      <c r="D542" s="134"/>
      <c r="J542" s="134"/>
    </row>
    <row r="543" ht="18.75" customHeight="1">
      <c r="A543" s="64"/>
      <c r="B543" s="64"/>
      <c r="D543" s="134"/>
      <c r="J543" s="134"/>
    </row>
    <row r="544" ht="18.75" customHeight="1">
      <c r="A544" s="64"/>
      <c r="B544" s="64"/>
      <c r="D544" s="134"/>
      <c r="J544" s="134"/>
    </row>
    <row r="545" ht="18.75" customHeight="1">
      <c r="A545" s="64"/>
      <c r="B545" s="64"/>
      <c r="D545" s="134"/>
      <c r="J545" s="134"/>
    </row>
    <row r="546" ht="18.75" customHeight="1">
      <c r="A546" s="64"/>
      <c r="B546" s="64"/>
      <c r="D546" s="134"/>
      <c r="J546" s="134"/>
    </row>
    <row r="547" ht="18.75" customHeight="1">
      <c r="A547" s="64"/>
      <c r="B547" s="64"/>
      <c r="D547" s="134"/>
      <c r="J547" s="134"/>
    </row>
    <row r="548" ht="18.75" customHeight="1">
      <c r="A548" s="64"/>
      <c r="B548" s="64"/>
      <c r="D548" s="134"/>
      <c r="J548" s="134"/>
    </row>
    <row r="549" ht="18.75" customHeight="1">
      <c r="A549" s="64"/>
      <c r="B549" s="64"/>
      <c r="D549" s="134"/>
      <c r="J549" s="134"/>
    </row>
    <row r="550" ht="18.75" customHeight="1">
      <c r="A550" s="64"/>
      <c r="B550" s="64"/>
      <c r="D550" s="134"/>
      <c r="J550" s="134"/>
    </row>
    <row r="551" ht="18.75" customHeight="1">
      <c r="A551" s="64"/>
      <c r="B551" s="64"/>
      <c r="D551" s="134"/>
      <c r="J551" s="134"/>
    </row>
    <row r="552" ht="18.75" customHeight="1">
      <c r="A552" s="64"/>
      <c r="B552" s="64"/>
      <c r="D552" s="134"/>
      <c r="J552" s="134"/>
    </row>
    <row r="553" ht="18.75" customHeight="1">
      <c r="A553" s="64"/>
      <c r="B553" s="64"/>
      <c r="D553" s="134"/>
      <c r="J553" s="134"/>
    </row>
    <row r="554" ht="18.75" customHeight="1">
      <c r="A554" s="64"/>
      <c r="B554" s="64"/>
      <c r="D554" s="134"/>
      <c r="J554" s="134"/>
    </row>
    <row r="555" ht="18.75" customHeight="1">
      <c r="A555" s="64"/>
      <c r="B555" s="64"/>
      <c r="D555" s="134"/>
      <c r="J555" s="134"/>
    </row>
    <row r="556" ht="18.75" customHeight="1">
      <c r="A556" s="64"/>
      <c r="B556" s="64"/>
      <c r="D556" s="134"/>
      <c r="J556" s="134"/>
    </row>
    <row r="557" ht="18.75" customHeight="1">
      <c r="A557" s="64"/>
      <c r="B557" s="64"/>
      <c r="D557" s="134"/>
      <c r="J557" s="134"/>
    </row>
    <row r="558" ht="18.75" customHeight="1">
      <c r="A558" s="64"/>
      <c r="B558" s="64"/>
      <c r="D558" s="134"/>
      <c r="J558" s="134"/>
    </row>
    <row r="559" ht="18.75" customHeight="1">
      <c r="A559" s="64"/>
      <c r="B559" s="64"/>
      <c r="D559" s="134"/>
      <c r="J559" s="134"/>
    </row>
    <row r="560" ht="18.75" customHeight="1">
      <c r="A560" s="64"/>
      <c r="B560" s="64"/>
      <c r="D560" s="134"/>
      <c r="J560" s="134"/>
    </row>
    <row r="561" ht="18.75" customHeight="1">
      <c r="A561" s="64"/>
      <c r="B561" s="64"/>
      <c r="D561" s="134"/>
      <c r="J561" s="134"/>
    </row>
    <row r="562" ht="18.75" customHeight="1">
      <c r="A562" s="64"/>
      <c r="B562" s="64"/>
      <c r="D562" s="134"/>
      <c r="J562" s="134"/>
    </row>
    <row r="563" ht="18.75" customHeight="1">
      <c r="A563" s="64"/>
      <c r="B563" s="64"/>
      <c r="D563" s="134"/>
      <c r="J563" s="134"/>
    </row>
    <row r="564" ht="18.75" customHeight="1">
      <c r="A564" s="64"/>
      <c r="B564" s="64"/>
      <c r="D564" s="134"/>
      <c r="J564" s="134"/>
    </row>
    <row r="565" ht="18.75" customHeight="1">
      <c r="A565" s="64"/>
      <c r="B565" s="64"/>
      <c r="D565" s="134"/>
      <c r="J565" s="134"/>
    </row>
    <row r="566" ht="18.75" customHeight="1">
      <c r="A566" s="64"/>
      <c r="B566" s="64"/>
      <c r="D566" s="134"/>
      <c r="J566" s="134"/>
    </row>
    <row r="567" ht="18.75" customHeight="1">
      <c r="A567" s="64"/>
      <c r="B567" s="64"/>
      <c r="D567" s="134"/>
      <c r="J567" s="134"/>
    </row>
    <row r="568" ht="18.75" customHeight="1">
      <c r="A568" s="64"/>
      <c r="B568" s="64"/>
      <c r="D568" s="134"/>
      <c r="J568" s="134"/>
    </row>
    <row r="569" ht="18.75" customHeight="1">
      <c r="A569" s="64"/>
      <c r="B569" s="64"/>
      <c r="D569" s="134"/>
      <c r="J569" s="134"/>
    </row>
    <row r="570" ht="18.75" customHeight="1">
      <c r="A570" s="64"/>
      <c r="B570" s="64"/>
      <c r="D570" s="134"/>
      <c r="J570" s="134"/>
    </row>
    <row r="571" ht="18.75" customHeight="1">
      <c r="A571" s="64"/>
      <c r="B571" s="64"/>
      <c r="D571" s="134"/>
      <c r="J571" s="134"/>
    </row>
    <row r="572" ht="18.75" customHeight="1">
      <c r="A572" s="64"/>
      <c r="B572" s="64"/>
      <c r="D572" s="134"/>
      <c r="J572" s="134"/>
    </row>
    <row r="573" ht="18.75" customHeight="1">
      <c r="A573" s="64"/>
      <c r="B573" s="64"/>
      <c r="D573" s="134"/>
      <c r="J573" s="134"/>
    </row>
    <row r="574" ht="18.75" customHeight="1">
      <c r="A574" s="64"/>
      <c r="B574" s="64"/>
      <c r="D574" s="134"/>
      <c r="J574" s="134"/>
    </row>
    <row r="575" ht="18.75" customHeight="1">
      <c r="A575" s="64"/>
      <c r="B575" s="64"/>
      <c r="D575" s="134"/>
      <c r="J575" s="134"/>
    </row>
    <row r="576" ht="18.75" customHeight="1">
      <c r="A576" s="64"/>
      <c r="B576" s="64"/>
      <c r="D576" s="134"/>
      <c r="J576" s="134"/>
    </row>
    <row r="577" ht="18.75" customHeight="1">
      <c r="A577" s="64"/>
      <c r="B577" s="64"/>
      <c r="D577" s="134"/>
      <c r="J577" s="134"/>
    </row>
    <row r="578" ht="18.75" customHeight="1">
      <c r="A578" s="64"/>
      <c r="B578" s="64"/>
      <c r="D578" s="134"/>
      <c r="J578" s="134"/>
    </row>
    <row r="579" ht="18.75" customHeight="1">
      <c r="A579" s="64"/>
      <c r="B579" s="64"/>
      <c r="D579" s="134"/>
      <c r="J579" s="134"/>
    </row>
    <row r="580" ht="18.75" customHeight="1">
      <c r="A580" s="64"/>
      <c r="B580" s="64"/>
      <c r="D580" s="134"/>
      <c r="J580" s="134"/>
    </row>
    <row r="581" ht="18.75" customHeight="1">
      <c r="A581" s="64"/>
      <c r="B581" s="64"/>
      <c r="D581" s="134"/>
      <c r="J581" s="134"/>
    </row>
    <row r="582" ht="18.75" customHeight="1">
      <c r="A582" s="64"/>
      <c r="B582" s="64"/>
      <c r="D582" s="134"/>
      <c r="J582" s="134"/>
    </row>
    <row r="583" ht="18.75" customHeight="1">
      <c r="A583" s="64"/>
      <c r="B583" s="64"/>
      <c r="D583" s="134"/>
      <c r="J583" s="134"/>
    </row>
    <row r="584" ht="18.75" customHeight="1">
      <c r="A584" s="64"/>
      <c r="B584" s="64"/>
      <c r="D584" s="134"/>
      <c r="J584" s="134"/>
    </row>
    <row r="585" ht="18.75" customHeight="1">
      <c r="A585" s="64"/>
      <c r="B585" s="64"/>
      <c r="D585" s="134"/>
      <c r="J585" s="134"/>
    </row>
    <row r="586" ht="18.75" customHeight="1">
      <c r="A586" s="64"/>
      <c r="B586" s="64"/>
      <c r="D586" s="134"/>
      <c r="J586" s="134"/>
    </row>
    <row r="587" ht="18.75" customHeight="1">
      <c r="A587" s="64"/>
      <c r="B587" s="64"/>
      <c r="D587" s="134"/>
      <c r="J587" s="134"/>
    </row>
    <row r="588" ht="18.75" customHeight="1">
      <c r="A588" s="64"/>
      <c r="B588" s="64"/>
      <c r="D588" s="134"/>
      <c r="J588" s="134"/>
    </row>
    <row r="589" ht="18.75" customHeight="1">
      <c r="A589" s="64"/>
      <c r="B589" s="64"/>
      <c r="D589" s="134"/>
      <c r="J589" s="134"/>
    </row>
    <row r="590" ht="18.75" customHeight="1">
      <c r="A590" s="64"/>
      <c r="B590" s="64"/>
      <c r="D590" s="134"/>
      <c r="J590" s="134"/>
    </row>
    <row r="591" ht="18.75" customHeight="1">
      <c r="A591" s="64"/>
      <c r="B591" s="64"/>
      <c r="D591" s="134"/>
      <c r="J591" s="134"/>
    </row>
    <row r="592" ht="18.75" customHeight="1">
      <c r="A592" s="64"/>
      <c r="B592" s="64"/>
      <c r="D592" s="134"/>
      <c r="J592" s="134"/>
    </row>
    <row r="593" ht="18.75" customHeight="1">
      <c r="A593" s="64"/>
      <c r="B593" s="64"/>
      <c r="D593" s="134"/>
      <c r="J593" s="134"/>
    </row>
    <row r="594" ht="18.75" customHeight="1">
      <c r="A594" s="64"/>
      <c r="B594" s="64"/>
      <c r="D594" s="134"/>
      <c r="J594" s="134"/>
    </row>
    <row r="595" ht="18.75" customHeight="1">
      <c r="A595" s="64"/>
      <c r="B595" s="64"/>
      <c r="D595" s="134"/>
      <c r="J595" s="134"/>
    </row>
    <row r="596" ht="18.75" customHeight="1">
      <c r="A596" s="64"/>
      <c r="B596" s="64"/>
      <c r="D596" s="134"/>
      <c r="J596" s="134"/>
    </row>
    <row r="597" ht="18.75" customHeight="1">
      <c r="A597" s="64"/>
      <c r="B597" s="64"/>
      <c r="D597" s="134"/>
      <c r="J597" s="134"/>
    </row>
    <row r="598" ht="18.75" customHeight="1">
      <c r="A598" s="64"/>
      <c r="B598" s="64"/>
      <c r="D598" s="134"/>
      <c r="J598" s="134"/>
    </row>
    <row r="599" ht="18.75" customHeight="1">
      <c r="A599" s="64"/>
      <c r="B599" s="64"/>
      <c r="D599" s="134"/>
      <c r="J599" s="134"/>
    </row>
    <row r="600" ht="18.75" customHeight="1">
      <c r="A600" s="64"/>
      <c r="B600" s="64"/>
      <c r="D600" s="134"/>
      <c r="J600" s="134"/>
    </row>
    <row r="601" ht="18.75" customHeight="1">
      <c r="A601" s="64"/>
      <c r="B601" s="64"/>
      <c r="D601" s="134"/>
      <c r="J601" s="134"/>
    </row>
    <row r="602" ht="18.75" customHeight="1">
      <c r="A602" s="64"/>
      <c r="B602" s="64"/>
      <c r="D602" s="134"/>
      <c r="J602" s="134"/>
    </row>
    <row r="603" ht="18.75" customHeight="1">
      <c r="A603" s="64"/>
      <c r="B603" s="64"/>
      <c r="D603" s="134"/>
      <c r="J603" s="134"/>
    </row>
    <row r="604" ht="18.75" customHeight="1">
      <c r="A604" s="64"/>
      <c r="B604" s="64"/>
      <c r="D604" s="134"/>
      <c r="J604" s="134"/>
    </row>
    <row r="605" ht="18.75" customHeight="1">
      <c r="A605" s="64"/>
      <c r="B605" s="64"/>
      <c r="D605" s="134"/>
      <c r="J605" s="134"/>
    </row>
    <row r="606" ht="18.75" customHeight="1">
      <c r="A606" s="64"/>
      <c r="B606" s="64"/>
      <c r="D606" s="134"/>
      <c r="J606" s="134"/>
    </row>
    <row r="607" ht="18.75" customHeight="1">
      <c r="A607" s="64"/>
      <c r="B607" s="64"/>
      <c r="D607" s="134"/>
      <c r="J607" s="134"/>
    </row>
    <row r="608" ht="18.75" customHeight="1">
      <c r="A608" s="64"/>
      <c r="B608" s="64"/>
      <c r="D608" s="134"/>
      <c r="J608" s="134"/>
    </row>
    <row r="609" ht="18.75" customHeight="1">
      <c r="A609" s="64"/>
      <c r="B609" s="64"/>
      <c r="D609" s="134"/>
      <c r="J609" s="134"/>
    </row>
    <row r="610" ht="18.75" customHeight="1">
      <c r="A610" s="64"/>
      <c r="B610" s="64"/>
      <c r="D610" s="134"/>
      <c r="J610" s="134"/>
    </row>
    <row r="611" ht="18.75" customHeight="1">
      <c r="A611" s="64"/>
      <c r="B611" s="64"/>
      <c r="D611" s="134"/>
      <c r="J611" s="134"/>
    </row>
    <row r="612" ht="18.75" customHeight="1">
      <c r="A612" s="64"/>
      <c r="B612" s="64"/>
      <c r="D612" s="134"/>
      <c r="J612" s="134"/>
    </row>
    <row r="613" ht="18.75" customHeight="1">
      <c r="A613" s="64"/>
      <c r="B613" s="64"/>
      <c r="D613" s="134"/>
      <c r="J613" s="134"/>
    </row>
    <row r="614" ht="18.75" customHeight="1">
      <c r="A614" s="64"/>
      <c r="B614" s="64"/>
      <c r="D614" s="134"/>
      <c r="J614" s="134"/>
    </row>
    <row r="615" ht="18.75" customHeight="1">
      <c r="A615" s="64"/>
      <c r="B615" s="64"/>
      <c r="D615" s="134"/>
      <c r="J615" s="134"/>
    </row>
    <row r="616" ht="18.75" customHeight="1">
      <c r="A616" s="64"/>
      <c r="B616" s="64"/>
      <c r="D616" s="134"/>
      <c r="J616" s="134"/>
    </row>
    <row r="617" ht="18.75" customHeight="1">
      <c r="A617" s="64"/>
      <c r="B617" s="64"/>
      <c r="D617" s="134"/>
      <c r="J617" s="134"/>
    </row>
    <row r="618" ht="18.75" customHeight="1">
      <c r="A618" s="64"/>
      <c r="B618" s="64"/>
      <c r="D618" s="134"/>
      <c r="J618" s="134"/>
    </row>
    <row r="619" ht="18.75" customHeight="1">
      <c r="A619" s="64"/>
      <c r="B619" s="64"/>
      <c r="D619" s="134"/>
      <c r="J619" s="134"/>
    </row>
    <row r="620" ht="18.75" customHeight="1">
      <c r="A620" s="64"/>
      <c r="B620" s="64"/>
      <c r="D620" s="134"/>
      <c r="J620" s="134"/>
    </row>
    <row r="621" ht="18.75" customHeight="1">
      <c r="A621" s="64"/>
      <c r="B621" s="64"/>
      <c r="D621" s="134"/>
      <c r="J621" s="134"/>
    </row>
    <row r="622" ht="18.75" customHeight="1">
      <c r="A622" s="64"/>
      <c r="B622" s="64"/>
      <c r="D622" s="134"/>
      <c r="J622" s="134"/>
    </row>
    <row r="623" ht="18.75" customHeight="1">
      <c r="A623" s="64"/>
      <c r="B623" s="64"/>
      <c r="D623" s="134"/>
      <c r="J623" s="134"/>
    </row>
    <row r="624" ht="18.75" customHeight="1">
      <c r="A624" s="64"/>
      <c r="B624" s="64"/>
      <c r="D624" s="134"/>
      <c r="J624" s="134"/>
    </row>
    <row r="625" ht="18.75" customHeight="1">
      <c r="A625" s="64"/>
      <c r="B625" s="64"/>
      <c r="D625" s="134"/>
      <c r="J625" s="134"/>
    </row>
    <row r="626" ht="18.75" customHeight="1">
      <c r="A626" s="64"/>
      <c r="B626" s="64"/>
      <c r="D626" s="134"/>
      <c r="J626" s="134"/>
    </row>
    <row r="627" ht="18.75" customHeight="1">
      <c r="A627" s="64"/>
      <c r="B627" s="64"/>
      <c r="D627" s="134"/>
      <c r="J627" s="134"/>
    </row>
    <row r="628" ht="18.75" customHeight="1">
      <c r="A628" s="64"/>
      <c r="B628" s="64"/>
      <c r="D628" s="134"/>
      <c r="J628" s="134"/>
    </row>
    <row r="629" ht="18.75" customHeight="1">
      <c r="A629" s="64"/>
      <c r="B629" s="64"/>
      <c r="D629" s="134"/>
      <c r="J629" s="134"/>
    </row>
    <row r="630" ht="18.75" customHeight="1">
      <c r="A630" s="64"/>
      <c r="B630" s="64"/>
      <c r="D630" s="134"/>
      <c r="J630" s="134"/>
    </row>
    <row r="631" ht="18.75" customHeight="1">
      <c r="A631" s="64"/>
      <c r="B631" s="64"/>
      <c r="D631" s="134"/>
      <c r="J631" s="134"/>
    </row>
    <row r="632" ht="18.75" customHeight="1">
      <c r="A632" s="64"/>
      <c r="B632" s="64"/>
      <c r="D632" s="134"/>
      <c r="J632" s="134"/>
    </row>
    <row r="633" ht="18.75" customHeight="1">
      <c r="A633" s="64"/>
      <c r="B633" s="64"/>
      <c r="D633" s="134"/>
      <c r="J633" s="134"/>
    </row>
    <row r="634" ht="18.75" customHeight="1">
      <c r="A634" s="64"/>
      <c r="B634" s="64"/>
      <c r="D634" s="134"/>
      <c r="J634" s="134"/>
    </row>
    <row r="635" ht="18.75" customHeight="1">
      <c r="A635" s="64"/>
      <c r="B635" s="64"/>
      <c r="D635" s="134"/>
      <c r="J635" s="134"/>
    </row>
    <row r="636" ht="18.75" customHeight="1">
      <c r="A636" s="64"/>
      <c r="B636" s="64"/>
      <c r="D636" s="134"/>
      <c r="J636" s="134"/>
    </row>
    <row r="637" ht="18.75" customHeight="1">
      <c r="A637" s="64"/>
      <c r="B637" s="64"/>
      <c r="D637" s="134"/>
      <c r="J637" s="134"/>
    </row>
    <row r="638" ht="18.75" customHeight="1">
      <c r="A638" s="64"/>
      <c r="B638" s="64"/>
      <c r="D638" s="134"/>
      <c r="J638" s="134"/>
    </row>
    <row r="639" ht="18.75" customHeight="1">
      <c r="A639" s="64"/>
      <c r="B639" s="64"/>
      <c r="D639" s="134"/>
      <c r="J639" s="134"/>
    </row>
    <row r="640" ht="18.75" customHeight="1">
      <c r="A640" s="64"/>
      <c r="B640" s="64"/>
      <c r="D640" s="134"/>
      <c r="J640" s="134"/>
    </row>
    <row r="641" ht="18.75" customHeight="1">
      <c r="A641" s="64"/>
      <c r="B641" s="64"/>
      <c r="D641" s="134"/>
      <c r="J641" s="134"/>
    </row>
    <row r="642" ht="18.75" customHeight="1">
      <c r="A642" s="64"/>
      <c r="B642" s="64"/>
      <c r="D642" s="134"/>
      <c r="J642" s="134"/>
    </row>
    <row r="643" ht="18.75" customHeight="1">
      <c r="A643" s="64"/>
      <c r="B643" s="64"/>
      <c r="D643" s="134"/>
      <c r="J643" s="134"/>
    </row>
    <row r="644" ht="18.75" customHeight="1">
      <c r="A644" s="64"/>
      <c r="B644" s="64"/>
      <c r="D644" s="134"/>
      <c r="J644" s="134"/>
    </row>
    <row r="645" ht="18.75" customHeight="1">
      <c r="A645" s="64"/>
      <c r="B645" s="64"/>
      <c r="D645" s="134"/>
      <c r="J645" s="134"/>
    </row>
    <row r="646" ht="18.75" customHeight="1">
      <c r="A646" s="64"/>
      <c r="B646" s="64"/>
      <c r="D646" s="134"/>
      <c r="J646" s="134"/>
    </row>
    <row r="647" ht="18.75" customHeight="1">
      <c r="A647" s="64"/>
      <c r="B647" s="64"/>
      <c r="D647" s="134"/>
      <c r="J647" s="134"/>
    </row>
    <row r="648" ht="18.75" customHeight="1">
      <c r="A648" s="64"/>
      <c r="B648" s="64"/>
      <c r="D648" s="134"/>
      <c r="J648" s="134"/>
    </row>
    <row r="649" ht="18.75" customHeight="1">
      <c r="A649" s="64"/>
      <c r="B649" s="64"/>
      <c r="D649" s="134"/>
      <c r="J649" s="134"/>
    </row>
    <row r="650" ht="18.75" customHeight="1">
      <c r="A650" s="64"/>
      <c r="B650" s="64"/>
      <c r="D650" s="134"/>
      <c r="J650" s="134"/>
    </row>
    <row r="651" ht="18.75" customHeight="1">
      <c r="A651" s="64"/>
      <c r="B651" s="64"/>
      <c r="D651" s="134"/>
      <c r="J651" s="134"/>
    </row>
    <row r="652" ht="18.75" customHeight="1">
      <c r="A652" s="64"/>
      <c r="B652" s="64"/>
      <c r="D652" s="134"/>
      <c r="J652" s="134"/>
    </row>
    <row r="653" ht="18.75" customHeight="1">
      <c r="A653" s="64"/>
      <c r="B653" s="64"/>
      <c r="D653" s="134"/>
      <c r="J653" s="134"/>
    </row>
    <row r="654" ht="18.75" customHeight="1">
      <c r="A654" s="64"/>
      <c r="B654" s="64"/>
      <c r="D654" s="134"/>
      <c r="J654" s="134"/>
    </row>
    <row r="655" ht="18.75" customHeight="1">
      <c r="A655" s="64"/>
      <c r="B655" s="64"/>
      <c r="D655" s="134"/>
      <c r="J655" s="134"/>
    </row>
    <row r="656" ht="18.75" customHeight="1">
      <c r="A656" s="64"/>
      <c r="B656" s="64"/>
      <c r="D656" s="134"/>
      <c r="J656" s="134"/>
    </row>
    <row r="657" ht="18.75" customHeight="1">
      <c r="A657" s="64"/>
      <c r="B657" s="64"/>
      <c r="D657" s="134"/>
      <c r="J657" s="134"/>
    </row>
    <row r="658" ht="18.75" customHeight="1">
      <c r="A658" s="64"/>
      <c r="B658" s="64"/>
      <c r="D658" s="134"/>
      <c r="J658" s="134"/>
    </row>
    <row r="659" ht="18.75" customHeight="1">
      <c r="A659" s="64"/>
      <c r="B659" s="64"/>
      <c r="D659" s="134"/>
      <c r="J659" s="134"/>
    </row>
    <row r="660" ht="18.75" customHeight="1">
      <c r="A660" s="64"/>
      <c r="B660" s="64"/>
      <c r="D660" s="134"/>
      <c r="J660" s="134"/>
    </row>
    <row r="661" ht="18.75" customHeight="1">
      <c r="A661" s="64"/>
      <c r="B661" s="64"/>
      <c r="D661" s="134"/>
      <c r="J661" s="134"/>
    </row>
    <row r="662" ht="18.75" customHeight="1">
      <c r="A662" s="64"/>
      <c r="B662" s="64"/>
      <c r="D662" s="134"/>
      <c r="J662" s="134"/>
    </row>
    <row r="663" ht="18.75" customHeight="1">
      <c r="A663" s="64"/>
      <c r="B663" s="64"/>
      <c r="D663" s="134"/>
      <c r="J663" s="134"/>
    </row>
    <row r="664" ht="18.75" customHeight="1">
      <c r="A664" s="64"/>
      <c r="B664" s="64"/>
      <c r="D664" s="134"/>
      <c r="J664" s="134"/>
    </row>
    <row r="665" ht="18.75" customHeight="1">
      <c r="A665" s="64"/>
      <c r="B665" s="64"/>
      <c r="D665" s="134"/>
      <c r="J665" s="134"/>
    </row>
    <row r="666" ht="18.75" customHeight="1">
      <c r="A666" s="64"/>
      <c r="B666" s="64"/>
      <c r="D666" s="134"/>
      <c r="J666" s="134"/>
    </row>
    <row r="667" ht="18.75" customHeight="1">
      <c r="A667" s="64"/>
      <c r="B667" s="64"/>
      <c r="D667" s="134"/>
      <c r="J667" s="134"/>
    </row>
    <row r="668" ht="18.75" customHeight="1">
      <c r="A668" s="64"/>
      <c r="B668" s="64"/>
      <c r="D668" s="134"/>
      <c r="J668" s="134"/>
    </row>
    <row r="669" ht="18.75" customHeight="1">
      <c r="A669" s="64"/>
      <c r="B669" s="64"/>
      <c r="D669" s="134"/>
      <c r="J669" s="134"/>
    </row>
    <row r="670" ht="18.75" customHeight="1">
      <c r="A670" s="64"/>
      <c r="B670" s="64"/>
      <c r="D670" s="134"/>
      <c r="J670" s="134"/>
    </row>
    <row r="671" ht="18.75" customHeight="1">
      <c r="A671" s="64"/>
      <c r="B671" s="64"/>
      <c r="D671" s="134"/>
      <c r="J671" s="134"/>
    </row>
    <row r="672" ht="18.75" customHeight="1">
      <c r="A672" s="64"/>
      <c r="B672" s="64"/>
      <c r="D672" s="134"/>
      <c r="J672" s="134"/>
    </row>
    <row r="673" ht="18.75" customHeight="1">
      <c r="A673" s="64"/>
      <c r="B673" s="64"/>
      <c r="D673" s="134"/>
      <c r="J673" s="134"/>
    </row>
    <row r="674" ht="18.75" customHeight="1">
      <c r="A674" s="64"/>
      <c r="B674" s="64"/>
      <c r="D674" s="134"/>
      <c r="J674" s="134"/>
    </row>
    <row r="675" ht="18.75" customHeight="1">
      <c r="A675" s="64"/>
      <c r="B675" s="64"/>
      <c r="D675" s="134"/>
      <c r="J675" s="134"/>
    </row>
    <row r="676" ht="18.75" customHeight="1">
      <c r="A676" s="64"/>
      <c r="B676" s="64"/>
      <c r="D676" s="134"/>
      <c r="J676" s="134"/>
    </row>
    <row r="677" ht="18.75" customHeight="1">
      <c r="A677" s="64"/>
      <c r="B677" s="64"/>
      <c r="D677" s="134"/>
      <c r="J677" s="134"/>
    </row>
    <row r="678" ht="18.75" customHeight="1">
      <c r="A678" s="64"/>
      <c r="B678" s="64"/>
      <c r="D678" s="134"/>
      <c r="J678" s="134"/>
    </row>
    <row r="679" ht="18.75" customHeight="1">
      <c r="A679" s="64"/>
      <c r="B679" s="64"/>
      <c r="D679" s="134"/>
      <c r="J679" s="134"/>
    </row>
    <row r="680" ht="18.75" customHeight="1">
      <c r="A680" s="64"/>
      <c r="B680" s="64"/>
      <c r="D680" s="134"/>
      <c r="J680" s="134"/>
    </row>
    <row r="681" ht="18.75" customHeight="1">
      <c r="A681" s="64"/>
      <c r="B681" s="64"/>
      <c r="D681" s="134"/>
      <c r="J681" s="134"/>
    </row>
    <row r="682" ht="18.75" customHeight="1">
      <c r="A682" s="64"/>
      <c r="B682" s="64"/>
      <c r="D682" s="134"/>
      <c r="J682" s="134"/>
    </row>
    <row r="683" ht="18.75" customHeight="1">
      <c r="A683" s="64"/>
      <c r="B683" s="64"/>
      <c r="D683" s="134"/>
      <c r="J683" s="134"/>
    </row>
    <row r="684" ht="18.75" customHeight="1">
      <c r="A684" s="64"/>
      <c r="B684" s="64"/>
      <c r="D684" s="134"/>
      <c r="J684" s="134"/>
    </row>
    <row r="685" ht="18.75" customHeight="1">
      <c r="A685" s="64"/>
      <c r="B685" s="64"/>
      <c r="D685" s="134"/>
      <c r="J685" s="134"/>
    </row>
    <row r="686" ht="18.75" customHeight="1">
      <c r="A686" s="64"/>
      <c r="B686" s="64"/>
      <c r="D686" s="134"/>
      <c r="J686" s="134"/>
    </row>
    <row r="687" ht="18.75" customHeight="1">
      <c r="A687" s="64"/>
      <c r="B687" s="64"/>
      <c r="D687" s="134"/>
      <c r="J687" s="134"/>
    </row>
    <row r="688" ht="18.75" customHeight="1">
      <c r="A688" s="64"/>
      <c r="B688" s="64"/>
      <c r="D688" s="134"/>
      <c r="J688" s="134"/>
    </row>
    <row r="689" ht="18.75" customHeight="1">
      <c r="A689" s="64"/>
      <c r="B689" s="64"/>
      <c r="D689" s="134"/>
      <c r="J689" s="134"/>
    </row>
    <row r="690" ht="18.75" customHeight="1">
      <c r="A690" s="64"/>
      <c r="B690" s="64"/>
      <c r="D690" s="134"/>
      <c r="J690" s="134"/>
    </row>
    <row r="691" ht="18.75" customHeight="1">
      <c r="A691" s="64"/>
      <c r="B691" s="64"/>
      <c r="D691" s="134"/>
      <c r="J691" s="134"/>
    </row>
    <row r="692" ht="18.75" customHeight="1">
      <c r="A692" s="64"/>
      <c r="B692" s="64"/>
      <c r="D692" s="134"/>
      <c r="J692" s="134"/>
    </row>
    <row r="693" ht="18.75" customHeight="1">
      <c r="A693" s="64"/>
      <c r="B693" s="64"/>
      <c r="D693" s="134"/>
      <c r="J693" s="134"/>
    </row>
    <row r="694" ht="18.75" customHeight="1">
      <c r="A694" s="64"/>
      <c r="B694" s="64"/>
      <c r="D694" s="134"/>
      <c r="J694" s="134"/>
    </row>
    <row r="695" ht="18.75" customHeight="1">
      <c r="A695" s="64"/>
      <c r="B695" s="64"/>
      <c r="D695" s="134"/>
      <c r="J695" s="134"/>
    </row>
    <row r="696" ht="18.75" customHeight="1">
      <c r="A696" s="64"/>
      <c r="B696" s="64"/>
      <c r="D696" s="134"/>
      <c r="J696" s="134"/>
    </row>
    <row r="697" ht="18.75" customHeight="1">
      <c r="A697" s="64"/>
      <c r="B697" s="64"/>
      <c r="D697" s="134"/>
      <c r="J697" s="134"/>
    </row>
    <row r="698" ht="18.75" customHeight="1">
      <c r="A698" s="64"/>
      <c r="B698" s="64"/>
      <c r="D698" s="134"/>
      <c r="J698" s="134"/>
    </row>
    <row r="699" ht="18.75" customHeight="1">
      <c r="A699" s="64"/>
      <c r="B699" s="64"/>
      <c r="D699" s="134"/>
      <c r="J699" s="134"/>
    </row>
    <row r="700" ht="18.75" customHeight="1">
      <c r="A700" s="64"/>
      <c r="B700" s="64"/>
      <c r="D700" s="134"/>
      <c r="J700" s="134"/>
    </row>
    <row r="701" ht="18.75" customHeight="1">
      <c r="A701" s="64"/>
      <c r="B701" s="64"/>
      <c r="D701" s="134"/>
      <c r="J701" s="134"/>
    </row>
    <row r="702" ht="18.75" customHeight="1">
      <c r="A702" s="64"/>
      <c r="B702" s="64"/>
      <c r="D702" s="134"/>
      <c r="J702" s="134"/>
    </row>
    <row r="703" ht="18.75" customHeight="1">
      <c r="A703" s="64"/>
      <c r="B703" s="64"/>
      <c r="D703" s="134"/>
      <c r="J703" s="134"/>
    </row>
    <row r="704" ht="18.75" customHeight="1">
      <c r="A704" s="64"/>
      <c r="B704" s="64"/>
      <c r="D704" s="134"/>
      <c r="J704" s="134"/>
    </row>
    <row r="705" ht="18.75" customHeight="1">
      <c r="A705" s="64"/>
      <c r="B705" s="64"/>
      <c r="D705" s="134"/>
      <c r="J705" s="134"/>
    </row>
    <row r="706" ht="18.75" customHeight="1">
      <c r="A706" s="64"/>
      <c r="B706" s="64"/>
      <c r="D706" s="134"/>
      <c r="J706" s="134"/>
    </row>
    <row r="707" ht="18.75" customHeight="1">
      <c r="A707" s="64"/>
      <c r="B707" s="64"/>
      <c r="D707" s="134"/>
      <c r="J707" s="134"/>
    </row>
    <row r="708" ht="18.75" customHeight="1">
      <c r="A708" s="64"/>
      <c r="B708" s="64"/>
      <c r="D708" s="134"/>
      <c r="J708" s="134"/>
    </row>
    <row r="709" ht="18.75" customHeight="1">
      <c r="A709" s="64"/>
      <c r="B709" s="64"/>
      <c r="D709" s="134"/>
      <c r="J709" s="134"/>
    </row>
    <row r="710" ht="18.75" customHeight="1">
      <c r="A710" s="64"/>
      <c r="B710" s="64"/>
      <c r="D710" s="134"/>
      <c r="J710" s="134"/>
    </row>
    <row r="711" ht="18.75" customHeight="1">
      <c r="A711" s="64"/>
      <c r="B711" s="64"/>
      <c r="D711" s="134"/>
      <c r="J711" s="134"/>
    </row>
    <row r="712" ht="18.75" customHeight="1">
      <c r="A712" s="64"/>
      <c r="B712" s="64"/>
      <c r="D712" s="134"/>
      <c r="J712" s="134"/>
    </row>
    <row r="713" ht="18.75" customHeight="1">
      <c r="A713" s="64"/>
      <c r="B713" s="64"/>
      <c r="D713" s="134"/>
      <c r="J713" s="134"/>
    </row>
    <row r="714" ht="18.75" customHeight="1">
      <c r="A714" s="64"/>
      <c r="B714" s="64"/>
      <c r="D714" s="134"/>
      <c r="J714" s="134"/>
    </row>
    <row r="715" ht="18.75" customHeight="1">
      <c r="A715" s="64"/>
      <c r="B715" s="64"/>
      <c r="D715" s="134"/>
      <c r="J715" s="134"/>
    </row>
    <row r="716" ht="18.75" customHeight="1">
      <c r="A716" s="64"/>
      <c r="B716" s="64"/>
      <c r="D716" s="134"/>
      <c r="J716" s="134"/>
    </row>
    <row r="717" ht="18.75" customHeight="1">
      <c r="A717" s="64"/>
      <c r="B717" s="64"/>
      <c r="D717" s="134"/>
      <c r="J717" s="134"/>
    </row>
    <row r="718" ht="18.75" customHeight="1">
      <c r="A718" s="64"/>
      <c r="B718" s="64"/>
      <c r="D718" s="134"/>
      <c r="J718" s="134"/>
    </row>
    <row r="719" ht="18.75" customHeight="1">
      <c r="A719" s="64"/>
      <c r="B719" s="64"/>
      <c r="D719" s="134"/>
      <c r="J719" s="134"/>
    </row>
    <row r="720" ht="18.75" customHeight="1">
      <c r="A720" s="64"/>
      <c r="B720" s="64"/>
      <c r="D720" s="134"/>
      <c r="J720" s="134"/>
    </row>
    <row r="721" ht="18.75" customHeight="1">
      <c r="A721" s="64"/>
      <c r="B721" s="64"/>
      <c r="D721" s="134"/>
      <c r="J721" s="134"/>
    </row>
    <row r="722" ht="18.75" customHeight="1">
      <c r="A722" s="64"/>
      <c r="B722" s="64"/>
      <c r="D722" s="134"/>
      <c r="J722" s="134"/>
    </row>
    <row r="723" ht="18.75" customHeight="1">
      <c r="A723" s="64"/>
      <c r="B723" s="64"/>
      <c r="D723" s="134"/>
      <c r="J723" s="134"/>
    </row>
    <row r="724" ht="18.75" customHeight="1">
      <c r="A724" s="64"/>
      <c r="B724" s="64"/>
      <c r="D724" s="134"/>
      <c r="J724" s="134"/>
    </row>
    <row r="725" ht="18.75" customHeight="1">
      <c r="A725" s="64"/>
      <c r="B725" s="64"/>
      <c r="D725" s="134"/>
      <c r="J725" s="134"/>
    </row>
    <row r="726" ht="18.75" customHeight="1">
      <c r="A726" s="64"/>
      <c r="B726" s="64"/>
      <c r="D726" s="134"/>
      <c r="J726" s="134"/>
    </row>
    <row r="727" ht="18.75" customHeight="1">
      <c r="A727" s="64"/>
      <c r="B727" s="64"/>
      <c r="D727" s="134"/>
      <c r="J727" s="134"/>
    </row>
    <row r="728" ht="18.75" customHeight="1">
      <c r="A728" s="64"/>
      <c r="B728" s="64"/>
      <c r="D728" s="134"/>
      <c r="J728" s="134"/>
    </row>
    <row r="729" ht="18.75" customHeight="1">
      <c r="A729" s="64"/>
      <c r="B729" s="64"/>
      <c r="D729" s="134"/>
      <c r="J729" s="134"/>
    </row>
    <row r="730" ht="18.75" customHeight="1">
      <c r="A730" s="64"/>
      <c r="B730" s="64"/>
      <c r="D730" s="134"/>
      <c r="J730" s="134"/>
    </row>
    <row r="731" ht="18.75" customHeight="1">
      <c r="A731" s="64"/>
      <c r="B731" s="64"/>
      <c r="D731" s="134"/>
      <c r="J731" s="134"/>
    </row>
    <row r="732" ht="18.75" customHeight="1">
      <c r="A732" s="64"/>
      <c r="B732" s="64"/>
      <c r="D732" s="134"/>
      <c r="J732" s="134"/>
    </row>
    <row r="733" ht="18.75" customHeight="1">
      <c r="A733" s="64"/>
      <c r="B733" s="64"/>
      <c r="D733" s="134"/>
      <c r="J733" s="134"/>
    </row>
    <row r="734" ht="18.75" customHeight="1">
      <c r="A734" s="64"/>
      <c r="B734" s="64"/>
      <c r="D734" s="134"/>
      <c r="J734" s="134"/>
    </row>
    <row r="735" ht="18.75" customHeight="1">
      <c r="A735" s="64"/>
      <c r="B735" s="64"/>
      <c r="D735" s="134"/>
      <c r="J735" s="134"/>
    </row>
    <row r="736" ht="18.75" customHeight="1">
      <c r="A736" s="64"/>
      <c r="B736" s="64"/>
      <c r="D736" s="134"/>
      <c r="J736" s="134"/>
    </row>
    <row r="737" ht="18.75" customHeight="1">
      <c r="A737" s="64"/>
      <c r="B737" s="64"/>
      <c r="D737" s="134"/>
      <c r="J737" s="134"/>
    </row>
    <row r="738" ht="18.75" customHeight="1">
      <c r="A738" s="64"/>
      <c r="B738" s="64"/>
      <c r="D738" s="134"/>
      <c r="J738" s="134"/>
    </row>
    <row r="739" ht="18.75" customHeight="1">
      <c r="A739" s="64"/>
      <c r="B739" s="64"/>
      <c r="D739" s="134"/>
      <c r="J739" s="134"/>
    </row>
    <row r="740" ht="18.75" customHeight="1">
      <c r="A740" s="64"/>
      <c r="B740" s="64"/>
      <c r="D740" s="134"/>
      <c r="J740" s="134"/>
    </row>
    <row r="741" ht="18.75" customHeight="1">
      <c r="A741" s="64"/>
      <c r="B741" s="64"/>
      <c r="D741" s="134"/>
      <c r="J741" s="134"/>
    </row>
    <row r="742" ht="18.75" customHeight="1">
      <c r="A742" s="64"/>
      <c r="B742" s="64"/>
      <c r="D742" s="134"/>
      <c r="J742" s="134"/>
    </row>
    <row r="743" ht="18.75" customHeight="1">
      <c r="A743" s="64"/>
      <c r="B743" s="64"/>
      <c r="D743" s="134"/>
      <c r="J743" s="134"/>
    </row>
    <row r="744" ht="18.75" customHeight="1">
      <c r="A744" s="64"/>
      <c r="B744" s="64"/>
      <c r="D744" s="134"/>
      <c r="J744" s="134"/>
    </row>
    <row r="745" ht="18.75" customHeight="1">
      <c r="A745" s="64"/>
      <c r="B745" s="64"/>
      <c r="D745" s="134"/>
      <c r="J745" s="134"/>
    </row>
    <row r="746" ht="18.75" customHeight="1">
      <c r="A746" s="64"/>
      <c r="B746" s="64"/>
      <c r="D746" s="134"/>
      <c r="J746" s="134"/>
    </row>
    <row r="747" ht="18.75" customHeight="1">
      <c r="A747" s="64"/>
      <c r="B747" s="64"/>
      <c r="D747" s="134"/>
      <c r="J747" s="134"/>
    </row>
    <row r="748" ht="18.75" customHeight="1">
      <c r="A748" s="64"/>
      <c r="B748" s="64"/>
      <c r="D748" s="134"/>
      <c r="J748" s="134"/>
    </row>
    <row r="749" ht="18.75" customHeight="1">
      <c r="A749" s="64"/>
      <c r="B749" s="64"/>
      <c r="D749" s="134"/>
      <c r="J749" s="134"/>
    </row>
    <row r="750" ht="18.75" customHeight="1">
      <c r="A750" s="64"/>
      <c r="B750" s="64"/>
      <c r="D750" s="134"/>
      <c r="J750" s="134"/>
    </row>
    <row r="751" ht="18.75" customHeight="1">
      <c r="A751" s="64"/>
      <c r="B751" s="64"/>
      <c r="D751" s="134"/>
      <c r="J751" s="134"/>
    </row>
    <row r="752" ht="18.75" customHeight="1">
      <c r="A752" s="64"/>
      <c r="B752" s="64"/>
      <c r="D752" s="134"/>
      <c r="J752" s="134"/>
    </row>
    <row r="753" ht="18.75" customHeight="1">
      <c r="A753" s="64"/>
      <c r="B753" s="64"/>
      <c r="D753" s="134"/>
      <c r="J753" s="134"/>
    </row>
    <row r="754" ht="18.75" customHeight="1">
      <c r="A754" s="64"/>
      <c r="B754" s="64"/>
      <c r="D754" s="134"/>
      <c r="J754" s="134"/>
    </row>
    <row r="755" ht="18.75" customHeight="1">
      <c r="A755" s="64"/>
      <c r="B755" s="64"/>
      <c r="D755" s="134"/>
      <c r="J755" s="134"/>
    </row>
    <row r="756" ht="18.75" customHeight="1">
      <c r="A756" s="64"/>
      <c r="B756" s="64"/>
      <c r="D756" s="134"/>
      <c r="J756" s="134"/>
    </row>
    <row r="757" ht="18.75" customHeight="1">
      <c r="A757" s="64"/>
      <c r="B757" s="64"/>
      <c r="D757" s="134"/>
      <c r="J757" s="134"/>
    </row>
    <row r="758" ht="18.75" customHeight="1">
      <c r="A758" s="64"/>
      <c r="B758" s="64"/>
      <c r="D758" s="134"/>
      <c r="J758" s="134"/>
    </row>
    <row r="759" ht="18.75" customHeight="1">
      <c r="A759" s="64"/>
      <c r="B759" s="64"/>
      <c r="D759" s="134"/>
      <c r="J759" s="134"/>
    </row>
    <row r="760" ht="18.75" customHeight="1">
      <c r="A760" s="64"/>
      <c r="B760" s="64"/>
      <c r="D760" s="134"/>
      <c r="J760" s="134"/>
    </row>
    <row r="761" ht="18.75" customHeight="1">
      <c r="A761" s="64"/>
      <c r="B761" s="64"/>
      <c r="D761" s="134"/>
      <c r="J761" s="134"/>
    </row>
    <row r="762" ht="18.75" customHeight="1">
      <c r="A762" s="64"/>
      <c r="B762" s="64"/>
      <c r="D762" s="134"/>
      <c r="J762" s="134"/>
    </row>
    <row r="763" ht="18.75" customHeight="1">
      <c r="A763" s="64"/>
      <c r="B763" s="64"/>
      <c r="D763" s="134"/>
      <c r="J763" s="134"/>
    </row>
    <row r="764" ht="18.75" customHeight="1">
      <c r="A764" s="64"/>
      <c r="B764" s="64"/>
      <c r="D764" s="134"/>
      <c r="J764" s="134"/>
    </row>
    <row r="765" ht="18.75" customHeight="1">
      <c r="A765" s="64"/>
      <c r="B765" s="64"/>
      <c r="D765" s="134"/>
      <c r="J765" s="134"/>
    </row>
    <row r="766" ht="18.75" customHeight="1">
      <c r="A766" s="64"/>
      <c r="B766" s="64"/>
      <c r="D766" s="134"/>
      <c r="J766" s="134"/>
    </row>
    <row r="767" ht="18.75" customHeight="1">
      <c r="A767" s="64"/>
      <c r="B767" s="64"/>
      <c r="D767" s="134"/>
      <c r="J767" s="134"/>
    </row>
    <row r="768" ht="18.75" customHeight="1">
      <c r="A768" s="64"/>
      <c r="B768" s="64"/>
      <c r="D768" s="134"/>
      <c r="J768" s="134"/>
    </row>
    <row r="769" ht="18.75" customHeight="1">
      <c r="A769" s="64"/>
      <c r="B769" s="64"/>
      <c r="D769" s="134"/>
      <c r="J769" s="134"/>
    </row>
    <row r="770" ht="18.75" customHeight="1">
      <c r="A770" s="64"/>
      <c r="B770" s="64"/>
      <c r="D770" s="134"/>
      <c r="J770" s="134"/>
    </row>
    <row r="771" ht="18.75" customHeight="1">
      <c r="A771" s="64"/>
      <c r="B771" s="64"/>
      <c r="D771" s="134"/>
      <c r="J771" s="134"/>
    </row>
    <row r="772" ht="18.75" customHeight="1">
      <c r="A772" s="64"/>
      <c r="B772" s="64"/>
      <c r="D772" s="134"/>
      <c r="J772" s="134"/>
    </row>
    <row r="773" ht="18.75" customHeight="1">
      <c r="A773" s="64"/>
      <c r="B773" s="64"/>
      <c r="D773" s="134"/>
      <c r="J773" s="134"/>
    </row>
    <row r="774" ht="18.75" customHeight="1">
      <c r="A774" s="64"/>
      <c r="B774" s="64"/>
      <c r="D774" s="134"/>
      <c r="J774" s="134"/>
    </row>
    <row r="775" ht="18.75" customHeight="1">
      <c r="A775" s="64"/>
      <c r="B775" s="64"/>
      <c r="D775" s="134"/>
      <c r="J775" s="134"/>
    </row>
    <row r="776" ht="18.75" customHeight="1">
      <c r="A776" s="64"/>
      <c r="B776" s="64"/>
      <c r="D776" s="134"/>
      <c r="J776" s="134"/>
    </row>
    <row r="777" ht="18.75" customHeight="1">
      <c r="A777" s="64"/>
      <c r="B777" s="64"/>
      <c r="D777" s="134"/>
      <c r="J777" s="134"/>
    </row>
    <row r="778" ht="18.75" customHeight="1">
      <c r="A778" s="64"/>
      <c r="B778" s="64"/>
      <c r="D778" s="134"/>
      <c r="J778" s="134"/>
    </row>
    <row r="779" ht="18.75" customHeight="1">
      <c r="A779" s="64"/>
      <c r="B779" s="64"/>
      <c r="D779" s="134"/>
      <c r="J779" s="134"/>
    </row>
    <row r="780" ht="18.75" customHeight="1">
      <c r="A780" s="64"/>
      <c r="B780" s="64"/>
      <c r="D780" s="134"/>
      <c r="J780" s="134"/>
    </row>
    <row r="781" ht="18.75" customHeight="1">
      <c r="A781" s="64"/>
      <c r="B781" s="64"/>
      <c r="D781" s="134"/>
      <c r="J781" s="134"/>
    </row>
    <row r="782" ht="18.75" customHeight="1">
      <c r="A782" s="64"/>
      <c r="B782" s="64"/>
      <c r="D782" s="134"/>
      <c r="J782" s="134"/>
    </row>
    <row r="783" ht="18.75" customHeight="1">
      <c r="A783" s="64"/>
      <c r="B783" s="64"/>
      <c r="D783" s="134"/>
      <c r="J783" s="134"/>
    </row>
    <row r="784" ht="18.75" customHeight="1">
      <c r="A784" s="64"/>
      <c r="B784" s="64"/>
      <c r="D784" s="134"/>
      <c r="J784" s="134"/>
    </row>
    <row r="785" ht="18.75" customHeight="1">
      <c r="A785" s="64"/>
      <c r="B785" s="64"/>
      <c r="D785" s="134"/>
      <c r="J785" s="134"/>
    </row>
    <row r="786" ht="18.75" customHeight="1">
      <c r="A786" s="64"/>
      <c r="B786" s="64"/>
      <c r="D786" s="134"/>
      <c r="J786" s="134"/>
    </row>
    <row r="787" ht="18.75" customHeight="1">
      <c r="A787" s="64"/>
      <c r="B787" s="64"/>
      <c r="D787" s="134"/>
      <c r="J787" s="134"/>
    </row>
    <row r="788" ht="18.75" customHeight="1">
      <c r="A788" s="64"/>
      <c r="B788" s="64"/>
      <c r="D788" s="134"/>
      <c r="J788" s="134"/>
    </row>
    <row r="789" ht="18.75" customHeight="1">
      <c r="A789" s="64"/>
      <c r="B789" s="64"/>
      <c r="D789" s="134"/>
      <c r="J789" s="134"/>
    </row>
    <row r="790" ht="18.75" customHeight="1">
      <c r="A790" s="64"/>
      <c r="B790" s="64"/>
      <c r="D790" s="134"/>
      <c r="J790" s="134"/>
    </row>
    <row r="791" ht="18.75" customHeight="1">
      <c r="A791" s="64"/>
      <c r="B791" s="64"/>
      <c r="D791" s="134"/>
      <c r="J791" s="134"/>
    </row>
    <row r="792" ht="18.75" customHeight="1">
      <c r="A792" s="64"/>
      <c r="B792" s="64"/>
      <c r="D792" s="134"/>
      <c r="J792" s="134"/>
    </row>
    <row r="793" ht="18.75" customHeight="1">
      <c r="A793" s="64"/>
      <c r="B793" s="64"/>
      <c r="D793" s="134"/>
      <c r="J793" s="134"/>
    </row>
    <row r="794" ht="18.75" customHeight="1">
      <c r="A794" s="64"/>
      <c r="B794" s="64"/>
      <c r="D794" s="134"/>
      <c r="J794" s="134"/>
    </row>
    <row r="795" ht="18.75" customHeight="1">
      <c r="A795" s="64"/>
      <c r="B795" s="64"/>
      <c r="D795" s="134"/>
      <c r="J795" s="134"/>
    </row>
    <row r="796" ht="18.75" customHeight="1">
      <c r="A796" s="64"/>
      <c r="B796" s="64"/>
      <c r="D796" s="134"/>
      <c r="J796" s="134"/>
    </row>
    <row r="797" ht="18.75" customHeight="1">
      <c r="A797" s="64"/>
      <c r="B797" s="64"/>
      <c r="D797" s="134"/>
      <c r="J797" s="134"/>
    </row>
    <row r="798" ht="18.75" customHeight="1">
      <c r="A798" s="64"/>
      <c r="B798" s="64"/>
      <c r="D798" s="134"/>
      <c r="J798" s="134"/>
    </row>
    <row r="799" ht="18.75" customHeight="1">
      <c r="A799" s="64"/>
      <c r="B799" s="64"/>
      <c r="D799" s="134"/>
      <c r="J799" s="134"/>
    </row>
    <row r="800" ht="18.75" customHeight="1">
      <c r="A800" s="64"/>
      <c r="B800" s="64"/>
      <c r="D800" s="134"/>
      <c r="J800" s="134"/>
    </row>
    <row r="801" ht="18.75" customHeight="1">
      <c r="A801" s="64"/>
      <c r="B801" s="64"/>
      <c r="D801" s="134"/>
      <c r="J801" s="134"/>
    </row>
    <row r="802" ht="18.75" customHeight="1">
      <c r="A802" s="64"/>
      <c r="B802" s="64"/>
      <c r="D802" s="134"/>
      <c r="J802" s="134"/>
    </row>
    <row r="803" ht="18.75" customHeight="1">
      <c r="A803" s="64"/>
      <c r="B803" s="64"/>
      <c r="D803" s="134"/>
      <c r="J803" s="134"/>
    </row>
    <row r="804" ht="18.75" customHeight="1">
      <c r="A804" s="64"/>
      <c r="B804" s="64"/>
      <c r="D804" s="134"/>
      <c r="J804" s="134"/>
    </row>
    <row r="805" ht="18.75" customHeight="1">
      <c r="A805" s="64"/>
      <c r="B805" s="64"/>
      <c r="D805" s="134"/>
      <c r="J805" s="134"/>
    </row>
    <row r="806" ht="18.75" customHeight="1">
      <c r="A806" s="64"/>
      <c r="B806" s="64"/>
      <c r="D806" s="134"/>
      <c r="J806" s="134"/>
    </row>
    <row r="807" ht="18.75" customHeight="1">
      <c r="A807" s="64"/>
      <c r="B807" s="64"/>
      <c r="D807" s="134"/>
      <c r="J807" s="134"/>
    </row>
    <row r="808" ht="18.75" customHeight="1">
      <c r="A808" s="64"/>
      <c r="B808" s="64"/>
      <c r="D808" s="134"/>
      <c r="J808" s="134"/>
    </row>
    <row r="809" ht="18.75" customHeight="1">
      <c r="A809" s="64"/>
      <c r="B809" s="64"/>
      <c r="D809" s="134"/>
      <c r="J809" s="134"/>
    </row>
    <row r="810" ht="18.75" customHeight="1">
      <c r="A810" s="64"/>
      <c r="B810" s="64"/>
      <c r="D810" s="134"/>
      <c r="J810" s="134"/>
    </row>
    <row r="811" ht="18.75" customHeight="1">
      <c r="A811" s="64"/>
      <c r="B811" s="64"/>
      <c r="D811" s="134"/>
      <c r="J811" s="134"/>
    </row>
    <row r="812" ht="18.75" customHeight="1">
      <c r="A812" s="64"/>
      <c r="B812" s="64"/>
      <c r="D812" s="134"/>
      <c r="J812" s="134"/>
    </row>
    <row r="813" ht="18.75" customHeight="1">
      <c r="A813" s="64"/>
      <c r="B813" s="64"/>
      <c r="D813" s="134"/>
      <c r="J813" s="134"/>
    </row>
    <row r="814" ht="18.75" customHeight="1">
      <c r="A814" s="64"/>
      <c r="B814" s="64"/>
      <c r="D814" s="134"/>
      <c r="J814" s="134"/>
    </row>
    <row r="815" ht="18.75" customHeight="1">
      <c r="A815" s="64"/>
      <c r="B815" s="64"/>
      <c r="D815" s="134"/>
      <c r="J815" s="134"/>
    </row>
    <row r="816" ht="18.75" customHeight="1">
      <c r="A816" s="64"/>
      <c r="B816" s="64"/>
      <c r="D816" s="134"/>
      <c r="J816" s="134"/>
    </row>
    <row r="817" ht="18.75" customHeight="1">
      <c r="A817" s="64"/>
      <c r="B817" s="64"/>
      <c r="D817" s="134"/>
      <c r="J817" s="134"/>
    </row>
    <row r="818" ht="18.75" customHeight="1">
      <c r="A818" s="64"/>
      <c r="B818" s="64"/>
      <c r="D818" s="134"/>
      <c r="J818" s="134"/>
    </row>
    <row r="819" ht="18.75" customHeight="1">
      <c r="A819" s="64"/>
      <c r="B819" s="64"/>
      <c r="D819" s="134"/>
      <c r="J819" s="134"/>
    </row>
    <row r="820" ht="18.75" customHeight="1">
      <c r="A820" s="64"/>
      <c r="B820" s="64"/>
      <c r="D820" s="134"/>
      <c r="J820" s="134"/>
    </row>
    <row r="821" ht="18.75" customHeight="1">
      <c r="A821" s="64"/>
      <c r="B821" s="64"/>
      <c r="D821" s="134"/>
      <c r="J821" s="134"/>
    </row>
    <row r="822" ht="18.75" customHeight="1">
      <c r="A822" s="64"/>
      <c r="B822" s="64"/>
      <c r="D822" s="134"/>
      <c r="J822" s="134"/>
    </row>
    <row r="823" ht="18.75" customHeight="1">
      <c r="A823" s="64"/>
      <c r="B823" s="64"/>
      <c r="D823" s="134"/>
      <c r="J823" s="134"/>
    </row>
    <row r="824" ht="18.75" customHeight="1">
      <c r="A824" s="64"/>
      <c r="B824" s="64"/>
      <c r="D824" s="134"/>
      <c r="J824" s="134"/>
    </row>
    <row r="825" ht="18.75" customHeight="1">
      <c r="A825" s="64"/>
      <c r="B825" s="64"/>
      <c r="D825" s="134"/>
      <c r="J825" s="134"/>
    </row>
    <row r="826" ht="18.75" customHeight="1">
      <c r="A826" s="64"/>
      <c r="B826" s="64"/>
      <c r="D826" s="134"/>
      <c r="J826" s="134"/>
    </row>
    <row r="827" ht="18.75" customHeight="1">
      <c r="A827" s="64"/>
      <c r="B827" s="64"/>
      <c r="D827" s="134"/>
      <c r="J827" s="134"/>
    </row>
    <row r="828" ht="18.75" customHeight="1">
      <c r="A828" s="64"/>
      <c r="B828" s="64"/>
      <c r="D828" s="134"/>
      <c r="J828" s="134"/>
    </row>
    <row r="829" ht="18.75" customHeight="1">
      <c r="A829" s="64"/>
      <c r="B829" s="64"/>
      <c r="D829" s="134"/>
      <c r="J829" s="134"/>
    </row>
    <row r="830" ht="18.75" customHeight="1">
      <c r="A830" s="64"/>
      <c r="B830" s="64"/>
      <c r="D830" s="134"/>
      <c r="J830" s="134"/>
    </row>
    <row r="831" ht="18.75" customHeight="1">
      <c r="A831" s="64"/>
      <c r="B831" s="64"/>
      <c r="D831" s="134"/>
      <c r="J831" s="134"/>
    </row>
    <row r="832" ht="18.75" customHeight="1">
      <c r="A832" s="64"/>
      <c r="B832" s="64"/>
      <c r="D832" s="134"/>
      <c r="J832" s="134"/>
    </row>
    <row r="833" ht="18.75" customHeight="1">
      <c r="A833" s="64"/>
      <c r="B833" s="64"/>
      <c r="D833" s="134"/>
      <c r="J833" s="134"/>
    </row>
    <row r="834" ht="18.75" customHeight="1">
      <c r="A834" s="64"/>
      <c r="B834" s="64"/>
      <c r="D834" s="134"/>
      <c r="J834" s="134"/>
    </row>
    <row r="835" ht="18.75" customHeight="1">
      <c r="A835" s="64"/>
      <c r="B835" s="64"/>
      <c r="D835" s="134"/>
      <c r="J835" s="134"/>
    </row>
    <row r="836" ht="18.75" customHeight="1">
      <c r="A836" s="64"/>
      <c r="B836" s="64"/>
      <c r="D836" s="134"/>
      <c r="J836" s="134"/>
    </row>
    <row r="837" ht="18.75" customHeight="1">
      <c r="A837" s="64"/>
      <c r="B837" s="64"/>
      <c r="D837" s="134"/>
      <c r="J837" s="134"/>
    </row>
    <row r="838" ht="18.75" customHeight="1">
      <c r="A838" s="64"/>
      <c r="B838" s="64"/>
      <c r="D838" s="134"/>
      <c r="J838" s="134"/>
    </row>
    <row r="839" ht="18.75" customHeight="1">
      <c r="A839" s="64"/>
      <c r="B839" s="64"/>
      <c r="D839" s="134"/>
      <c r="J839" s="134"/>
    </row>
    <row r="840" ht="18.75" customHeight="1">
      <c r="A840" s="64"/>
      <c r="B840" s="64"/>
      <c r="D840" s="134"/>
      <c r="J840" s="134"/>
    </row>
    <row r="841" ht="18.75" customHeight="1">
      <c r="A841" s="64"/>
      <c r="B841" s="64"/>
      <c r="D841" s="134"/>
      <c r="J841" s="134"/>
    </row>
    <row r="842" ht="18.75" customHeight="1">
      <c r="A842" s="64"/>
      <c r="B842" s="64"/>
      <c r="D842" s="134"/>
      <c r="J842" s="134"/>
    </row>
    <row r="843" ht="18.75" customHeight="1">
      <c r="A843" s="64"/>
      <c r="B843" s="64"/>
      <c r="D843" s="134"/>
      <c r="J843" s="134"/>
    </row>
    <row r="844" ht="18.75" customHeight="1">
      <c r="A844" s="64"/>
      <c r="B844" s="64"/>
      <c r="D844" s="134"/>
      <c r="J844" s="134"/>
    </row>
    <row r="845" ht="18.75" customHeight="1">
      <c r="A845" s="64"/>
      <c r="B845" s="64"/>
      <c r="D845" s="134"/>
      <c r="J845" s="134"/>
    </row>
    <row r="846" ht="18.75" customHeight="1">
      <c r="A846" s="64"/>
      <c r="B846" s="64"/>
      <c r="D846" s="134"/>
      <c r="J846" s="134"/>
    </row>
    <row r="847" ht="18.75" customHeight="1">
      <c r="A847" s="64"/>
      <c r="B847" s="64"/>
      <c r="D847" s="134"/>
      <c r="J847" s="134"/>
    </row>
    <row r="848" ht="18.75" customHeight="1">
      <c r="A848" s="64"/>
      <c r="B848" s="64"/>
      <c r="D848" s="134"/>
      <c r="J848" s="134"/>
    </row>
    <row r="849" ht="18.75" customHeight="1">
      <c r="A849" s="64"/>
      <c r="B849" s="64"/>
      <c r="D849" s="134"/>
      <c r="J849" s="134"/>
    </row>
    <row r="850" ht="18.75" customHeight="1">
      <c r="A850" s="64"/>
      <c r="B850" s="64"/>
      <c r="D850" s="134"/>
      <c r="J850" s="134"/>
    </row>
    <row r="851" ht="18.75" customHeight="1">
      <c r="A851" s="64"/>
      <c r="B851" s="64"/>
      <c r="D851" s="134"/>
      <c r="J851" s="134"/>
    </row>
    <row r="852" ht="18.75" customHeight="1">
      <c r="A852" s="64"/>
      <c r="B852" s="64"/>
      <c r="D852" s="134"/>
      <c r="J852" s="134"/>
    </row>
    <row r="853" ht="18.75" customHeight="1">
      <c r="A853" s="64"/>
      <c r="B853" s="64"/>
      <c r="D853" s="134"/>
      <c r="J853" s="134"/>
    </row>
    <row r="854" ht="18.75" customHeight="1">
      <c r="A854" s="64"/>
      <c r="B854" s="64"/>
      <c r="D854" s="134"/>
      <c r="J854" s="134"/>
    </row>
    <row r="855" ht="18.75" customHeight="1">
      <c r="A855" s="64"/>
      <c r="B855" s="64"/>
      <c r="D855" s="134"/>
      <c r="J855" s="134"/>
    </row>
    <row r="856" ht="18.75" customHeight="1">
      <c r="A856" s="64"/>
      <c r="B856" s="64"/>
      <c r="D856" s="134"/>
      <c r="J856" s="134"/>
    </row>
    <row r="857" ht="18.75" customHeight="1">
      <c r="A857" s="64"/>
      <c r="B857" s="64"/>
      <c r="D857" s="134"/>
      <c r="J857" s="134"/>
    </row>
    <row r="858" ht="18.75" customHeight="1">
      <c r="A858" s="64"/>
      <c r="B858" s="64"/>
      <c r="D858" s="134"/>
      <c r="J858" s="134"/>
    </row>
    <row r="859" ht="18.75" customHeight="1">
      <c r="A859" s="64"/>
      <c r="B859" s="64"/>
      <c r="D859" s="134"/>
      <c r="J859" s="134"/>
    </row>
    <row r="860" ht="18.75" customHeight="1">
      <c r="A860" s="64"/>
      <c r="B860" s="64"/>
      <c r="D860" s="134"/>
      <c r="J860" s="134"/>
    </row>
    <row r="861" ht="18.75" customHeight="1">
      <c r="A861" s="64"/>
      <c r="B861" s="64"/>
      <c r="D861" s="134"/>
      <c r="J861" s="134"/>
    </row>
    <row r="862" ht="18.75" customHeight="1">
      <c r="A862" s="64"/>
      <c r="B862" s="64"/>
      <c r="D862" s="134"/>
      <c r="J862" s="134"/>
    </row>
    <row r="863" ht="18.75" customHeight="1">
      <c r="A863" s="64"/>
      <c r="B863" s="64"/>
      <c r="D863" s="134"/>
      <c r="J863" s="134"/>
    </row>
    <row r="864" ht="18.75" customHeight="1">
      <c r="A864" s="64"/>
      <c r="B864" s="64"/>
      <c r="D864" s="134"/>
      <c r="J864" s="134"/>
    </row>
    <row r="865" ht="18.75" customHeight="1">
      <c r="A865" s="64"/>
      <c r="B865" s="64"/>
      <c r="D865" s="134"/>
      <c r="J865" s="134"/>
    </row>
    <row r="866" ht="18.75" customHeight="1">
      <c r="A866" s="64"/>
      <c r="B866" s="64"/>
      <c r="D866" s="134"/>
      <c r="J866" s="134"/>
    </row>
    <row r="867" ht="18.75" customHeight="1">
      <c r="A867" s="64"/>
      <c r="B867" s="64"/>
      <c r="D867" s="134"/>
      <c r="J867" s="134"/>
    </row>
    <row r="868" ht="18.75" customHeight="1">
      <c r="A868" s="64"/>
      <c r="B868" s="64"/>
      <c r="D868" s="134"/>
      <c r="J868" s="134"/>
    </row>
    <row r="869" ht="18.75" customHeight="1">
      <c r="A869" s="64"/>
      <c r="B869" s="64"/>
      <c r="D869" s="134"/>
      <c r="J869" s="134"/>
    </row>
    <row r="870" ht="18.75" customHeight="1">
      <c r="A870" s="64"/>
      <c r="B870" s="64"/>
      <c r="D870" s="134"/>
      <c r="J870" s="134"/>
    </row>
    <row r="871" ht="18.75" customHeight="1">
      <c r="A871" s="64"/>
      <c r="B871" s="64"/>
      <c r="D871" s="134"/>
      <c r="J871" s="134"/>
    </row>
    <row r="872" ht="18.75" customHeight="1">
      <c r="A872" s="64"/>
      <c r="B872" s="64"/>
      <c r="D872" s="134"/>
      <c r="J872" s="134"/>
    </row>
    <row r="873" ht="18.75" customHeight="1">
      <c r="A873" s="64"/>
      <c r="B873" s="64"/>
      <c r="D873" s="134"/>
      <c r="J873" s="134"/>
    </row>
    <row r="874" ht="18.75" customHeight="1">
      <c r="A874" s="64"/>
      <c r="B874" s="64"/>
      <c r="D874" s="134"/>
      <c r="J874" s="134"/>
    </row>
    <row r="875" ht="18.75" customHeight="1">
      <c r="A875" s="64"/>
      <c r="B875" s="64"/>
      <c r="D875" s="134"/>
      <c r="J875" s="134"/>
    </row>
    <row r="876" ht="18.75" customHeight="1">
      <c r="A876" s="64"/>
      <c r="B876" s="64"/>
      <c r="D876" s="134"/>
      <c r="J876" s="134"/>
    </row>
    <row r="877" ht="18.75" customHeight="1">
      <c r="A877" s="64"/>
      <c r="B877" s="64"/>
      <c r="D877" s="134"/>
      <c r="J877" s="134"/>
    </row>
    <row r="878" ht="18.75" customHeight="1">
      <c r="A878" s="64"/>
      <c r="B878" s="64"/>
      <c r="D878" s="134"/>
      <c r="J878" s="134"/>
    </row>
    <row r="879" ht="18.75" customHeight="1">
      <c r="A879" s="64"/>
      <c r="B879" s="64"/>
      <c r="D879" s="134"/>
      <c r="J879" s="134"/>
    </row>
    <row r="880" ht="18.75" customHeight="1">
      <c r="A880" s="64"/>
      <c r="B880" s="64"/>
      <c r="D880" s="134"/>
      <c r="J880" s="134"/>
    </row>
    <row r="881" ht="18.75" customHeight="1">
      <c r="A881" s="64"/>
      <c r="B881" s="64"/>
      <c r="D881" s="134"/>
      <c r="J881" s="134"/>
    </row>
    <row r="882" ht="18.75" customHeight="1">
      <c r="A882" s="64"/>
      <c r="B882" s="64"/>
      <c r="D882" s="134"/>
      <c r="J882" s="134"/>
    </row>
    <row r="883" ht="18.75" customHeight="1">
      <c r="A883" s="64"/>
      <c r="B883" s="64"/>
      <c r="D883" s="134"/>
      <c r="J883" s="134"/>
    </row>
    <row r="884" ht="18.75" customHeight="1">
      <c r="A884" s="64"/>
      <c r="B884" s="64"/>
      <c r="D884" s="134"/>
      <c r="J884" s="134"/>
    </row>
    <row r="885" ht="18.75" customHeight="1">
      <c r="A885" s="64"/>
      <c r="B885" s="64"/>
      <c r="D885" s="134"/>
      <c r="J885" s="134"/>
    </row>
    <row r="886" ht="18.75" customHeight="1">
      <c r="A886" s="64"/>
      <c r="B886" s="64"/>
      <c r="D886" s="134"/>
      <c r="J886" s="134"/>
    </row>
    <row r="887" ht="18.75" customHeight="1">
      <c r="A887" s="64"/>
      <c r="B887" s="64"/>
      <c r="D887" s="134"/>
      <c r="J887" s="134"/>
    </row>
    <row r="888" ht="18.75" customHeight="1">
      <c r="A888" s="64"/>
      <c r="B888" s="64"/>
      <c r="D888" s="134"/>
      <c r="J888" s="134"/>
    </row>
    <row r="889" ht="18.75" customHeight="1">
      <c r="A889" s="64"/>
      <c r="B889" s="64"/>
      <c r="D889" s="134"/>
      <c r="J889" s="134"/>
    </row>
    <row r="890" ht="18.75" customHeight="1">
      <c r="A890" s="64"/>
      <c r="B890" s="64"/>
      <c r="D890" s="134"/>
      <c r="J890" s="134"/>
    </row>
    <row r="891" ht="18.75" customHeight="1">
      <c r="A891" s="64"/>
      <c r="B891" s="64"/>
      <c r="D891" s="134"/>
      <c r="J891" s="134"/>
    </row>
    <row r="892" ht="18.75" customHeight="1">
      <c r="A892" s="64"/>
      <c r="B892" s="64"/>
      <c r="D892" s="134"/>
      <c r="J892" s="134"/>
    </row>
    <row r="893" ht="18.75" customHeight="1">
      <c r="A893" s="64"/>
      <c r="B893" s="64"/>
      <c r="D893" s="134"/>
      <c r="J893" s="134"/>
    </row>
    <row r="894" ht="18.75" customHeight="1">
      <c r="A894" s="64"/>
      <c r="B894" s="64"/>
      <c r="D894" s="134"/>
      <c r="J894" s="134"/>
    </row>
    <row r="895" ht="18.75" customHeight="1">
      <c r="A895" s="64"/>
      <c r="B895" s="64"/>
      <c r="D895" s="134"/>
      <c r="J895" s="134"/>
    </row>
    <row r="896" ht="18.75" customHeight="1">
      <c r="A896" s="64"/>
      <c r="B896" s="64"/>
      <c r="D896" s="134"/>
      <c r="J896" s="134"/>
    </row>
    <row r="897" ht="18.75" customHeight="1">
      <c r="A897" s="64"/>
      <c r="B897" s="64"/>
      <c r="D897" s="134"/>
      <c r="J897" s="134"/>
    </row>
    <row r="898" ht="18.75" customHeight="1">
      <c r="A898" s="64"/>
      <c r="B898" s="64"/>
      <c r="D898" s="134"/>
      <c r="J898" s="134"/>
    </row>
    <row r="899" ht="18.75" customHeight="1">
      <c r="A899" s="64"/>
      <c r="B899" s="64"/>
      <c r="D899" s="134"/>
      <c r="J899" s="134"/>
    </row>
    <row r="900" ht="18.75" customHeight="1">
      <c r="A900" s="64"/>
      <c r="B900" s="64"/>
      <c r="D900" s="134"/>
      <c r="J900" s="134"/>
    </row>
    <row r="901" ht="18.75" customHeight="1">
      <c r="A901" s="64"/>
      <c r="B901" s="64"/>
      <c r="D901" s="134"/>
      <c r="J901" s="134"/>
    </row>
    <row r="902" ht="18.75" customHeight="1">
      <c r="A902" s="64"/>
      <c r="B902" s="64"/>
      <c r="D902" s="134"/>
      <c r="J902" s="134"/>
    </row>
    <row r="903" ht="18.75" customHeight="1">
      <c r="A903" s="64"/>
      <c r="B903" s="64"/>
      <c r="D903" s="134"/>
      <c r="J903" s="134"/>
    </row>
    <row r="904" ht="18.75" customHeight="1">
      <c r="A904" s="64"/>
      <c r="B904" s="64"/>
      <c r="D904" s="134"/>
      <c r="J904" s="134"/>
    </row>
    <row r="905" ht="18.75" customHeight="1">
      <c r="A905" s="64"/>
      <c r="B905" s="64"/>
      <c r="D905" s="134"/>
      <c r="J905" s="134"/>
    </row>
    <row r="906" ht="18.75" customHeight="1">
      <c r="A906" s="64"/>
      <c r="B906" s="64"/>
      <c r="D906" s="134"/>
      <c r="J906" s="134"/>
    </row>
    <row r="907" ht="18.75" customHeight="1">
      <c r="A907" s="64"/>
      <c r="B907" s="64"/>
      <c r="D907" s="134"/>
      <c r="J907" s="134"/>
    </row>
    <row r="908" ht="18.75" customHeight="1">
      <c r="A908" s="64"/>
      <c r="B908" s="64"/>
      <c r="D908" s="134"/>
      <c r="J908" s="134"/>
    </row>
    <row r="909" ht="18.75" customHeight="1">
      <c r="A909" s="64"/>
      <c r="B909" s="64"/>
      <c r="D909" s="134"/>
      <c r="J909" s="134"/>
    </row>
    <row r="910" ht="18.75" customHeight="1">
      <c r="A910" s="64"/>
      <c r="B910" s="64"/>
      <c r="D910" s="134"/>
      <c r="J910" s="134"/>
    </row>
    <row r="911" ht="18.75" customHeight="1">
      <c r="A911" s="64"/>
      <c r="B911" s="64"/>
      <c r="D911" s="134"/>
      <c r="J911" s="134"/>
    </row>
    <row r="912" ht="18.75" customHeight="1">
      <c r="A912" s="64"/>
      <c r="B912" s="64"/>
      <c r="D912" s="134"/>
      <c r="J912" s="134"/>
    </row>
    <row r="913" ht="18.75" customHeight="1">
      <c r="A913" s="64"/>
      <c r="B913" s="64"/>
      <c r="D913" s="134"/>
      <c r="J913" s="134"/>
    </row>
    <row r="914" ht="18.75" customHeight="1">
      <c r="A914" s="64"/>
      <c r="B914" s="64"/>
      <c r="D914" s="134"/>
      <c r="J914" s="134"/>
    </row>
    <row r="915" ht="18.75" customHeight="1">
      <c r="A915" s="64"/>
      <c r="B915" s="64"/>
      <c r="D915" s="134"/>
      <c r="J915" s="134"/>
    </row>
    <row r="916" ht="18.75" customHeight="1">
      <c r="A916" s="64"/>
      <c r="B916" s="64"/>
      <c r="D916" s="134"/>
      <c r="J916" s="134"/>
    </row>
    <row r="917" ht="18.75" customHeight="1">
      <c r="A917" s="64"/>
      <c r="B917" s="64"/>
      <c r="D917" s="134"/>
      <c r="J917" s="134"/>
    </row>
    <row r="918" ht="18.75" customHeight="1">
      <c r="A918" s="64"/>
      <c r="B918" s="64"/>
      <c r="D918" s="134"/>
      <c r="J918" s="134"/>
    </row>
    <row r="919" ht="18.75" customHeight="1">
      <c r="A919" s="64"/>
      <c r="B919" s="64"/>
      <c r="D919" s="134"/>
      <c r="J919" s="134"/>
    </row>
    <row r="920" ht="18.75" customHeight="1">
      <c r="A920" s="64"/>
      <c r="B920" s="64"/>
      <c r="D920" s="134"/>
      <c r="J920" s="134"/>
    </row>
    <row r="921" ht="18.75" customHeight="1">
      <c r="A921" s="64"/>
      <c r="B921" s="64"/>
      <c r="D921" s="134"/>
      <c r="J921" s="134"/>
    </row>
    <row r="922" ht="18.75" customHeight="1">
      <c r="A922" s="64"/>
      <c r="B922" s="64"/>
      <c r="D922" s="134"/>
      <c r="J922" s="134"/>
    </row>
    <row r="923" ht="18.75" customHeight="1">
      <c r="A923" s="64"/>
      <c r="B923" s="64"/>
      <c r="D923" s="134"/>
      <c r="J923" s="134"/>
    </row>
    <row r="924" ht="18.75" customHeight="1">
      <c r="A924" s="64"/>
      <c r="B924" s="64"/>
      <c r="D924" s="134"/>
      <c r="J924" s="134"/>
    </row>
    <row r="925" ht="18.75" customHeight="1">
      <c r="A925" s="64"/>
      <c r="B925" s="64"/>
      <c r="D925" s="134"/>
      <c r="J925" s="134"/>
    </row>
    <row r="926" ht="18.75" customHeight="1">
      <c r="A926" s="64"/>
      <c r="B926" s="64"/>
      <c r="D926" s="134"/>
      <c r="J926" s="134"/>
    </row>
    <row r="927" ht="18.75" customHeight="1">
      <c r="A927" s="64"/>
      <c r="B927" s="64"/>
      <c r="D927" s="134"/>
      <c r="J927" s="134"/>
    </row>
    <row r="928" ht="18.75" customHeight="1">
      <c r="A928" s="64"/>
      <c r="B928" s="64"/>
      <c r="D928" s="134"/>
      <c r="J928" s="134"/>
    </row>
    <row r="929" ht="18.75" customHeight="1">
      <c r="A929" s="64"/>
      <c r="B929" s="64"/>
      <c r="D929" s="134"/>
      <c r="J929" s="134"/>
    </row>
    <row r="930" ht="18.75" customHeight="1">
      <c r="A930" s="64"/>
      <c r="B930" s="64"/>
      <c r="D930" s="134"/>
      <c r="J930" s="134"/>
    </row>
    <row r="931" ht="18.75" customHeight="1">
      <c r="A931" s="64"/>
      <c r="B931" s="64"/>
      <c r="D931" s="134"/>
      <c r="J931" s="134"/>
    </row>
    <row r="932" ht="18.75" customHeight="1">
      <c r="A932" s="64"/>
      <c r="B932" s="64"/>
      <c r="D932" s="134"/>
      <c r="J932" s="134"/>
    </row>
    <row r="933" ht="18.75" customHeight="1">
      <c r="A933" s="64"/>
      <c r="B933" s="64"/>
      <c r="D933" s="134"/>
      <c r="J933" s="134"/>
    </row>
    <row r="934" ht="18.75" customHeight="1">
      <c r="A934" s="64"/>
      <c r="B934" s="64"/>
      <c r="D934" s="134"/>
      <c r="J934" s="134"/>
    </row>
    <row r="935" ht="18.75" customHeight="1">
      <c r="A935" s="64"/>
      <c r="B935" s="64"/>
      <c r="D935" s="134"/>
      <c r="J935" s="134"/>
    </row>
    <row r="936" ht="18.75" customHeight="1">
      <c r="A936" s="64"/>
      <c r="B936" s="64"/>
      <c r="D936" s="134"/>
      <c r="J936" s="134"/>
    </row>
    <row r="937" ht="18.75" customHeight="1">
      <c r="A937" s="64"/>
      <c r="B937" s="64"/>
      <c r="D937" s="134"/>
      <c r="J937" s="134"/>
    </row>
    <row r="938" ht="18.75" customHeight="1">
      <c r="A938" s="64"/>
      <c r="B938" s="64"/>
      <c r="D938" s="134"/>
      <c r="J938" s="134"/>
    </row>
    <row r="939" ht="18.75" customHeight="1">
      <c r="A939" s="64"/>
      <c r="B939" s="64"/>
      <c r="D939" s="134"/>
      <c r="J939" s="134"/>
    </row>
    <row r="940" ht="18.75" customHeight="1">
      <c r="A940" s="64"/>
      <c r="B940" s="64"/>
      <c r="D940" s="134"/>
      <c r="J940" s="134"/>
    </row>
    <row r="941" ht="18.75" customHeight="1">
      <c r="A941" s="64"/>
      <c r="B941" s="64"/>
      <c r="D941" s="134"/>
      <c r="J941" s="134"/>
    </row>
    <row r="942" ht="18.75" customHeight="1">
      <c r="A942" s="64"/>
      <c r="B942" s="64"/>
      <c r="D942" s="134"/>
      <c r="J942" s="134"/>
    </row>
    <row r="943" ht="18.75" customHeight="1">
      <c r="A943" s="64"/>
      <c r="B943" s="64"/>
      <c r="D943" s="134"/>
      <c r="J943" s="134"/>
    </row>
    <row r="944" ht="18.75" customHeight="1">
      <c r="A944" s="64"/>
      <c r="B944" s="64"/>
      <c r="D944" s="134"/>
      <c r="J944" s="134"/>
    </row>
    <row r="945" ht="18.75" customHeight="1">
      <c r="A945" s="64"/>
      <c r="B945" s="64"/>
      <c r="D945" s="134"/>
      <c r="J945" s="134"/>
    </row>
    <row r="946" ht="18.75" customHeight="1">
      <c r="A946" s="64"/>
      <c r="B946" s="64"/>
      <c r="D946" s="134"/>
      <c r="J946" s="134"/>
    </row>
    <row r="947" ht="18.75" customHeight="1">
      <c r="A947" s="64"/>
      <c r="B947" s="64"/>
      <c r="D947" s="134"/>
      <c r="J947" s="134"/>
    </row>
    <row r="948" ht="18.75" customHeight="1">
      <c r="A948" s="64"/>
      <c r="B948" s="64"/>
      <c r="D948" s="134"/>
      <c r="J948" s="134"/>
    </row>
    <row r="949" ht="18.75" customHeight="1">
      <c r="A949" s="64"/>
      <c r="B949" s="64"/>
      <c r="D949" s="134"/>
      <c r="J949" s="134"/>
    </row>
    <row r="950" ht="18.75" customHeight="1">
      <c r="A950" s="64"/>
      <c r="B950" s="64"/>
      <c r="D950" s="134"/>
      <c r="J950" s="134"/>
    </row>
    <row r="951" ht="18.75" customHeight="1">
      <c r="A951" s="64"/>
      <c r="B951" s="64"/>
      <c r="D951" s="134"/>
      <c r="J951" s="134"/>
    </row>
    <row r="952" ht="18.75" customHeight="1">
      <c r="A952" s="64"/>
      <c r="B952" s="64"/>
      <c r="D952" s="134"/>
      <c r="J952" s="134"/>
    </row>
    <row r="953" ht="18.75" customHeight="1">
      <c r="A953" s="64"/>
      <c r="B953" s="64"/>
      <c r="D953" s="134"/>
      <c r="J953" s="134"/>
    </row>
    <row r="954" ht="18.75" customHeight="1">
      <c r="A954" s="64"/>
      <c r="B954" s="64"/>
      <c r="D954" s="134"/>
      <c r="J954" s="134"/>
    </row>
    <row r="955" ht="18.75" customHeight="1">
      <c r="A955" s="64"/>
      <c r="B955" s="64"/>
      <c r="D955" s="134"/>
      <c r="J955" s="134"/>
    </row>
    <row r="956" ht="18.75" customHeight="1">
      <c r="A956" s="64"/>
      <c r="B956" s="64"/>
      <c r="D956" s="134"/>
      <c r="J956" s="134"/>
    </row>
    <row r="957" ht="18.75" customHeight="1">
      <c r="A957" s="64"/>
      <c r="B957" s="64"/>
      <c r="D957" s="134"/>
      <c r="J957" s="134"/>
    </row>
    <row r="958" ht="18.75" customHeight="1">
      <c r="A958" s="64"/>
      <c r="B958" s="64"/>
      <c r="D958" s="134"/>
      <c r="J958" s="134"/>
    </row>
    <row r="959" ht="18.75" customHeight="1">
      <c r="A959" s="64"/>
      <c r="B959" s="64"/>
      <c r="D959" s="134"/>
      <c r="J959" s="134"/>
    </row>
    <row r="960" ht="18.75" customHeight="1">
      <c r="A960" s="64"/>
      <c r="B960" s="64"/>
      <c r="D960" s="134"/>
      <c r="J960" s="134"/>
    </row>
    <row r="961" ht="18.75" customHeight="1">
      <c r="A961" s="64"/>
      <c r="B961" s="64"/>
      <c r="D961" s="134"/>
      <c r="J961" s="134"/>
    </row>
    <row r="962" ht="18.75" customHeight="1">
      <c r="A962" s="64"/>
      <c r="B962" s="64"/>
      <c r="D962" s="134"/>
      <c r="J962" s="134"/>
    </row>
    <row r="963" ht="18.75" customHeight="1">
      <c r="A963" s="64"/>
      <c r="B963" s="64"/>
      <c r="D963" s="134"/>
      <c r="J963" s="134"/>
    </row>
    <row r="964" ht="18.75" customHeight="1">
      <c r="A964" s="64"/>
      <c r="B964" s="64"/>
      <c r="D964" s="134"/>
      <c r="J964" s="134"/>
    </row>
    <row r="965" ht="18.75" customHeight="1">
      <c r="A965" s="64"/>
      <c r="B965" s="64"/>
      <c r="D965" s="134"/>
      <c r="J965" s="134"/>
    </row>
    <row r="966" ht="18.75" customHeight="1">
      <c r="A966" s="64"/>
      <c r="B966" s="64"/>
      <c r="D966" s="134"/>
      <c r="J966" s="134"/>
    </row>
    <row r="967" ht="18.75" customHeight="1">
      <c r="A967" s="64"/>
      <c r="B967" s="64"/>
      <c r="D967" s="134"/>
      <c r="J967" s="134"/>
    </row>
    <row r="968" ht="18.75" customHeight="1">
      <c r="A968" s="64"/>
      <c r="B968" s="64"/>
      <c r="D968" s="134"/>
      <c r="J968" s="134"/>
    </row>
    <row r="969" ht="18.75" customHeight="1">
      <c r="A969" s="64"/>
      <c r="B969" s="64"/>
      <c r="D969" s="134"/>
      <c r="J969" s="134"/>
    </row>
    <row r="970" ht="18.75" customHeight="1">
      <c r="A970" s="64"/>
      <c r="B970" s="64"/>
      <c r="D970" s="134"/>
      <c r="J970" s="134"/>
    </row>
    <row r="971" ht="18.75" customHeight="1">
      <c r="A971" s="64"/>
      <c r="B971" s="64"/>
      <c r="D971" s="134"/>
      <c r="J971" s="134"/>
    </row>
    <row r="972" ht="18.75" customHeight="1">
      <c r="A972" s="64"/>
      <c r="B972" s="64"/>
      <c r="D972" s="134"/>
      <c r="J972" s="134"/>
    </row>
    <row r="973" ht="18.75" customHeight="1">
      <c r="A973" s="64"/>
      <c r="B973" s="64"/>
      <c r="D973" s="134"/>
      <c r="J973" s="134"/>
    </row>
    <row r="974" ht="18.75" customHeight="1">
      <c r="A974" s="64"/>
      <c r="B974" s="64"/>
      <c r="D974" s="134"/>
      <c r="J974" s="134"/>
    </row>
    <row r="975" ht="18.75" customHeight="1">
      <c r="A975" s="64"/>
      <c r="B975" s="64"/>
      <c r="D975" s="134"/>
      <c r="J975" s="134"/>
    </row>
    <row r="976" ht="18.75" customHeight="1">
      <c r="A976" s="64"/>
      <c r="B976" s="64"/>
      <c r="D976" s="134"/>
      <c r="J976" s="134"/>
    </row>
    <row r="977" ht="18.75" customHeight="1">
      <c r="A977" s="64"/>
      <c r="B977" s="64"/>
      <c r="D977" s="134"/>
      <c r="J977" s="134"/>
    </row>
    <row r="978" ht="18.75" customHeight="1">
      <c r="A978" s="64"/>
      <c r="B978" s="64"/>
      <c r="D978" s="134"/>
      <c r="J978" s="134"/>
    </row>
    <row r="979" ht="18.75" customHeight="1">
      <c r="A979" s="64"/>
      <c r="B979" s="64"/>
      <c r="D979" s="134"/>
      <c r="J979" s="134"/>
    </row>
    <row r="980" ht="18.75" customHeight="1">
      <c r="A980" s="64"/>
      <c r="B980" s="64"/>
      <c r="D980" s="134"/>
      <c r="J980" s="134"/>
    </row>
    <row r="981" ht="18.75" customHeight="1">
      <c r="A981" s="64"/>
      <c r="B981" s="64"/>
      <c r="D981" s="134"/>
      <c r="J981" s="134"/>
    </row>
    <row r="982" ht="18.75" customHeight="1">
      <c r="A982" s="64"/>
      <c r="B982" s="64"/>
      <c r="D982" s="134"/>
      <c r="J982" s="134"/>
    </row>
    <row r="983" ht="18.75" customHeight="1">
      <c r="A983" s="64"/>
      <c r="B983" s="64"/>
      <c r="D983" s="134"/>
      <c r="J983" s="134"/>
    </row>
    <row r="984" ht="18.75" customHeight="1">
      <c r="A984" s="64"/>
      <c r="B984" s="64"/>
      <c r="D984" s="134"/>
      <c r="J984" s="134"/>
    </row>
    <row r="985" ht="18.75" customHeight="1">
      <c r="A985" s="64"/>
      <c r="B985" s="64"/>
      <c r="D985" s="134"/>
      <c r="J985" s="134"/>
    </row>
    <row r="986" ht="18.75" customHeight="1">
      <c r="A986" s="64"/>
      <c r="B986" s="64"/>
      <c r="D986" s="134"/>
      <c r="J986" s="134"/>
    </row>
    <row r="987" ht="18.75" customHeight="1">
      <c r="A987" s="64"/>
      <c r="B987" s="64"/>
      <c r="D987" s="134"/>
      <c r="J987" s="134"/>
    </row>
    <row r="988" ht="18.75" customHeight="1">
      <c r="A988" s="64"/>
      <c r="B988" s="64"/>
      <c r="D988" s="134"/>
      <c r="J988" s="134"/>
    </row>
    <row r="989" ht="18.75" customHeight="1">
      <c r="A989" s="64"/>
      <c r="B989" s="64"/>
      <c r="D989" s="134"/>
      <c r="J989" s="134"/>
    </row>
    <row r="990" ht="18.75" customHeight="1">
      <c r="A990" s="64"/>
      <c r="B990" s="64"/>
      <c r="D990" s="134"/>
      <c r="J990" s="134"/>
    </row>
    <row r="991" ht="18.75" customHeight="1">
      <c r="A991" s="64"/>
      <c r="B991" s="64"/>
      <c r="D991" s="134"/>
      <c r="J991" s="134"/>
    </row>
    <row r="992" ht="18.75" customHeight="1">
      <c r="A992" s="64"/>
      <c r="B992" s="64"/>
      <c r="D992" s="134"/>
      <c r="J992" s="134"/>
    </row>
    <row r="993" ht="18.75" customHeight="1">
      <c r="A993" s="64"/>
      <c r="B993" s="64"/>
      <c r="D993" s="134"/>
      <c r="J993" s="134"/>
    </row>
    <row r="994" ht="18.75" customHeight="1">
      <c r="A994" s="64"/>
      <c r="B994" s="64"/>
      <c r="D994" s="134"/>
      <c r="J994" s="134"/>
    </row>
    <row r="995" ht="18.75" customHeight="1">
      <c r="A995" s="64"/>
      <c r="B995" s="64"/>
      <c r="D995" s="134"/>
      <c r="J995" s="134"/>
    </row>
    <row r="996" ht="18.75" customHeight="1">
      <c r="A996" s="64"/>
      <c r="B996" s="64"/>
      <c r="D996" s="134"/>
      <c r="J996" s="134"/>
    </row>
    <row r="997" ht="18.75" customHeight="1">
      <c r="A997" s="64"/>
      <c r="B997" s="64"/>
      <c r="D997" s="134"/>
      <c r="J997" s="134"/>
    </row>
    <row r="998" ht="18.75" customHeight="1">
      <c r="A998" s="64"/>
      <c r="B998" s="64"/>
      <c r="D998" s="134"/>
      <c r="J998" s="134"/>
    </row>
    <row r="999" ht="18.75" customHeight="1">
      <c r="A999" s="64"/>
      <c r="B999" s="64"/>
      <c r="D999" s="134"/>
      <c r="J999" s="134"/>
    </row>
    <row r="1000" ht="18.75" customHeight="1">
      <c r="A1000" s="64"/>
      <c r="B1000" s="64"/>
      <c r="D1000" s="134"/>
      <c r="J1000" s="13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4282</v>
      </c>
      <c r="B1" s="37" t="s">
        <v>4283</v>
      </c>
      <c r="C1" s="37" t="s">
        <v>3629</v>
      </c>
      <c r="D1" s="64" t="s">
        <v>2620</v>
      </c>
      <c r="E1" s="37" t="s">
        <v>4284</v>
      </c>
      <c r="F1" s="37" t="s">
        <v>4285</v>
      </c>
      <c r="G1" s="37" t="s">
        <v>4286</v>
      </c>
      <c r="H1" s="37" t="s">
        <v>4287</v>
      </c>
      <c r="I1" s="37" t="s">
        <v>4288</v>
      </c>
      <c r="J1" s="37" t="s">
        <v>4289</v>
      </c>
      <c r="K1" s="37" t="s">
        <v>4290</v>
      </c>
      <c r="L1" s="37" t="s">
        <v>4291</v>
      </c>
      <c r="M1" s="37" t="s">
        <v>4292</v>
      </c>
      <c r="N1" s="37" t="s">
        <v>4293</v>
      </c>
    </row>
    <row r="2" ht="18.75" customHeight="1">
      <c r="A2" s="37" t="s">
        <v>4294</v>
      </c>
      <c r="C2" s="37" t="s">
        <v>4295</v>
      </c>
      <c r="D2" s="64" t="s">
        <v>4296</v>
      </c>
    </row>
    <row r="3" ht="18.75" customHeight="1">
      <c r="A3" s="37" t="s">
        <v>4297</v>
      </c>
      <c r="C3" s="37" t="s">
        <v>4295</v>
      </c>
      <c r="D3" s="64" t="s">
        <v>4298</v>
      </c>
    </row>
    <row r="4" ht="18.75" customHeight="1">
      <c r="A4" s="37" t="s">
        <v>4299</v>
      </c>
      <c r="C4" s="37" t="s">
        <v>4300</v>
      </c>
      <c r="D4" s="64" t="s">
        <v>4301</v>
      </c>
      <c r="E4" s="37" t="s">
        <v>2596</v>
      </c>
    </row>
    <row r="5" ht="18.75" customHeight="1">
      <c r="A5" s="37" t="s">
        <v>4302</v>
      </c>
      <c r="C5" s="37" t="s">
        <v>4300</v>
      </c>
      <c r="D5" s="64" t="s">
        <v>4303</v>
      </c>
      <c r="E5" s="37" t="s">
        <v>2429</v>
      </c>
    </row>
    <row r="6" ht="18.75" customHeight="1">
      <c r="A6" s="37" t="s">
        <v>4304</v>
      </c>
      <c r="C6" s="37" t="s">
        <v>4300</v>
      </c>
      <c r="D6" s="64" t="s">
        <v>4305</v>
      </c>
      <c r="E6" s="37" t="s">
        <v>1179</v>
      </c>
    </row>
    <row r="7" ht="18.75" customHeight="1">
      <c r="A7" s="37" t="s">
        <v>4306</v>
      </c>
      <c r="C7" s="37" t="s">
        <v>4300</v>
      </c>
      <c r="D7" s="64" t="s">
        <v>4307</v>
      </c>
      <c r="E7" s="37" t="s">
        <v>2593</v>
      </c>
    </row>
    <row r="8" ht="18.75" customHeight="1">
      <c r="A8" s="37" t="s">
        <v>4308</v>
      </c>
      <c r="C8" s="37" t="s">
        <v>4300</v>
      </c>
      <c r="D8" s="64" t="s">
        <v>4309</v>
      </c>
      <c r="E8" s="37" t="s">
        <v>2603</v>
      </c>
    </row>
    <row r="9" ht="18.75" customHeight="1">
      <c r="A9" s="37" t="s">
        <v>4310</v>
      </c>
      <c r="C9" s="37" t="s">
        <v>4310</v>
      </c>
      <c r="D9" s="64" t="s">
        <v>4311</v>
      </c>
    </row>
    <row r="10" ht="18.75" customHeight="1">
      <c r="A10" s="37" t="s">
        <v>3184</v>
      </c>
      <c r="C10" s="37" t="s">
        <v>4310</v>
      </c>
      <c r="D10" s="64" t="s">
        <v>4312</v>
      </c>
    </row>
    <row r="11" ht="18.75" customHeight="1">
      <c r="A11" s="37" t="s">
        <v>4313</v>
      </c>
      <c r="C11" s="37" t="s">
        <v>4310</v>
      </c>
      <c r="D11" s="64" t="s">
        <v>4314</v>
      </c>
    </row>
    <row r="12" ht="18.75" customHeight="1">
      <c r="A12" s="37" t="s">
        <v>4315</v>
      </c>
      <c r="C12" s="37" t="s">
        <v>4316</v>
      </c>
      <c r="D12" s="64" t="s">
        <v>4317</v>
      </c>
    </row>
    <row r="13" ht="18.75" customHeight="1">
      <c r="A13" s="37" t="s">
        <v>4318</v>
      </c>
      <c r="C13" s="37" t="s">
        <v>4319</v>
      </c>
      <c r="D13" s="64" t="s">
        <v>4320</v>
      </c>
    </row>
    <row r="14" ht="18.75" customHeight="1">
      <c r="A14" s="37" t="s">
        <v>2593</v>
      </c>
      <c r="D14" s="64"/>
    </row>
    <row r="15" ht="18.75" customHeight="1">
      <c r="A15" s="37" t="s">
        <v>2917</v>
      </c>
      <c r="C15" s="37" t="s">
        <v>4321</v>
      </c>
      <c r="D15" s="64" t="s">
        <v>4322</v>
      </c>
    </row>
    <row r="16" ht="18.75" customHeight="1">
      <c r="A16" s="37" t="s">
        <v>2918</v>
      </c>
      <c r="C16" s="37" t="s">
        <v>4321</v>
      </c>
      <c r="D16" s="64" t="s">
        <v>4323</v>
      </c>
    </row>
    <row r="17" ht="18.75" customHeight="1">
      <c r="A17" s="37" t="s">
        <v>4324</v>
      </c>
      <c r="C17" s="37" t="s">
        <v>4325</v>
      </c>
      <c r="D17" s="64" t="s">
        <v>4326</v>
      </c>
    </row>
    <row r="18" ht="18.75" customHeight="1">
      <c r="A18" s="37" t="s">
        <v>4327</v>
      </c>
      <c r="C18" s="37" t="s">
        <v>4328</v>
      </c>
      <c r="D18" s="64" t="s">
        <v>4329</v>
      </c>
    </row>
    <row r="19" ht="18.75" customHeight="1">
      <c r="A19" s="37" t="s">
        <v>4330</v>
      </c>
      <c r="C19" s="37" t="s">
        <v>4331</v>
      </c>
      <c r="D19" s="64" t="s">
        <v>4332</v>
      </c>
    </row>
    <row r="20" ht="18.75" customHeight="1">
      <c r="A20" s="37" t="s">
        <v>4333</v>
      </c>
      <c r="C20" s="37" t="s">
        <v>4331</v>
      </c>
      <c r="D20" s="64" t="s">
        <v>4334</v>
      </c>
    </row>
    <row r="21" ht="18.75" customHeight="1">
      <c r="A21" s="37" t="s">
        <v>4335</v>
      </c>
      <c r="C21" s="37" t="s">
        <v>2630</v>
      </c>
      <c r="D21" s="64" t="s">
        <v>4336</v>
      </c>
    </row>
    <row r="22" ht="18.75" customHeight="1">
      <c r="A22" s="37" t="s">
        <v>849</v>
      </c>
      <c r="C22" s="37" t="s">
        <v>4337</v>
      </c>
      <c r="D22" s="64" t="s">
        <v>4338</v>
      </c>
    </row>
    <row r="23" ht="18.75" customHeight="1">
      <c r="A23" s="37" t="s">
        <v>1845</v>
      </c>
      <c r="D23" s="64" t="s">
        <v>4339</v>
      </c>
    </row>
    <row r="24" ht="18.75" customHeight="1">
      <c r="A24" s="37" t="s">
        <v>3185</v>
      </c>
      <c r="D24" s="64" t="s">
        <v>4340</v>
      </c>
    </row>
    <row r="25" ht="18.75" customHeight="1">
      <c r="D25" s="64"/>
    </row>
    <row r="26" ht="18.75" customHeight="1">
      <c r="A26" s="37" t="s">
        <v>4327</v>
      </c>
      <c r="D26" s="64"/>
    </row>
    <row r="27" ht="18.75" customHeight="1">
      <c r="D27" s="64"/>
    </row>
    <row r="28" ht="18.75" customHeight="1">
      <c r="A28" s="37" t="s">
        <v>4341</v>
      </c>
      <c r="D28" s="64"/>
    </row>
    <row r="29" ht="18.75" customHeight="1">
      <c r="A29" s="136" t="s">
        <v>2623</v>
      </c>
      <c r="B29" s="136">
        <v>12.0</v>
      </c>
      <c r="C29" s="37" t="s">
        <v>4342</v>
      </c>
      <c r="D29" s="64" t="s">
        <v>4343</v>
      </c>
      <c r="E29" s="37" t="s">
        <v>2599</v>
      </c>
    </row>
    <row r="30" ht="18.75" customHeight="1">
      <c r="A30" s="136" t="s">
        <v>2624</v>
      </c>
      <c r="B30" s="136">
        <v>13.0</v>
      </c>
      <c r="C30" s="37" t="s">
        <v>4342</v>
      </c>
      <c r="D30" s="64" t="s">
        <v>4344</v>
      </c>
      <c r="E30" s="37" t="s">
        <v>2599</v>
      </c>
    </row>
    <row r="31" ht="18.75" customHeight="1">
      <c r="A31" s="136" t="s">
        <v>2625</v>
      </c>
      <c r="B31" s="136">
        <v>14.0</v>
      </c>
      <c r="C31" s="37" t="s">
        <v>4342</v>
      </c>
      <c r="D31" s="64" t="s">
        <v>4345</v>
      </c>
      <c r="E31" s="37" t="s">
        <v>2599</v>
      </c>
    </row>
    <row r="32" ht="18.75" customHeight="1">
      <c r="A32" s="136" t="s">
        <v>2626</v>
      </c>
      <c r="B32" s="136">
        <v>15.0</v>
      </c>
      <c r="C32" s="37" t="s">
        <v>4342</v>
      </c>
      <c r="D32" s="64" t="s">
        <v>4346</v>
      </c>
      <c r="E32" s="37" t="s">
        <v>2601</v>
      </c>
    </row>
    <row r="33" ht="18.75" customHeight="1">
      <c r="A33" s="137" t="s">
        <v>3171</v>
      </c>
      <c r="B33" s="137">
        <v>10.0</v>
      </c>
      <c r="C33" s="37" t="s">
        <v>3171</v>
      </c>
      <c r="D33" s="64" t="s">
        <v>4347</v>
      </c>
      <c r="E33" s="37" t="s">
        <v>2600</v>
      </c>
    </row>
    <row r="34" ht="18.75" customHeight="1">
      <c r="A34" s="137" t="s">
        <v>3172</v>
      </c>
      <c r="B34" s="137">
        <v>9.0</v>
      </c>
      <c r="C34" s="37" t="s">
        <v>3171</v>
      </c>
      <c r="D34" s="64" t="s">
        <v>4348</v>
      </c>
      <c r="E34" s="37" t="s">
        <v>2600</v>
      </c>
    </row>
    <row r="35" ht="18.75" customHeight="1">
      <c r="A35" s="137" t="s">
        <v>3173</v>
      </c>
      <c r="B35" s="137">
        <v>8.0</v>
      </c>
      <c r="C35" s="37" t="s">
        <v>3171</v>
      </c>
      <c r="D35" s="64" t="s">
        <v>4349</v>
      </c>
      <c r="E35" s="37" t="s">
        <v>2600</v>
      </c>
    </row>
    <row r="36" ht="18.75" customHeight="1">
      <c r="A36" s="138" t="s">
        <v>3174</v>
      </c>
      <c r="B36" s="138">
        <v>11.0</v>
      </c>
      <c r="C36" s="37" t="s">
        <v>3174</v>
      </c>
      <c r="D36" s="64" t="s">
        <v>4350</v>
      </c>
      <c r="E36" s="37" t="s">
        <v>2602</v>
      </c>
    </row>
    <row r="37" ht="18.75" customHeight="1">
      <c r="A37" s="138" t="s">
        <v>3175</v>
      </c>
      <c r="B37" s="138">
        <v>4.0</v>
      </c>
      <c r="C37" s="37" t="s">
        <v>4351</v>
      </c>
      <c r="D37" s="64" t="s">
        <v>4352</v>
      </c>
      <c r="E37" s="37" t="s">
        <v>2602</v>
      </c>
    </row>
    <row r="38" ht="18.75" customHeight="1">
      <c r="A38" s="138" t="s">
        <v>3176</v>
      </c>
      <c r="B38" s="138">
        <v>3.0</v>
      </c>
      <c r="C38" s="37" t="s">
        <v>4351</v>
      </c>
      <c r="D38" s="64" t="s">
        <v>4353</v>
      </c>
      <c r="E38" s="37" t="s">
        <v>2602</v>
      </c>
    </row>
    <row r="39" ht="18.75" customHeight="1">
      <c r="A39" s="138" t="s">
        <v>3177</v>
      </c>
      <c r="B39" s="138">
        <v>2.0</v>
      </c>
      <c r="C39" s="37" t="s">
        <v>4351</v>
      </c>
      <c r="D39" s="64" t="s">
        <v>4354</v>
      </c>
      <c r="E39" s="37" t="s">
        <v>2602</v>
      </c>
    </row>
    <row r="40" ht="18.75" customHeight="1">
      <c r="A40" s="138" t="s">
        <v>3178</v>
      </c>
      <c r="B40" s="138">
        <v>1.0</v>
      </c>
      <c r="C40" s="37" t="s">
        <v>4351</v>
      </c>
      <c r="D40" s="64" t="s">
        <v>4355</v>
      </c>
      <c r="E40" s="37" t="s">
        <v>2602</v>
      </c>
    </row>
    <row r="41" ht="18.75" customHeight="1">
      <c r="A41" s="74" t="s">
        <v>3179</v>
      </c>
      <c r="B41" s="74">
        <v>6.0</v>
      </c>
      <c r="C41" s="37" t="s">
        <v>4356</v>
      </c>
      <c r="D41" s="64" t="s">
        <v>4357</v>
      </c>
      <c r="E41" s="37" t="s">
        <v>2602</v>
      </c>
    </row>
    <row r="42" ht="18.75" customHeight="1">
      <c r="A42" s="74" t="s">
        <v>3180</v>
      </c>
      <c r="B42" s="74">
        <v>7.0</v>
      </c>
      <c r="C42" s="37" t="s">
        <v>4356</v>
      </c>
      <c r="D42" s="64" t="s">
        <v>4358</v>
      </c>
      <c r="E42" s="37" t="s">
        <v>2602</v>
      </c>
    </row>
    <row r="43" ht="18.75" customHeight="1">
      <c r="A43" s="74" t="s">
        <v>3181</v>
      </c>
      <c r="B43" s="74">
        <v>5.0</v>
      </c>
      <c r="C43" s="37" t="s">
        <v>3181</v>
      </c>
      <c r="D43" s="64" t="s">
        <v>4359</v>
      </c>
      <c r="E43" s="37" t="s">
        <v>2602</v>
      </c>
    </row>
    <row r="44" ht="18.75" customHeight="1">
      <c r="A44" s="139" t="s">
        <v>2628</v>
      </c>
      <c r="B44" s="139">
        <v>17.0</v>
      </c>
      <c r="C44" s="37" t="s">
        <v>4360</v>
      </c>
      <c r="D44" s="64" t="s">
        <v>4361</v>
      </c>
    </row>
    <row r="45" ht="18.75" customHeight="1">
      <c r="A45" s="139" t="s">
        <v>2627</v>
      </c>
      <c r="B45" s="139">
        <v>16.0</v>
      </c>
      <c r="C45" s="37" t="s">
        <v>4360</v>
      </c>
      <c r="D45" s="64" t="s">
        <v>4362</v>
      </c>
    </row>
    <row r="46" ht="18.75" customHeight="1">
      <c r="A46" s="37" t="s">
        <v>4363</v>
      </c>
      <c r="D46" s="64"/>
    </row>
    <row r="47" ht="18.75" customHeight="1">
      <c r="A47" s="74" t="s">
        <v>4364</v>
      </c>
      <c r="B47" s="74"/>
      <c r="D47" s="64"/>
    </row>
    <row r="48" ht="18.75" customHeight="1">
      <c r="A48" s="74" t="s">
        <v>4365</v>
      </c>
      <c r="B48" s="74"/>
      <c r="D48" s="64"/>
    </row>
    <row r="49" ht="18.75" customHeight="1">
      <c r="A49" s="74" t="s">
        <v>4366</v>
      </c>
      <c r="B49" s="74"/>
      <c r="D49" s="64"/>
    </row>
    <row r="50" ht="18.75" customHeight="1">
      <c r="A50" s="37" t="s">
        <v>4367</v>
      </c>
      <c r="C50" s="37" t="s">
        <v>4368</v>
      </c>
      <c r="D50" s="64" t="s">
        <v>4369</v>
      </c>
      <c r="F50" s="37" t="s">
        <v>4370</v>
      </c>
      <c r="G50" s="37" t="s">
        <v>2917</v>
      </c>
      <c r="H50" s="37">
        <v>1.0</v>
      </c>
      <c r="I50" s="37">
        <v>0.0</v>
      </c>
      <c r="J50" s="37">
        <v>1.0</v>
      </c>
      <c r="K50" s="37">
        <v>1.0</v>
      </c>
      <c r="L50" s="37" t="b">
        <v>0</v>
      </c>
      <c r="M50" s="37">
        <v>1.0</v>
      </c>
    </row>
    <row r="51" ht="18.75" customHeight="1">
      <c r="A51" s="37" t="s">
        <v>4371</v>
      </c>
      <c r="C51" s="37" t="s">
        <v>4368</v>
      </c>
      <c r="D51" s="98" t="s">
        <v>4372</v>
      </c>
      <c r="F51" s="37" t="s">
        <v>4373</v>
      </c>
      <c r="G51" s="37" t="s">
        <v>2918</v>
      </c>
      <c r="H51" s="37">
        <v>1.0</v>
      </c>
      <c r="I51" s="39">
        <v>3.0</v>
      </c>
      <c r="J51" s="39">
        <v>2.0</v>
      </c>
      <c r="K51" s="39">
        <v>3.0</v>
      </c>
      <c r="L51" s="37" t="b">
        <v>1</v>
      </c>
      <c r="M51" s="37">
        <v>2.0</v>
      </c>
    </row>
    <row r="52" ht="18.75" customHeight="1">
      <c r="A52" s="37" t="s">
        <v>4374</v>
      </c>
      <c r="C52" s="37" t="s">
        <v>4368</v>
      </c>
      <c r="D52" s="64" t="s">
        <v>4375</v>
      </c>
      <c r="F52" s="37" t="s">
        <v>4376</v>
      </c>
      <c r="G52" s="37" t="s">
        <v>4377</v>
      </c>
      <c r="H52" s="37">
        <v>3.0</v>
      </c>
      <c r="I52" s="37">
        <v>5.0</v>
      </c>
      <c r="J52" s="37">
        <v>3.0</v>
      </c>
      <c r="K52" s="37">
        <v>5.0</v>
      </c>
      <c r="L52" s="37" t="b">
        <v>1</v>
      </c>
      <c r="M52" s="37">
        <v>3.0</v>
      </c>
    </row>
    <row r="53" ht="18.75" customHeight="1">
      <c r="A53" s="37">
        <v>1.0</v>
      </c>
      <c r="C53" s="37" t="s">
        <v>4378</v>
      </c>
      <c r="D53" s="64" t="s">
        <v>4379</v>
      </c>
      <c r="N53" s="37">
        <v>1.0</v>
      </c>
    </row>
    <row r="54" ht="18.75" customHeight="1">
      <c r="A54" s="37">
        <v>2.0</v>
      </c>
      <c r="C54" s="37" t="s">
        <v>4378</v>
      </c>
      <c r="D54" s="64" t="s">
        <v>4380</v>
      </c>
      <c r="N54" s="37">
        <v>1.15</v>
      </c>
    </row>
    <row r="55" ht="18.75" customHeight="1">
      <c r="A55" s="37">
        <v>3.0</v>
      </c>
      <c r="C55" s="37" t="s">
        <v>4378</v>
      </c>
      <c r="D55" s="64" t="s">
        <v>4381</v>
      </c>
      <c r="N55" s="37">
        <v>1.3</v>
      </c>
    </row>
    <row r="56" ht="18.75" customHeight="1">
      <c r="A56" s="37">
        <v>4.0</v>
      </c>
      <c r="C56" s="37" t="s">
        <v>4378</v>
      </c>
      <c r="D56" s="64" t="s">
        <v>4382</v>
      </c>
      <c r="N56" s="37">
        <v>1.5</v>
      </c>
    </row>
    <row r="57" ht="18.75" customHeight="1">
      <c r="A57" s="39" t="s">
        <v>4383</v>
      </c>
      <c r="B57" s="39" t="s">
        <v>29</v>
      </c>
      <c r="C57" s="39" t="s">
        <v>4300</v>
      </c>
      <c r="D57" s="98" t="s">
        <v>4384</v>
      </c>
      <c r="E57" s="39" t="s">
        <v>2596</v>
      </c>
    </row>
    <row r="58" ht="18.75" customHeight="1">
      <c r="A58" s="39" t="s">
        <v>4385</v>
      </c>
      <c r="B58" s="39" t="s">
        <v>29</v>
      </c>
      <c r="C58" s="39" t="s">
        <v>4300</v>
      </c>
      <c r="D58" s="98" t="s">
        <v>4386</v>
      </c>
      <c r="E58" s="39" t="s">
        <v>2596</v>
      </c>
    </row>
    <row r="59" ht="18.75" customHeight="1">
      <c r="A59" s="39" t="s">
        <v>4387</v>
      </c>
      <c r="B59" s="39" t="s">
        <v>29</v>
      </c>
      <c r="C59" s="39" t="s">
        <v>4300</v>
      </c>
      <c r="D59" s="98" t="s">
        <v>4388</v>
      </c>
      <c r="E59" s="39" t="s">
        <v>2596</v>
      </c>
    </row>
    <row r="60" ht="18.75" customHeight="1">
      <c r="A60" s="39" t="s">
        <v>4389</v>
      </c>
      <c r="C60" s="39" t="s">
        <v>4300</v>
      </c>
      <c r="D60" s="98" t="s">
        <v>4390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4391</v>
      </c>
      <c r="B1" s="140" t="s">
        <v>4392</v>
      </c>
      <c r="C1" s="37" t="s">
        <v>4393</v>
      </c>
      <c r="D1" s="37" t="s">
        <v>4394</v>
      </c>
      <c r="E1" s="37" t="s">
        <v>4395</v>
      </c>
      <c r="F1" s="37" t="s">
        <v>3296</v>
      </c>
      <c r="G1" s="141" t="s">
        <v>4396</v>
      </c>
      <c r="H1" s="141" t="s">
        <v>4397</v>
      </c>
      <c r="I1" s="141" t="s">
        <v>4398</v>
      </c>
      <c r="J1" s="142" t="s">
        <v>4333</v>
      </c>
      <c r="K1" s="142" t="s">
        <v>4330</v>
      </c>
      <c r="L1" s="141" t="s">
        <v>4399</v>
      </c>
      <c r="M1" s="141" t="s">
        <v>4400</v>
      </c>
      <c r="N1" s="141" t="s">
        <v>2599</v>
      </c>
      <c r="O1" s="141" t="s">
        <v>2600</v>
      </c>
      <c r="P1" s="141" t="s">
        <v>2601</v>
      </c>
      <c r="Q1" s="141" t="s">
        <v>2602</v>
      </c>
      <c r="R1" s="141" t="s">
        <v>2429</v>
      </c>
      <c r="S1" s="141" t="s">
        <v>1845</v>
      </c>
      <c r="T1" s="141" t="s">
        <v>849</v>
      </c>
      <c r="U1" s="141" t="s">
        <v>4401</v>
      </c>
      <c r="V1" s="141" t="s">
        <v>4402</v>
      </c>
      <c r="W1" s="142" t="s">
        <v>2918</v>
      </c>
      <c r="X1" s="141" t="s">
        <v>4403</v>
      </c>
      <c r="Y1" s="141" t="s">
        <v>2604</v>
      </c>
      <c r="Z1" s="141" t="s">
        <v>4404</v>
      </c>
      <c r="AA1" s="141" t="s">
        <v>2917</v>
      </c>
      <c r="AB1" s="141" t="s">
        <v>4324</v>
      </c>
      <c r="AC1" s="141" t="s">
        <v>4327</v>
      </c>
      <c r="AD1" s="141" t="s">
        <v>4335</v>
      </c>
      <c r="AE1" s="141" t="s">
        <v>3185</v>
      </c>
      <c r="AF1" s="141" t="s">
        <v>4405</v>
      </c>
      <c r="AG1" s="141" t="s">
        <v>4406</v>
      </c>
      <c r="AH1" s="141" t="s">
        <v>4407</v>
      </c>
      <c r="AI1" s="141" t="s">
        <v>4408</v>
      </c>
    </row>
    <row r="2" ht="18.75" customHeight="1">
      <c r="A2" s="37" t="s">
        <v>4409</v>
      </c>
      <c r="B2" s="143" t="s">
        <v>4410</v>
      </c>
      <c r="C2" s="37" t="s">
        <v>4411</v>
      </c>
      <c r="D2" s="39" t="s">
        <v>4412</v>
      </c>
      <c r="E2" s="39" t="s">
        <v>4413</v>
      </c>
      <c r="F2" s="39" t="s">
        <v>4414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4415</v>
      </c>
      <c r="AG2" s="37" t="s">
        <v>29</v>
      </c>
      <c r="AH2" s="37" t="s">
        <v>29</v>
      </c>
      <c r="AI2" s="37" t="s">
        <v>29</v>
      </c>
    </row>
    <row r="3" ht="18.75" customHeight="1">
      <c r="A3" s="37" t="s">
        <v>4416</v>
      </c>
      <c r="B3" s="143" t="s">
        <v>4410</v>
      </c>
      <c r="C3" s="37" t="s">
        <v>4411</v>
      </c>
      <c r="D3" s="39" t="s">
        <v>4417</v>
      </c>
      <c r="E3" s="39" t="s">
        <v>4418</v>
      </c>
      <c r="F3" s="39" t="s">
        <v>4414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4415</v>
      </c>
      <c r="AG3" s="37" t="s">
        <v>29</v>
      </c>
      <c r="AH3" s="37" t="s">
        <v>29</v>
      </c>
      <c r="AI3" s="37" t="s">
        <v>29</v>
      </c>
    </row>
    <row r="4" ht="18.75" customHeight="1">
      <c r="A4" s="37" t="s">
        <v>4419</v>
      </c>
      <c r="B4" s="143" t="s">
        <v>4410</v>
      </c>
      <c r="C4" s="37" t="s">
        <v>4411</v>
      </c>
      <c r="D4" s="39" t="s">
        <v>4420</v>
      </c>
      <c r="E4" s="39" t="s">
        <v>4421</v>
      </c>
      <c r="F4" s="39" t="s">
        <v>4414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4415</v>
      </c>
      <c r="AG4" s="37" t="s">
        <v>29</v>
      </c>
      <c r="AH4" s="37" t="s">
        <v>29</v>
      </c>
      <c r="AI4" s="37" t="s">
        <v>29</v>
      </c>
    </row>
    <row r="5" ht="18.75" customHeight="1">
      <c r="A5" s="37" t="s">
        <v>4422</v>
      </c>
      <c r="B5" s="143" t="s">
        <v>4410</v>
      </c>
      <c r="C5" s="37" t="s">
        <v>4411</v>
      </c>
      <c r="D5" s="39" t="s">
        <v>4423</v>
      </c>
      <c r="E5" s="39" t="s">
        <v>4424</v>
      </c>
      <c r="F5" s="39" t="s">
        <v>4414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4415</v>
      </c>
      <c r="AG5" s="37" t="s">
        <v>29</v>
      </c>
      <c r="AH5" s="37" t="s">
        <v>29</v>
      </c>
      <c r="AI5" s="37" t="s">
        <v>29</v>
      </c>
    </row>
    <row r="6" ht="18.75" customHeight="1">
      <c r="A6" s="37" t="s">
        <v>4425</v>
      </c>
      <c r="B6" s="143" t="s">
        <v>4410</v>
      </c>
      <c r="C6" s="37" t="s">
        <v>4411</v>
      </c>
      <c r="D6" s="39" t="s">
        <v>4426</v>
      </c>
      <c r="E6" s="39" t="s">
        <v>2602</v>
      </c>
      <c r="F6" s="39" t="s">
        <v>4414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4415</v>
      </c>
      <c r="AG6" s="37" t="s">
        <v>29</v>
      </c>
      <c r="AH6" s="37" t="s">
        <v>29</v>
      </c>
      <c r="AI6" s="37" t="s">
        <v>29</v>
      </c>
    </row>
    <row r="7" ht="18.75" customHeight="1">
      <c r="A7" s="37" t="s">
        <v>4427</v>
      </c>
      <c r="B7" s="143" t="s">
        <v>4410</v>
      </c>
      <c r="C7" s="37" t="s">
        <v>4411</v>
      </c>
      <c r="D7" s="39" t="s">
        <v>4428</v>
      </c>
      <c r="E7" s="39" t="s">
        <v>2599</v>
      </c>
      <c r="F7" s="39" t="s">
        <v>4414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4415</v>
      </c>
      <c r="AG7" s="37" t="s">
        <v>29</v>
      </c>
      <c r="AH7" s="37" t="s">
        <v>29</v>
      </c>
      <c r="AI7" s="37" t="s">
        <v>29</v>
      </c>
    </row>
    <row r="8" ht="18.75" customHeight="1">
      <c r="A8" s="37" t="s">
        <v>4429</v>
      </c>
      <c r="B8" s="143" t="s">
        <v>4410</v>
      </c>
      <c r="C8" s="37" t="s">
        <v>4411</v>
      </c>
      <c r="D8" s="39" t="s">
        <v>4430</v>
      </c>
      <c r="E8" s="39" t="s">
        <v>4431</v>
      </c>
      <c r="F8" s="39" t="s">
        <v>4414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4415</v>
      </c>
      <c r="AG8" s="37" t="s">
        <v>29</v>
      </c>
      <c r="AH8" s="37" t="s">
        <v>29</v>
      </c>
      <c r="AI8" s="37" t="s">
        <v>29</v>
      </c>
    </row>
    <row r="9" ht="18.75" customHeight="1">
      <c r="A9" s="37" t="s">
        <v>4432</v>
      </c>
      <c r="B9" s="143" t="s">
        <v>4410</v>
      </c>
      <c r="C9" s="37" t="s">
        <v>4411</v>
      </c>
      <c r="D9" s="39" t="s">
        <v>4433</v>
      </c>
      <c r="E9" s="39" t="s">
        <v>4434</v>
      </c>
      <c r="F9" s="39" t="s">
        <v>4414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4415</v>
      </c>
      <c r="AG9" s="37" t="s">
        <v>29</v>
      </c>
      <c r="AH9" s="37" t="s">
        <v>29</v>
      </c>
      <c r="AI9" s="37" t="s">
        <v>29</v>
      </c>
    </row>
    <row r="10" ht="18.75" customHeight="1">
      <c r="A10" s="37" t="s">
        <v>4435</v>
      </c>
      <c r="B10" s="143" t="s">
        <v>4410</v>
      </c>
      <c r="C10" s="37" t="s">
        <v>4411</v>
      </c>
      <c r="D10" s="39" t="s">
        <v>4436</v>
      </c>
      <c r="E10" s="39" t="s">
        <v>2601</v>
      </c>
      <c r="F10" s="39" t="s">
        <v>4414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4415</v>
      </c>
      <c r="AG10" s="37" t="s">
        <v>29</v>
      </c>
      <c r="AH10" s="37" t="s">
        <v>29</v>
      </c>
      <c r="AI10" s="37" t="s">
        <v>29</v>
      </c>
    </row>
    <row r="11" ht="18.75" customHeight="1">
      <c r="A11" s="37" t="s">
        <v>4437</v>
      </c>
      <c r="B11" s="143" t="s">
        <v>4410</v>
      </c>
      <c r="C11" s="37" t="s">
        <v>4411</v>
      </c>
      <c r="D11" s="39" t="s">
        <v>4438</v>
      </c>
      <c r="E11" s="39" t="s">
        <v>4439</v>
      </c>
      <c r="F11" s="39" t="s">
        <v>4414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4415</v>
      </c>
      <c r="AG11" s="37" t="s">
        <v>29</v>
      </c>
      <c r="AH11" s="37" t="s">
        <v>29</v>
      </c>
      <c r="AI11" s="37" t="s">
        <v>29</v>
      </c>
    </row>
    <row r="12" ht="18.75" customHeight="1">
      <c r="A12" s="37" t="s">
        <v>4440</v>
      </c>
      <c r="B12" s="143" t="s">
        <v>4410</v>
      </c>
      <c r="C12" s="37" t="s">
        <v>4411</v>
      </c>
      <c r="D12" s="39" t="s">
        <v>4441</v>
      </c>
      <c r="E12" s="39" t="s">
        <v>4442</v>
      </c>
      <c r="F12" s="39" t="s">
        <v>4414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4415</v>
      </c>
      <c r="AG12" s="37" t="s">
        <v>29</v>
      </c>
      <c r="AH12" s="37" t="s">
        <v>29</v>
      </c>
      <c r="AI12" s="37" t="s">
        <v>29</v>
      </c>
    </row>
    <row r="13" ht="18.75" customHeight="1">
      <c r="A13" s="37" t="s">
        <v>4443</v>
      </c>
      <c r="B13" s="143" t="s">
        <v>4410</v>
      </c>
      <c r="C13" s="37" t="s">
        <v>4411</v>
      </c>
      <c r="D13" s="39" t="s">
        <v>4444</v>
      </c>
      <c r="E13" s="39" t="s">
        <v>4445</v>
      </c>
      <c r="F13" s="39" t="s">
        <v>4414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4415</v>
      </c>
      <c r="AG13" s="37" t="s">
        <v>29</v>
      </c>
      <c r="AH13" s="37" t="s">
        <v>29</v>
      </c>
      <c r="AI13" s="37" t="s">
        <v>29</v>
      </c>
    </row>
    <row r="14" ht="18.75" customHeight="1">
      <c r="A14" s="37" t="s">
        <v>4446</v>
      </c>
      <c r="B14" s="143" t="s">
        <v>4410</v>
      </c>
      <c r="C14" s="37" t="s">
        <v>4411</v>
      </c>
      <c r="D14" s="39" t="s">
        <v>4447</v>
      </c>
      <c r="E14" s="39" t="s">
        <v>4448</v>
      </c>
      <c r="F14" s="39" t="s">
        <v>4414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4415</v>
      </c>
      <c r="AG14" s="37" t="s">
        <v>29</v>
      </c>
      <c r="AH14" s="37" t="s">
        <v>29</v>
      </c>
      <c r="AI14" s="37" t="s">
        <v>29</v>
      </c>
    </row>
    <row r="15" ht="18.75" customHeight="1">
      <c r="A15" s="37" t="s">
        <v>4449</v>
      </c>
      <c r="B15" s="143" t="s">
        <v>4410</v>
      </c>
      <c r="C15" s="37" t="s">
        <v>4411</v>
      </c>
      <c r="D15" s="39" t="s">
        <v>4450</v>
      </c>
      <c r="E15" s="39" t="s">
        <v>4451</v>
      </c>
      <c r="F15" s="39" t="s">
        <v>4414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4415</v>
      </c>
      <c r="AG15" s="37" t="s">
        <v>29</v>
      </c>
      <c r="AH15" s="37" t="s">
        <v>29</v>
      </c>
      <c r="AI15" s="37" t="s">
        <v>29</v>
      </c>
    </row>
    <row r="16" ht="18.75" customHeight="1">
      <c r="A16" s="37" t="s">
        <v>4452</v>
      </c>
      <c r="B16" s="143" t="s">
        <v>4453</v>
      </c>
      <c r="C16" s="37" t="s">
        <v>4454</v>
      </c>
      <c r="D16" s="39" t="s">
        <v>29</v>
      </c>
      <c r="E16" s="39" t="s">
        <v>4455</v>
      </c>
      <c r="F16" s="39" t="s">
        <v>4456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4415</v>
      </c>
      <c r="AG16" s="37" t="s">
        <v>29</v>
      </c>
      <c r="AH16" s="37" t="s">
        <v>29</v>
      </c>
      <c r="AI16" s="37" t="s">
        <v>29</v>
      </c>
    </row>
    <row r="17" ht="18.75" customHeight="1">
      <c r="A17" s="37" t="s">
        <v>4457</v>
      </c>
      <c r="B17" s="143" t="s">
        <v>4453</v>
      </c>
      <c r="C17" s="37" t="s">
        <v>4454</v>
      </c>
      <c r="D17" s="39" t="s">
        <v>29</v>
      </c>
      <c r="E17" s="39" t="s">
        <v>4455</v>
      </c>
      <c r="F17" s="39" t="s">
        <v>4456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4415</v>
      </c>
      <c r="AG17" s="37" t="s">
        <v>29</v>
      </c>
      <c r="AH17" s="37" t="s">
        <v>29</v>
      </c>
      <c r="AI17" s="37" t="s">
        <v>29</v>
      </c>
    </row>
    <row r="18" ht="18.75" customHeight="1">
      <c r="A18" s="37" t="s">
        <v>4458</v>
      </c>
      <c r="B18" s="143" t="s">
        <v>4453</v>
      </c>
      <c r="C18" s="37" t="s">
        <v>4454</v>
      </c>
      <c r="D18" s="39" t="s">
        <v>29</v>
      </c>
      <c r="E18" s="39" t="s">
        <v>4455</v>
      </c>
      <c r="F18" s="39" t="s">
        <v>4456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4415</v>
      </c>
      <c r="AG18" s="37" t="s">
        <v>29</v>
      </c>
      <c r="AH18" s="37" t="s">
        <v>29</v>
      </c>
      <c r="AI18" s="37" t="s">
        <v>29</v>
      </c>
    </row>
    <row r="19" ht="18.75" customHeight="1">
      <c r="A19" s="37" t="s">
        <v>4459</v>
      </c>
      <c r="B19" s="143" t="s">
        <v>4460</v>
      </c>
      <c r="C19" s="37" t="s">
        <v>4461</v>
      </c>
      <c r="D19" s="37" t="s">
        <v>4462</v>
      </c>
      <c r="E19" s="37" t="s">
        <v>4463</v>
      </c>
      <c r="F19" s="37" t="s">
        <v>4464</v>
      </c>
    </row>
    <row r="20" ht="18.75" customHeight="1">
      <c r="A20" s="37" t="s">
        <v>4465</v>
      </c>
      <c r="B20" s="143" t="s">
        <v>4460</v>
      </c>
      <c r="C20" s="37" t="s">
        <v>4461</v>
      </c>
      <c r="D20" s="37" t="s">
        <v>4466</v>
      </c>
      <c r="E20" s="37" t="s">
        <v>4463</v>
      </c>
      <c r="F20" s="37" t="s">
        <v>4464</v>
      </c>
    </row>
    <row r="21" ht="18.75" customHeight="1">
      <c r="A21" s="37" t="s">
        <v>4467</v>
      </c>
      <c r="B21" s="143" t="s">
        <v>4460</v>
      </c>
      <c r="C21" s="37" t="s">
        <v>4461</v>
      </c>
      <c r="D21" s="37" t="s">
        <v>4468</v>
      </c>
      <c r="E21" s="37" t="s">
        <v>4463</v>
      </c>
      <c r="F21" s="37" t="s">
        <v>4464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4469</v>
      </c>
      <c r="B1" s="64" t="s">
        <v>4470</v>
      </c>
      <c r="C1" s="64" t="s">
        <v>2620</v>
      </c>
      <c r="D1" s="98" t="s">
        <v>4471</v>
      </c>
      <c r="E1" s="64" t="s">
        <v>4472</v>
      </c>
      <c r="F1" s="64" t="s">
        <v>4473</v>
      </c>
      <c r="G1" s="64" t="s">
        <v>4474</v>
      </c>
      <c r="H1" s="144" t="s">
        <v>4299</v>
      </c>
      <c r="I1" s="144" t="s">
        <v>4302</v>
      </c>
      <c r="J1" s="144" t="s">
        <v>4304</v>
      </c>
      <c r="K1" s="144" t="s">
        <v>4306</v>
      </c>
      <c r="L1" s="144" t="s">
        <v>4308</v>
      </c>
      <c r="M1" s="145" t="s">
        <v>3171</v>
      </c>
      <c r="N1" s="145" t="s">
        <v>3172</v>
      </c>
      <c r="O1" s="145" t="s">
        <v>3173</v>
      </c>
      <c r="P1" s="146" t="s">
        <v>3174</v>
      </c>
      <c r="Q1" s="146" t="s">
        <v>3175</v>
      </c>
      <c r="R1" s="146" t="s">
        <v>3176</v>
      </c>
      <c r="S1" s="146" t="s">
        <v>3177</v>
      </c>
      <c r="T1" s="146" t="s">
        <v>3178</v>
      </c>
      <c r="U1" s="74" t="s">
        <v>3179</v>
      </c>
      <c r="V1" s="74" t="s">
        <v>3180</v>
      </c>
      <c r="W1" s="74" t="s">
        <v>3181</v>
      </c>
      <c r="X1" s="139" t="s">
        <v>2628</v>
      </c>
      <c r="Y1" s="139" t="s">
        <v>2627</v>
      </c>
      <c r="Z1" s="64"/>
      <c r="AA1" s="49" t="s">
        <v>2593</v>
      </c>
      <c r="AB1" s="49" t="s">
        <v>1921</v>
      </c>
      <c r="AC1" s="49" t="s">
        <v>2594</v>
      </c>
      <c r="AD1" s="49" t="s">
        <v>2595</v>
      </c>
      <c r="AE1" s="49" t="s">
        <v>2596</v>
      </c>
      <c r="AF1" s="51" t="s">
        <v>1139</v>
      </c>
      <c r="AG1" s="51" t="s">
        <v>2598</v>
      </c>
      <c r="AH1" s="147" t="s">
        <v>2599</v>
      </c>
      <c r="AI1" s="147" t="s">
        <v>2600</v>
      </c>
      <c r="AJ1" s="147" t="s">
        <v>2601</v>
      </c>
      <c r="AK1" s="147" t="s">
        <v>2602</v>
      </c>
      <c r="AL1" s="53" t="s">
        <v>2603</v>
      </c>
      <c r="AM1" s="53" t="s">
        <v>2604</v>
      </c>
      <c r="AN1" s="53" t="s">
        <v>2429</v>
      </c>
      <c r="AO1" s="53" t="s">
        <v>1179</v>
      </c>
      <c r="AP1" s="64" t="s">
        <v>4341</v>
      </c>
      <c r="AQ1" s="64" t="s">
        <v>3184</v>
      </c>
      <c r="AR1" s="64" t="s">
        <v>4327</v>
      </c>
      <c r="AS1" s="64" t="s">
        <v>4330</v>
      </c>
      <c r="AT1" s="64" t="s">
        <v>4333</v>
      </c>
      <c r="AU1" s="64" t="s">
        <v>4335</v>
      </c>
      <c r="AV1" s="64" t="s">
        <v>1845</v>
      </c>
      <c r="AW1" s="64" t="s">
        <v>3185</v>
      </c>
      <c r="AX1" s="64" t="s">
        <v>849</v>
      </c>
      <c r="AY1" s="64" t="s">
        <v>3167</v>
      </c>
      <c r="AZ1" s="64" t="s">
        <v>3629</v>
      </c>
      <c r="BA1" s="64" t="s">
        <v>4475</v>
      </c>
      <c r="BB1" s="64" t="s">
        <v>4476</v>
      </c>
      <c r="BC1" s="64" t="s">
        <v>4477</v>
      </c>
      <c r="BD1" s="64" t="s">
        <v>4478</v>
      </c>
      <c r="BE1" s="64" t="s">
        <v>4479</v>
      </c>
      <c r="BF1" s="64" t="s">
        <v>4480</v>
      </c>
      <c r="BG1" s="64" t="s">
        <v>4481</v>
      </c>
      <c r="BH1" s="64" t="s">
        <v>4482</v>
      </c>
      <c r="BI1" s="98" t="s">
        <v>4483</v>
      </c>
      <c r="BJ1" s="98" t="s">
        <v>4484</v>
      </c>
      <c r="BK1" s="98" t="s">
        <v>4485</v>
      </c>
      <c r="BL1" s="98" t="s">
        <v>4486</v>
      </c>
      <c r="BM1" s="98" t="s">
        <v>4487</v>
      </c>
      <c r="BN1" s="148" t="s">
        <v>4488</v>
      </c>
      <c r="BO1" s="148" t="s">
        <v>4489</v>
      </c>
      <c r="BP1" s="148" t="s">
        <v>4490</v>
      </c>
      <c r="BQ1" s="148" t="s">
        <v>4491</v>
      </c>
      <c r="BR1" s="149" t="s">
        <v>4492</v>
      </c>
      <c r="BS1" s="150" t="s">
        <v>4493</v>
      </c>
      <c r="BT1" s="150" t="s">
        <v>4494</v>
      </c>
      <c r="BU1" s="150" t="s">
        <v>4495</v>
      </c>
      <c r="BV1" s="150" t="s">
        <v>4496</v>
      </c>
      <c r="BW1" s="150" t="s">
        <v>4497</v>
      </c>
      <c r="BX1" s="151" t="s">
        <v>4498</v>
      </c>
      <c r="BY1" s="150" t="s">
        <v>4499</v>
      </c>
      <c r="BZ1" s="150" t="s">
        <v>4500</v>
      </c>
      <c r="CA1" s="150" t="s">
        <v>4501</v>
      </c>
      <c r="CB1" s="150" t="s">
        <v>4502</v>
      </c>
      <c r="CC1" s="150" t="s">
        <v>4503</v>
      </c>
      <c r="CD1" s="151" t="s">
        <v>4504</v>
      </c>
      <c r="CE1" s="151" t="s">
        <v>4505</v>
      </c>
    </row>
    <row r="2" ht="13.5" customHeight="1">
      <c r="A2" s="37" t="s">
        <v>4506</v>
      </c>
      <c r="B2" s="37" t="s">
        <v>4507</v>
      </c>
      <c r="C2" s="64" t="s">
        <v>4508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2"/>
      <c r="AI2" s="152"/>
      <c r="AJ2" s="152"/>
      <c r="AK2" s="152"/>
      <c r="AZ2" s="37" t="s">
        <v>4509</v>
      </c>
      <c r="BA2" s="37" t="s">
        <v>4510</v>
      </c>
      <c r="BB2" s="37">
        <v>1.0</v>
      </c>
      <c r="BC2" s="41">
        <v>0.0</v>
      </c>
      <c r="BD2" s="37">
        <v>2.0</v>
      </c>
      <c r="BE2" s="37" t="s">
        <v>4506</v>
      </c>
      <c r="BF2" s="37">
        <v>60.0</v>
      </c>
      <c r="BG2" s="37">
        <v>20.0</v>
      </c>
      <c r="BH2" s="37">
        <v>1.0</v>
      </c>
      <c r="BI2" s="39" t="s">
        <v>4511</v>
      </c>
      <c r="BJ2" s="39"/>
      <c r="BK2" s="39"/>
      <c r="BL2" s="39"/>
      <c r="BM2" s="39"/>
      <c r="BN2" s="148"/>
      <c r="BO2" s="148"/>
      <c r="BP2" s="148"/>
      <c r="BQ2" s="148"/>
      <c r="BR2" s="148"/>
      <c r="BS2" s="148" t="s">
        <v>4512</v>
      </c>
      <c r="BT2" s="148">
        <v>100.0</v>
      </c>
      <c r="BU2" s="148"/>
      <c r="BV2" s="148"/>
      <c r="BW2" s="148"/>
      <c r="BX2" s="148"/>
      <c r="BY2" s="148"/>
      <c r="BZ2" s="148"/>
      <c r="CA2" s="148"/>
      <c r="CB2" s="148"/>
      <c r="CC2" s="148"/>
      <c r="CD2" s="148"/>
      <c r="CE2" s="148"/>
    </row>
    <row r="3" ht="13.5" customHeight="1">
      <c r="A3" s="37" t="s">
        <v>4513</v>
      </c>
      <c r="B3" s="37" t="s">
        <v>4514</v>
      </c>
      <c r="C3" s="64" t="s">
        <v>4515</v>
      </c>
      <c r="D3" s="37" t="s">
        <v>4506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2"/>
      <c r="AI3" s="152"/>
      <c r="AJ3" s="152"/>
      <c r="AK3" s="152"/>
      <c r="AZ3" s="37" t="s">
        <v>4509</v>
      </c>
      <c r="BA3" s="37" t="s">
        <v>4516</v>
      </c>
      <c r="BB3" s="37">
        <v>2.0</v>
      </c>
      <c r="BC3" s="37">
        <v>125.0</v>
      </c>
      <c r="BD3" s="37">
        <v>4.0</v>
      </c>
      <c r="BE3" s="37" t="s">
        <v>4513</v>
      </c>
      <c r="BF3" s="37">
        <v>57.0</v>
      </c>
      <c r="BG3" s="37">
        <v>50.0</v>
      </c>
      <c r="BH3" s="37">
        <v>2.0</v>
      </c>
      <c r="BI3" s="39" t="s">
        <v>4511</v>
      </c>
      <c r="BJ3" s="41" t="s">
        <v>4506</v>
      </c>
      <c r="BK3" s="39"/>
      <c r="BL3" s="39"/>
      <c r="BM3" s="64">
        <v>4.0</v>
      </c>
      <c r="BN3" s="148"/>
      <c r="BO3" s="148"/>
      <c r="BP3" s="148"/>
      <c r="BQ3" s="148"/>
      <c r="BR3" s="153" t="s">
        <v>4517</v>
      </c>
      <c r="BS3" s="148" t="s">
        <v>4512</v>
      </c>
      <c r="BT3" s="148">
        <v>50.0</v>
      </c>
      <c r="BU3" s="148"/>
      <c r="BV3" s="148"/>
      <c r="BW3" s="148"/>
      <c r="BX3" s="148"/>
      <c r="BY3" s="148"/>
      <c r="BZ3" s="148"/>
      <c r="CA3" s="148"/>
      <c r="CB3" s="148"/>
      <c r="CC3" s="148"/>
      <c r="CD3" s="148"/>
      <c r="CE3" s="148"/>
    </row>
    <row r="4" ht="13.5" customHeight="1">
      <c r="A4" s="37" t="s">
        <v>4518</v>
      </c>
      <c r="B4" s="37" t="s">
        <v>4519</v>
      </c>
      <c r="C4" s="64" t="s">
        <v>4520</v>
      </c>
      <c r="D4" s="37" t="s">
        <v>4513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2"/>
      <c r="AI4" s="152"/>
      <c r="AJ4" s="152"/>
      <c r="AK4" s="152"/>
      <c r="AZ4" s="37" t="s">
        <v>4509</v>
      </c>
      <c r="BA4" s="37" t="s">
        <v>4521</v>
      </c>
      <c r="BB4" s="37">
        <v>3.0</v>
      </c>
      <c r="BC4" s="37">
        <v>260.0</v>
      </c>
      <c r="BD4" s="37">
        <v>7.0</v>
      </c>
      <c r="BE4" s="37" t="s">
        <v>4518</v>
      </c>
      <c r="BF4" s="37">
        <v>66.0</v>
      </c>
      <c r="BG4" s="37">
        <v>100.0</v>
      </c>
      <c r="BH4" s="37">
        <v>3.0</v>
      </c>
      <c r="BI4" s="39" t="s">
        <v>4511</v>
      </c>
      <c r="BJ4" s="41" t="s">
        <v>4513</v>
      </c>
      <c r="BK4" s="39"/>
      <c r="BL4" s="39"/>
      <c r="BM4" s="64">
        <v>8.0</v>
      </c>
      <c r="BN4" s="148"/>
      <c r="BO4" s="148"/>
      <c r="BP4" s="148"/>
      <c r="BQ4" s="148"/>
      <c r="BR4" s="153" t="s">
        <v>4522</v>
      </c>
      <c r="BS4" s="148" t="s">
        <v>4512</v>
      </c>
      <c r="BT4" s="148">
        <v>40.0</v>
      </c>
      <c r="BU4" s="148"/>
      <c r="BV4" s="148"/>
      <c r="BW4" s="148"/>
      <c r="BX4" s="148"/>
      <c r="BY4" s="148"/>
      <c r="BZ4" s="148"/>
      <c r="CA4" s="148"/>
      <c r="CB4" s="148"/>
      <c r="CC4" s="148"/>
      <c r="CD4" s="148"/>
      <c r="CE4" s="148"/>
    </row>
    <row r="5" ht="13.5" customHeight="1">
      <c r="A5" s="37" t="s">
        <v>4523</v>
      </c>
      <c r="B5" s="37" t="s">
        <v>4524</v>
      </c>
      <c r="C5" s="64" t="s">
        <v>4525</v>
      </c>
      <c r="D5" s="37" t="s">
        <v>4518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2"/>
      <c r="AI5" s="152"/>
      <c r="AJ5" s="152"/>
      <c r="AK5" s="152"/>
      <c r="AZ5" s="37" t="s">
        <v>4509</v>
      </c>
      <c r="BA5" s="37" t="s">
        <v>4526</v>
      </c>
      <c r="BB5" s="37">
        <v>4.0</v>
      </c>
      <c r="BC5" s="37">
        <v>420.0</v>
      </c>
      <c r="BD5" s="37">
        <v>10.0</v>
      </c>
      <c r="BE5" s="37" t="s">
        <v>4523</v>
      </c>
      <c r="BF5" s="37">
        <v>78.0</v>
      </c>
      <c r="BG5" s="37">
        <v>150.0</v>
      </c>
      <c r="BH5" s="37">
        <v>7.0</v>
      </c>
      <c r="BI5" s="39" t="s">
        <v>4511</v>
      </c>
      <c r="BJ5" s="41" t="s">
        <v>4518</v>
      </c>
      <c r="BK5" s="39"/>
      <c r="BL5" s="39"/>
      <c r="BM5" s="64">
        <v>16.0</v>
      </c>
      <c r="BN5" s="148"/>
      <c r="BO5" s="148"/>
      <c r="BP5" s="148"/>
      <c r="BQ5" s="148"/>
      <c r="BR5" s="153" t="s">
        <v>4527</v>
      </c>
      <c r="BS5" s="148" t="s">
        <v>4512</v>
      </c>
      <c r="BT5" s="148">
        <v>30.0</v>
      </c>
      <c r="BU5" s="148"/>
      <c r="BV5" s="148"/>
      <c r="BW5" s="148"/>
      <c r="BX5" s="148"/>
      <c r="BY5" s="148"/>
      <c r="BZ5" s="148"/>
      <c r="CA5" s="148"/>
      <c r="CB5" s="148"/>
      <c r="CC5" s="148"/>
      <c r="CD5" s="148"/>
      <c r="CE5" s="148"/>
    </row>
    <row r="6" ht="18.75" customHeight="1">
      <c r="A6" s="37" t="s">
        <v>4528</v>
      </c>
      <c r="B6" s="37" t="s">
        <v>4507</v>
      </c>
      <c r="C6" s="64" t="s">
        <v>4529</v>
      </c>
      <c r="D6" s="39"/>
      <c r="E6" s="64">
        <v>2.0</v>
      </c>
      <c r="F6" s="98">
        <v>0.0</v>
      </c>
      <c r="G6" s="64" t="s">
        <v>3034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2"/>
      <c r="AI6" s="152"/>
      <c r="AJ6" s="152"/>
      <c r="AK6" s="152"/>
      <c r="BI6" s="39" t="s">
        <v>4511</v>
      </c>
      <c r="BJ6" s="39"/>
      <c r="BK6" s="39"/>
      <c r="BL6" s="39"/>
      <c r="BM6" s="39"/>
      <c r="BN6" s="148" t="s">
        <v>4530</v>
      </c>
      <c r="BO6" s="148" t="s">
        <v>4531</v>
      </c>
      <c r="BP6" s="148">
        <v>0.0</v>
      </c>
      <c r="BQ6" s="148"/>
      <c r="BR6" s="153" t="s">
        <v>4506</v>
      </c>
      <c r="BS6" s="148" t="s">
        <v>4532</v>
      </c>
      <c r="BT6" s="148">
        <v>85.0</v>
      </c>
      <c r="BU6" s="148"/>
      <c r="BV6" s="148"/>
      <c r="BW6" s="148"/>
      <c r="BX6" s="148"/>
      <c r="BY6" s="148"/>
      <c r="BZ6" s="148"/>
      <c r="CA6" s="148"/>
      <c r="CB6" s="148"/>
      <c r="CC6" s="148"/>
      <c r="CD6" s="148"/>
      <c r="CE6" s="148"/>
    </row>
    <row r="7" ht="18.75" customHeight="1">
      <c r="A7" s="37" t="s">
        <v>4533</v>
      </c>
      <c r="B7" s="37" t="s">
        <v>4507</v>
      </c>
      <c r="C7" s="64" t="s">
        <v>4534</v>
      </c>
      <c r="D7" s="39"/>
      <c r="E7" s="64">
        <v>4.0</v>
      </c>
      <c r="F7" s="64"/>
      <c r="G7" s="64" t="s">
        <v>3034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2"/>
      <c r="AI7" s="152"/>
      <c r="AJ7" s="152"/>
      <c r="AK7" s="152"/>
      <c r="AU7" s="37">
        <v>25.0</v>
      </c>
      <c r="AY7" s="37">
        <v>35.0</v>
      </c>
      <c r="BI7" s="39" t="s">
        <v>4511</v>
      </c>
      <c r="BJ7" s="39"/>
      <c r="BK7" s="39"/>
      <c r="BL7" s="39"/>
      <c r="BM7" s="39"/>
      <c r="BN7" s="148"/>
      <c r="BO7" s="148"/>
      <c r="BP7" s="148"/>
      <c r="BQ7" s="148"/>
      <c r="BR7" s="153" t="s">
        <v>4535</v>
      </c>
      <c r="BS7" s="148" t="s">
        <v>4536</v>
      </c>
      <c r="BT7" s="148">
        <v>50.0</v>
      </c>
      <c r="BU7" s="148"/>
      <c r="BV7" s="148"/>
      <c r="BW7" s="148"/>
      <c r="BX7" s="148"/>
      <c r="BY7" s="148"/>
      <c r="BZ7" s="148"/>
      <c r="CA7" s="148"/>
      <c r="CB7" s="148"/>
      <c r="CC7" s="148"/>
      <c r="CD7" s="148"/>
      <c r="CE7" s="148"/>
    </row>
    <row r="8" ht="18.75" customHeight="1">
      <c r="A8" s="37" t="s">
        <v>4537</v>
      </c>
      <c r="B8" s="37" t="s">
        <v>4507</v>
      </c>
      <c r="C8" s="64" t="s">
        <v>4538</v>
      </c>
      <c r="D8" s="39"/>
      <c r="E8" s="64">
        <v>2.0</v>
      </c>
      <c r="F8" s="98">
        <v>0.0</v>
      </c>
      <c r="G8" s="64" t="s">
        <v>3034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2"/>
      <c r="AI8" s="152"/>
      <c r="AJ8" s="152"/>
      <c r="AK8" s="152"/>
      <c r="BI8" s="39" t="s">
        <v>4511</v>
      </c>
      <c r="BJ8" s="39"/>
      <c r="BK8" s="39"/>
      <c r="BL8" s="39"/>
      <c r="BM8" s="39"/>
      <c r="BN8" s="148"/>
      <c r="BO8" s="148"/>
      <c r="BP8" s="148"/>
      <c r="BQ8" s="148"/>
      <c r="BR8" s="153" t="s">
        <v>4528</v>
      </c>
      <c r="BS8" s="148" t="s">
        <v>4532</v>
      </c>
      <c r="BT8" s="148">
        <v>65.0</v>
      </c>
      <c r="BU8" s="148"/>
      <c r="BV8" s="148"/>
      <c r="BW8" s="148"/>
      <c r="BX8" s="148"/>
      <c r="BY8" s="148"/>
      <c r="BZ8" s="148"/>
      <c r="CA8" s="148"/>
      <c r="CB8" s="148"/>
      <c r="CC8" s="148"/>
      <c r="CD8" s="148"/>
      <c r="CE8" s="148"/>
    </row>
    <row r="9" ht="18.75" customHeight="1">
      <c r="A9" s="37" t="s">
        <v>4539</v>
      </c>
      <c r="B9" s="37" t="s">
        <v>4507</v>
      </c>
      <c r="C9" s="64" t="s">
        <v>4540</v>
      </c>
      <c r="D9" s="39"/>
      <c r="E9" s="64">
        <v>2.0</v>
      </c>
      <c r="F9" s="64"/>
      <c r="G9" s="64" t="s">
        <v>3034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2"/>
      <c r="AI9" s="152"/>
      <c r="AJ9" s="152"/>
      <c r="AK9" s="152">
        <v>25.0</v>
      </c>
      <c r="AP9" s="37">
        <v>25.0</v>
      </c>
      <c r="BI9" s="39" t="s">
        <v>4511</v>
      </c>
      <c r="BJ9" s="39"/>
      <c r="BK9" s="39"/>
      <c r="BL9" s="39"/>
      <c r="BM9" s="39"/>
      <c r="BN9" s="148"/>
      <c r="BO9" s="148"/>
      <c r="BP9" s="148"/>
      <c r="BQ9" s="148"/>
      <c r="BR9" s="153" t="s">
        <v>4506</v>
      </c>
      <c r="BS9" s="148" t="s">
        <v>4541</v>
      </c>
      <c r="BT9" s="148">
        <v>70.0</v>
      </c>
      <c r="BU9" s="148"/>
      <c r="BV9" s="148"/>
      <c r="BW9" s="148"/>
      <c r="BX9" s="148"/>
      <c r="BY9" s="148"/>
      <c r="BZ9" s="148"/>
      <c r="CA9" s="148"/>
      <c r="CB9" s="148"/>
      <c r="CC9" s="148"/>
      <c r="CD9" s="148"/>
      <c r="CE9" s="148"/>
    </row>
    <row r="10" ht="18.75" customHeight="1">
      <c r="A10" s="37" t="s">
        <v>4542</v>
      </c>
      <c r="B10" s="37" t="s">
        <v>4507</v>
      </c>
      <c r="C10" s="64" t="s">
        <v>4543</v>
      </c>
      <c r="D10" s="39"/>
      <c r="E10" s="64">
        <v>6.0</v>
      </c>
      <c r="F10" s="64"/>
      <c r="G10" s="64" t="s">
        <v>4544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2"/>
      <c r="AI10" s="152"/>
      <c r="AJ10" s="152"/>
      <c r="AK10" s="152"/>
      <c r="BI10" s="39" t="s">
        <v>4511</v>
      </c>
      <c r="BJ10" s="39"/>
      <c r="BK10" s="39"/>
      <c r="BL10" s="39"/>
      <c r="BM10" s="39"/>
      <c r="BN10" s="148"/>
      <c r="BO10" s="148"/>
      <c r="BP10" s="148"/>
      <c r="BQ10" s="148"/>
      <c r="BR10" s="153" t="s">
        <v>4506</v>
      </c>
      <c r="BS10" s="148" t="s">
        <v>4532</v>
      </c>
      <c r="BT10" s="148">
        <v>75.0</v>
      </c>
      <c r="BU10" s="148"/>
      <c r="BV10" s="148"/>
      <c r="BW10" s="148"/>
      <c r="BX10" s="148"/>
      <c r="BY10" s="148"/>
      <c r="BZ10" s="148"/>
      <c r="CA10" s="148"/>
      <c r="CB10" s="148"/>
      <c r="CC10" s="148"/>
      <c r="CD10" s="148"/>
      <c r="CE10" s="148"/>
    </row>
    <row r="11" ht="18.75" customHeight="1">
      <c r="A11" s="37" t="s">
        <v>4545</v>
      </c>
      <c r="B11" s="37" t="s">
        <v>4507</v>
      </c>
      <c r="C11" s="64"/>
      <c r="D11" s="39"/>
      <c r="E11" s="64">
        <v>6.0</v>
      </c>
      <c r="F11" s="64"/>
      <c r="G11" s="64" t="s">
        <v>4544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2"/>
      <c r="AI11" s="152"/>
      <c r="AJ11" s="152"/>
      <c r="AK11" s="152"/>
      <c r="BI11" s="39" t="s">
        <v>4511</v>
      </c>
      <c r="BJ11" s="39"/>
      <c r="BK11" s="39"/>
      <c r="BL11" s="39"/>
      <c r="BM11" s="39"/>
      <c r="BN11" s="148"/>
      <c r="BO11" s="148"/>
      <c r="BP11" s="148"/>
      <c r="BQ11" s="148"/>
      <c r="BR11" s="153" t="s">
        <v>4546</v>
      </c>
      <c r="BS11" s="148" t="s">
        <v>4532</v>
      </c>
      <c r="BT11" s="148">
        <v>55.0</v>
      </c>
      <c r="BU11" s="148"/>
      <c r="BV11" s="148"/>
      <c r="BW11" s="148"/>
      <c r="BX11" s="148"/>
      <c r="BY11" s="148"/>
      <c r="BZ11" s="148"/>
      <c r="CA11" s="148"/>
      <c r="CB11" s="148"/>
      <c r="CC11" s="148"/>
      <c r="CD11" s="148"/>
      <c r="CE11" s="148"/>
    </row>
    <row r="12" ht="18.75" customHeight="1">
      <c r="A12" s="37" t="s">
        <v>4547</v>
      </c>
      <c r="B12" s="37" t="s">
        <v>4507</v>
      </c>
      <c r="C12" s="64" t="s">
        <v>4548</v>
      </c>
      <c r="D12" s="39"/>
      <c r="E12" s="64">
        <v>2.0</v>
      </c>
      <c r="F12" s="64"/>
      <c r="G12" s="64" t="s">
        <v>4544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2"/>
      <c r="AI12" s="152"/>
      <c r="AJ12" s="152"/>
      <c r="AK12" s="152"/>
      <c r="BI12" s="39" t="s">
        <v>4511</v>
      </c>
      <c r="BJ12" s="39"/>
      <c r="BK12" s="39"/>
      <c r="BL12" s="39"/>
      <c r="BM12" s="39"/>
      <c r="BN12" s="148"/>
      <c r="BO12" s="148"/>
      <c r="BP12" s="148"/>
      <c r="BQ12" s="148"/>
      <c r="BR12" s="153" t="s">
        <v>4506</v>
      </c>
      <c r="BS12" s="148" t="s">
        <v>4532</v>
      </c>
      <c r="BT12" s="148">
        <v>80.0</v>
      </c>
      <c r="BU12" s="148"/>
      <c r="BV12" s="148"/>
      <c r="BW12" s="148"/>
      <c r="BX12" s="148"/>
      <c r="BY12" s="148"/>
      <c r="BZ12" s="148"/>
      <c r="CA12" s="148"/>
      <c r="CB12" s="148"/>
      <c r="CC12" s="148"/>
      <c r="CD12" s="148"/>
      <c r="CE12" s="148"/>
    </row>
    <row r="13" ht="18.75" customHeight="1">
      <c r="A13" s="37" t="s">
        <v>4549</v>
      </c>
      <c r="B13" s="37" t="s">
        <v>4507</v>
      </c>
      <c r="C13" s="64" t="s">
        <v>4550</v>
      </c>
      <c r="D13" s="39"/>
      <c r="E13" s="64">
        <v>2.0</v>
      </c>
      <c r="F13" s="64"/>
      <c r="G13" s="64" t="s">
        <v>3034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2"/>
      <c r="AI13" s="152"/>
      <c r="AJ13" s="152"/>
      <c r="AK13" s="152"/>
      <c r="BI13" s="39" t="s">
        <v>4511</v>
      </c>
      <c r="BJ13" s="39"/>
      <c r="BK13" s="39"/>
      <c r="BL13" s="39"/>
      <c r="BM13" s="39"/>
      <c r="BN13" s="148"/>
      <c r="BO13" s="148"/>
      <c r="BP13" s="148"/>
      <c r="BQ13" s="148"/>
      <c r="BR13" s="153" t="s">
        <v>4551</v>
      </c>
      <c r="BS13" s="148" t="s">
        <v>4532</v>
      </c>
      <c r="BT13" s="148">
        <v>45.0</v>
      </c>
      <c r="BU13" s="148"/>
      <c r="BV13" s="148"/>
      <c r="BW13" s="148"/>
      <c r="BX13" s="148"/>
      <c r="BY13" s="148"/>
      <c r="BZ13" s="148"/>
      <c r="CA13" s="148"/>
      <c r="CB13" s="148"/>
      <c r="CC13" s="148"/>
      <c r="CD13" s="148"/>
      <c r="CE13" s="148"/>
    </row>
    <row r="14" ht="18.75" customHeight="1">
      <c r="A14" s="37" t="s">
        <v>4552</v>
      </c>
      <c r="B14" s="37" t="s">
        <v>4507</v>
      </c>
      <c r="C14" s="64" t="s">
        <v>4553</v>
      </c>
      <c r="D14" s="39"/>
      <c r="E14" s="64">
        <v>3.0</v>
      </c>
      <c r="F14" s="64"/>
      <c r="G14" s="64" t="s">
        <v>3034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2"/>
      <c r="AI14" s="152"/>
      <c r="AJ14" s="152"/>
      <c r="AK14" s="152"/>
      <c r="AS14" s="37">
        <v>10.0</v>
      </c>
      <c r="AT14" s="37">
        <v>10.0</v>
      </c>
      <c r="BI14" s="39" t="s">
        <v>4511</v>
      </c>
      <c r="BJ14" s="39"/>
      <c r="BK14" s="39"/>
      <c r="BL14" s="39"/>
      <c r="BM14" s="39"/>
      <c r="BN14" s="148"/>
      <c r="BO14" s="148"/>
      <c r="BP14" s="148"/>
      <c r="BQ14" s="148"/>
      <c r="BR14" s="153" t="s">
        <v>4506</v>
      </c>
      <c r="BS14" s="148" t="s">
        <v>4554</v>
      </c>
      <c r="BT14" s="148">
        <v>65.0</v>
      </c>
      <c r="BU14" s="148"/>
      <c r="BV14" s="148"/>
      <c r="BW14" s="148"/>
      <c r="BX14" s="148"/>
      <c r="BY14" s="148"/>
      <c r="BZ14" s="148"/>
      <c r="CA14" s="148"/>
      <c r="CB14" s="148"/>
      <c r="CC14" s="148"/>
      <c r="CD14" s="148"/>
      <c r="CE14" s="148"/>
    </row>
    <row r="15" ht="18.75" customHeight="1">
      <c r="A15" s="37" t="s">
        <v>4555</v>
      </c>
      <c r="B15" s="37" t="s">
        <v>4507</v>
      </c>
      <c r="C15" s="64" t="s">
        <v>4556</v>
      </c>
      <c r="D15" s="39"/>
      <c r="E15" s="64">
        <v>4.0</v>
      </c>
      <c r="F15" s="64"/>
      <c r="G15" s="64" t="s">
        <v>3034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2"/>
      <c r="AI15" s="152"/>
      <c r="AJ15" s="152"/>
      <c r="AK15" s="152"/>
      <c r="AN15" s="37">
        <v>15.0</v>
      </c>
      <c r="BI15" s="39" t="s">
        <v>4511</v>
      </c>
      <c r="BJ15" s="39"/>
      <c r="BK15" s="39"/>
      <c r="BL15" s="39"/>
      <c r="BM15" s="39"/>
      <c r="BN15" s="148"/>
      <c r="BO15" s="148"/>
      <c r="BP15" s="148"/>
      <c r="BQ15" s="148"/>
      <c r="BR15" s="153" t="s">
        <v>4552</v>
      </c>
      <c r="BS15" s="148" t="s">
        <v>2429</v>
      </c>
      <c r="BT15" s="148">
        <v>50.0</v>
      </c>
      <c r="BU15" s="148"/>
      <c r="BV15" s="148"/>
      <c r="BW15" s="148"/>
      <c r="BX15" s="148"/>
      <c r="BY15" s="148"/>
      <c r="BZ15" s="148"/>
      <c r="CA15" s="148"/>
      <c r="CB15" s="148"/>
      <c r="CC15" s="148"/>
      <c r="CD15" s="148"/>
      <c r="CE15" s="148"/>
    </row>
    <row r="16" ht="18.75" customHeight="1">
      <c r="A16" s="37" t="s">
        <v>4557</v>
      </c>
      <c r="B16" s="37" t="s">
        <v>4507</v>
      </c>
      <c r="C16" s="64" t="s">
        <v>4558</v>
      </c>
      <c r="D16" s="39"/>
      <c r="E16" s="64">
        <v>3.0</v>
      </c>
      <c r="F16" s="64"/>
      <c r="G16" s="64" t="s">
        <v>3034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2"/>
      <c r="AI16" s="152"/>
      <c r="AJ16" s="152"/>
      <c r="AK16" s="152">
        <v>10.0</v>
      </c>
      <c r="AN16" s="37">
        <v>5.0</v>
      </c>
      <c r="BI16" s="39" t="s">
        <v>4511</v>
      </c>
      <c r="BJ16" s="39"/>
      <c r="BK16" s="39"/>
      <c r="BL16" s="39"/>
      <c r="BM16" s="39"/>
      <c r="BN16" s="148"/>
      <c r="BO16" s="148"/>
      <c r="BP16" s="148"/>
      <c r="BQ16" s="148"/>
      <c r="BR16" s="153" t="s">
        <v>4559</v>
      </c>
      <c r="BS16" s="148" t="s">
        <v>2429</v>
      </c>
      <c r="BT16" s="148">
        <v>45.0</v>
      </c>
      <c r="BU16" s="148"/>
      <c r="BV16" s="148"/>
      <c r="BW16" s="148"/>
      <c r="BX16" s="148"/>
      <c r="BY16" s="148"/>
      <c r="BZ16" s="148"/>
      <c r="CA16" s="148"/>
      <c r="CB16" s="148"/>
      <c r="CC16" s="148"/>
      <c r="CD16" s="148"/>
      <c r="CE16" s="148"/>
    </row>
    <row r="17" ht="18.75" customHeight="1">
      <c r="A17" s="37" t="s">
        <v>4560</v>
      </c>
      <c r="B17" s="37" t="s">
        <v>4507</v>
      </c>
      <c r="C17" s="64" t="s">
        <v>4561</v>
      </c>
      <c r="D17" s="39"/>
      <c r="E17" s="64">
        <v>8.0</v>
      </c>
      <c r="F17" s="64"/>
      <c r="G17" s="64" t="s">
        <v>4544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2"/>
      <c r="AI17" s="152"/>
      <c r="AJ17" s="152"/>
      <c r="AK17" s="152"/>
      <c r="AS17" s="37">
        <v>15.0</v>
      </c>
      <c r="AU17" s="37">
        <v>30.0</v>
      </c>
      <c r="BI17" s="39" t="s">
        <v>4511</v>
      </c>
      <c r="BJ17" s="41"/>
      <c r="BK17" s="39"/>
      <c r="BL17" s="39"/>
      <c r="BM17" s="39"/>
      <c r="BN17" s="148"/>
      <c r="BO17" s="148"/>
      <c r="BP17" s="148"/>
      <c r="BQ17" s="148"/>
      <c r="BR17" s="153" t="s">
        <v>4562</v>
      </c>
      <c r="BS17" s="148" t="s">
        <v>2429</v>
      </c>
      <c r="BT17" s="148">
        <v>40.0</v>
      </c>
      <c r="BU17" s="148"/>
      <c r="BV17" s="148"/>
      <c r="BW17" s="148"/>
      <c r="BX17" s="148"/>
      <c r="BY17" s="148"/>
      <c r="BZ17" s="148"/>
      <c r="CA17" s="148"/>
      <c r="CB17" s="148"/>
      <c r="CC17" s="148"/>
      <c r="CD17" s="148"/>
      <c r="CE17" s="148"/>
    </row>
    <row r="18" ht="18.75" customHeight="1">
      <c r="A18" s="37" t="s">
        <v>4563</v>
      </c>
      <c r="B18" s="37" t="s">
        <v>4507</v>
      </c>
      <c r="C18" s="64" t="s">
        <v>4564</v>
      </c>
      <c r="D18" s="39"/>
      <c r="E18" s="64">
        <v>2.0</v>
      </c>
      <c r="F18" s="98">
        <v>1.0</v>
      </c>
      <c r="G18" s="64" t="s">
        <v>3034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2"/>
      <c r="AI18" s="152"/>
      <c r="AJ18" s="152"/>
      <c r="AK18" s="152"/>
      <c r="AS18" s="37">
        <v>10.0</v>
      </c>
      <c r="AT18" s="37">
        <v>5.0</v>
      </c>
      <c r="AV18" s="37">
        <v>5.0</v>
      </c>
      <c r="AX18" s="37">
        <v>3.0</v>
      </c>
      <c r="BI18" s="39" t="s">
        <v>4511</v>
      </c>
      <c r="BJ18" s="39"/>
      <c r="BK18" s="39"/>
      <c r="BL18" s="39"/>
      <c r="BM18" s="39"/>
      <c r="BN18" s="148"/>
      <c r="BO18" s="148"/>
      <c r="BP18" s="148"/>
      <c r="BQ18" s="148"/>
      <c r="BR18" s="153" t="s">
        <v>4565</v>
      </c>
      <c r="BS18" s="148" t="s">
        <v>1179</v>
      </c>
      <c r="BT18" s="148">
        <v>50.0</v>
      </c>
      <c r="BU18" s="148"/>
      <c r="BV18" s="148"/>
      <c r="BW18" s="148"/>
      <c r="BX18" s="148"/>
      <c r="BY18" s="148"/>
      <c r="BZ18" s="148"/>
      <c r="CA18" s="148"/>
      <c r="CB18" s="148"/>
      <c r="CC18" s="148"/>
      <c r="CD18" s="148"/>
      <c r="CE18" s="148"/>
    </row>
    <row r="19" ht="17.25" customHeight="1">
      <c r="A19" s="37" t="s">
        <v>4565</v>
      </c>
      <c r="B19" s="37" t="s">
        <v>4507</v>
      </c>
      <c r="C19" s="64" t="s">
        <v>4566</v>
      </c>
      <c r="D19" s="39"/>
      <c r="E19" s="64">
        <v>4.0</v>
      </c>
      <c r="F19" s="64"/>
      <c r="G19" s="64" t="s">
        <v>4544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2"/>
      <c r="AI19" s="152"/>
      <c r="AJ19" s="152"/>
      <c r="AK19" s="152"/>
      <c r="AO19" s="37">
        <v>15.0</v>
      </c>
      <c r="AS19" s="37">
        <v>10.0</v>
      </c>
      <c r="AT19" s="37">
        <v>10.0</v>
      </c>
      <c r="AV19" s="37">
        <v>15.0</v>
      </c>
      <c r="AX19" s="37">
        <v>5.0</v>
      </c>
      <c r="BI19" s="39" t="s">
        <v>4511</v>
      </c>
      <c r="BJ19" s="39"/>
      <c r="BK19" s="39"/>
      <c r="BL19" s="39"/>
      <c r="BM19" s="39"/>
      <c r="BN19" s="148"/>
      <c r="BO19" s="148"/>
      <c r="BP19" s="148"/>
      <c r="BQ19" s="148"/>
      <c r="BR19" s="153" t="s">
        <v>4567</v>
      </c>
      <c r="BS19" s="148" t="s">
        <v>1179</v>
      </c>
      <c r="BT19" s="148">
        <v>65.0</v>
      </c>
      <c r="BU19" s="148"/>
      <c r="BV19" s="148"/>
      <c r="BW19" s="148"/>
      <c r="BX19" s="148"/>
      <c r="BY19" s="148"/>
      <c r="BZ19" s="148"/>
      <c r="CA19" s="148"/>
      <c r="CB19" s="148"/>
      <c r="CC19" s="148"/>
      <c r="CD19" s="148"/>
      <c r="CE19" s="148"/>
    </row>
    <row r="20" ht="18.75" customHeight="1">
      <c r="A20" s="37" t="s">
        <v>4568</v>
      </c>
      <c r="B20" s="37" t="s">
        <v>4507</v>
      </c>
      <c r="C20" s="64" t="s">
        <v>4569</v>
      </c>
      <c r="D20" s="39"/>
      <c r="E20" s="64">
        <v>8.0</v>
      </c>
      <c r="F20" s="98">
        <v>1.0</v>
      </c>
      <c r="G20" s="64" t="s">
        <v>4544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2"/>
      <c r="AI20" s="152"/>
      <c r="AJ20" s="152"/>
      <c r="AK20" s="152"/>
      <c r="AO20" s="37">
        <v>25.0</v>
      </c>
      <c r="AS20" s="37">
        <v>10.0</v>
      </c>
      <c r="AV20" s="37">
        <v>5.0</v>
      </c>
      <c r="AX20" s="37">
        <v>15.0</v>
      </c>
      <c r="BI20" s="39" t="s">
        <v>4511</v>
      </c>
      <c r="BJ20" s="39"/>
      <c r="BK20" s="39"/>
      <c r="BL20" s="39"/>
      <c r="BM20" s="39"/>
      <c r="BN20" s="148"/>
      <c r="BO20" s="148"/>
      <c r="BP20" s="148"/>
      <c r="BQ20" s="148"/>
      <c r="BR20" s="153" t="s">
        <v>4570</v>
      </c>
      <c r="BS20" s="148" t="s">
        <v>1179</v>
      </c>
      <c r="BT20" s="148">
        <v>45.0</v>
      </c>
      <c r="BU20" s="148"/>
      <c r="BV20" s="148"/>
      <c r="BW20" s="148"/>
      <c r="BX20" s="148"/>
      <c r="BY20" s="148"/>
      <c r="BZ20" s="148"/>
      <c r="CA20" s="148"/>
      <c r="CB20" s="148"/>
      <c r="CC20" s="148"/>
      <c r="CD20" s="148"/>
      <c r="CE20" s="148"/>
    </row>
    <row r="21" ht="18.75" customHeight="1">
      <c r="A21" s="37" t="s">
        <v>4571</v>
      </c>
      <c r="B21" s="37" t="s">
        <v>4507</v>
      </c>
      <c r="C21" s="64" t="s">
        <v>4572</v>
      </c>
      <c r="D21" s="39"/>
      <c r="E21" s="64">
        <v>16.0</v>
      </c>
      <c r="F21" s="64"/>
      <c r="G21" s="64" t="s">
        <v>3034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2"/>
      <c r="AI21" s="152"/>
      <c r="AJ21" s="152"/>
      <c r="AK21" s="152"/>
      <c r="AO21" s="37">
        <v>50.0</v>
      </c>
      <c r="AS21" s="37">
        <v>10.0</v>
      </c>
      <c r="AT21" s="37">
        <v>10.0</v>
      </c>
      <c r="AU21" s="37">
        <v>20.0</v>
      </c>
      <c r="AV21" s="37">
        <v>10.0</v>
      </c>
      <c r="AX21" s="37">
        <v>10.0</v>
      </c>
      <c r="BI21" s="39" t="s">
        <v>4511</v>
      </c>
      <c r="BJ21" s="39"/>
      <c r="BK21" s="39"/>
      <c r="BL21" s="39"/>
      <c r="BM21" s="39"/>
      <c r="BN21" s="148"/>
      <c r="BO21" s="148"/>
      <c r="BP21" s="148"/>
      <c r="BQ21" s="148"/>
      <c r="BR21" s="153" t="s">
        <v>4573</v>
      </c>
      <c r="BS21" s="148" t="s">
        <v>1179</v>
      </c>
      <c r="BT21" s="148">
        <v>30.0</v>
      </c>
      <c r="BU21" s="148"/>
      <c r="BV21" s="148"/>
      <c r="BW21" s="148"/>
      <c r="BX21" s="148"/>
      <c r="BY21" s="148"/>
      <c r="BZ21" s="148"/>
      <c r="CA21" s="148"/>
      <c r="CB21" s="148"/>
      <c r="CC21" s="148"/>
      <c r="CD21" s="148"/>
      <c r="CE21" s="148"/>
    </row>
    <row r="22" ht="18.75" customHeight="1">
      <c r="A22" s="37" t="s">
        <v>4574</v>
      </c>
      <c r="B22" s="37" t="s">
        <v>54</v>
      </c>
      <c r="C22" s="64" t="s">
        <v>4575</v>
      </c>
      <c r="D22" s="41"/>
      <c r="E22" s="64">
        <v>2.0</v>
      </c>
      <c r="F22" s="64"/>
      <c r="G22" s="64" t="s">
        <v>4544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2">
        <v>100.0</v>
      </c>
      <c r="AI22" s="152"/>
      <c r="AJ22" s="152"/>
      <c r="AK22" s="152"/>
      <c r="BI22" s="41" t="s">
        <v>4576</v>
      </c>
      <c r="BJ22" s="41"/>
      <c r="BK22" s="41"/>
      <c r="BL22" s="41"/>
      <c r="BM22" s="41"/>
      <c r="BN22" s="148"/>
      <c r="BO22" s="148"/>
      <c r="BP22" s="148"/>
      <c r="BQ22" s="148"/>
      <c r="BR22" s="153" t="s">
        <v>4577</v>
      </c>
      <c r="BS22" s="148" t="s">
        <v>4342</v>
      </c>
      <c r="BT22" s="148">
        <v>100.0</v>
      </c>
      <c r="BU22" s="148"/>
      <c r="BV22" s="148"/>
      <c r="BW22" s="148"/>
      <c r="BX22" s="148"/>
      <c r="BY22" s="148"/>
      <c r="BZ22" s="148"/>
      <c r="CA22" s="148"/>
      <c r="CB22" s="148"/>
      <c r="CC22" s="148"/>
      <c r="CD22" s="148"/>
      <c r="CE22" s="148"/>
    </row>
    <row r="23" ht="18.75" customHeight="1">
      <c r="A23" s="37" t="s">
        <v>4578</v>
      </c>
      <c r="B23" s="37" t="s">
        <v>56</v>
      </c>
      <c r="C23" s="64" t="s">
        <v>4579</v>
      </c>
      <c r="D23" s="41"/>
      <c r="E23" s="64">
        <v>2.0</v>
      </c>
      <c r="F23" s="64"/>
      <c r="G23" s="64" t="s">
        <v>4544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2"/>
      <c r="AI23" s="152">
        <v>100.0</v>
      </c>
      <c r="AJ23" s="152"/>
      <c r="AK23" s="152"/>
      <c r="BI23" s="41" t="s">
        <v>4576</v>
      </c>
      <c r="BJ23" s="41"/>
      <c r="BK23" s="41"/>
      <c r="BL23" s="41"/>
      <c r="BM23" s="41"/>
      <c r="BN23" s="148"/>
      <c r="BO23" s="148"/>
      <c r="BP23" s="148"/>
      <c r="BQ23" s="148"/>
      <c r="BR23" s="153" t="s">
        <v>4506</v>
      </c>
      <c r="BS23" s="148" t="s">
        <v>4541</v>
      </c>
      <c r="BT23" s="148">
        <v>95.0</v>
      </c>
      <c r="BU23" s="148"/>
      <c r="BV23" s="148"/>
      <c r="BW23" s="148"/>
      <c r="BX23" s="148"/>
      <c r="BY23" s="148"/>
      <c r="BZ23" s="148"/>
      <c r="CA23" s="148"/>
      <c r="CB23" s="148"/>
      <c r="CC23" s="148"/>
      <c r="CD23" s="148"/>
      <c r="CE23" s="148"/>
    </row>
    <row r="24" ht="18.75" customHeight="1">
      <c r="A24" s="37" t="s">
        <v>4580</v>
      </c>
      <c r="B24" s="37" t="s">
        <v>3209</v>
      </c>
      <c r="C24" s="64" t="s">
        <v>4581</v>
      </c>
      <c r="D24" s="41"/>
      <c r="E24" s="64">
        <v>2.0</v>
      </c>
      <c r="F24" s="64"/>
      <c r="G24" s="64" t="s">
        <v>4544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2"/>
      <c r="AI24" s="152"/>
      <c r="AJ24" s="152"/>
      <c r="AK24" s="152">
        <v>100.0</v>
      </c>
      <c r="BI24" s="41" t="s">
        <v>4576</v>
      </c>
      <c r="BJ24" s="41"/>
      <c r="BK24" s="41"/>
      <c r="BL24" s="41"/>
      <c r="BM24" s="41"/>
      <c r="BN24" s="148"/>
      <c r="BO24" s="148"/>
      <c r="BP24" s="148"/>
      <c r="BQ24" s="148"/>
      <c r="BR24" s="153" t="s">
        <v>4506</v>
      </c>
      <c r="BS24" s="148" t="s">
        <v>4541</v>
      </c>
      <c r="BT24" s="148">
        <v>90.0</v>
      </c>
      <c r="BU24" s="148"/>
      <c r="BV24" s="148"/>
      <c r="BW24" s="148"/>
      <c r="BX24" s="148"/>
      <c r="BY24" s="148"/>
      <c r="BZ24" s="148"/>
      <c r="CA24" s="148"/>
      <c r="CB24" s="148"/>
      <c r="CC24" s="148"/>
      <c r="CD24" s="148"/>
      <c r="CE24" s="148"/>
    </row>
    <row r="25" ht="18.75" customHeight="1">
      <c r="A25" s="37" t="s">
        <v>4582</v>
      </c>
      <c r="B25" s="37" t="s">
        <v>3212</v>
      </c>
      <c r="C25" s="64" t="s">
        <v>4583</v>
      </c>
      <c r="D25" s="41"/>
      <c r="E25" s="64">
        <v>2.0</v>
      </c>
      <c r="F25" s="64"/>
      <c r="G25" s="64" t="s">
        <v>4544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2"/>
      <c r="AI25" s="152"/>
      <c r="AJ25" s="152"/>
      <c r="AK25" s="152">
        <v>100.0</v>
      </c>
      <c r="BI25" s="41" t="s">
        <v>4576</v>
      </c>
      <c r="BJ25" s="41"/>
      <c r="BK25" s="41"/>
      <c r="BL25" s="41"/>
      <c r="BM25" s="41"/>
      <c r="BN25" s="148"/>
      <c r="BO25" s="148"/>
      <c r="BP25" s="148"/>
      <c r="BQ25" s="148"/>
      <c r="BR25" s="153" t="s">
        <v>4580</v>
      </c>
      <c r="BS25" s="148" t="s">
        <v>4541</v>
      </c>
      <c r="BT25" s="148">
        <v>75.0</v>
      </c>
      <c r="BU25" s="148"/>
      <c r="BV25" s="148"/>
      <c r="BW25" s="148"/>
      <c r="BX25" s="148"/>
      <c r="BY25" s="148"/>
      <c r="BZ25" s="148"/>
      <c r="CA25" s="148"/>
      <c r="CB25" s="148"/>
      <c r="CC25" s="148"/>
      <c r="CD25" s="148"/>
      <c r="CE25" s="148"/>
    </row>
    <row r="26" ht="18.75" customHeight="1">
      <c r="A26" s="37" t="s">
        <v>4584</v>
      </c>
      <c r="B26" s="37" t="s">
        <v>4585</v>
      </c>
      <c r="C26" s="98" t="s">
        <v>4586</v>
      </c>
      <c r="D26" s="39" t="s">
        <v>4587</v>
      </c>
      <c r="E26" s="64">
        <v>2.0</v>
      </c>
      <c r="F26" s="64"/>
      <c r="G26" s="64" t="s">
        <v>4544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2"/>
      <c r="AI26" s="152"/>
      <c r="AJ26" s="152">
        <v>100.0</v>
      </c>
      <c r="AK26" s="152"/>
      <c r="AR26" s="37">
        <v>10.0</v>
      </c>
      <c r="BI26" s="39" t="s">
        <v>4511</v>
      </c>
      <c r="BJ26" s="39" t="s">
        <v>4513</v>
      </c>
      <c r="BK26" s="39" t="s">
        <v>2626</v>
      </c>
      <c r="BL26" s="39">
        <v>2.0</v>
      </c>
      <c r="BM26" s="39">
        <f>E31</f>
        <v>1</v>
      </c>
      <c r="BN26" s="148"/>
      <c r="BO26" s="148"/>
      <c r="BP26" s="148"/>
      <c r="BQ26" s="148"/>
      <c r="BR26" s="153" t="s">
        <v>4588</v>
      </c>
      <c r="BS26" s="148" t="s">
        <v>4589</v>
      </c>
      <c r="BT26" s="148">
        <v>45.0</v>
      </c>
      <c r="BU26" s="148"/>
      <c r="BV26" s="148"/>
      <c r="BW26" s="148"/>
      <c r="BX26" s="148"/>
      <c r="BY26" s="148"/>
      <c r="BZ26" s="148"/>
      <c r="CA26" s="148"/>
      <c r="CB26" s="148"/>
      <c r="CC26" s="148"/>
      <c r="CD26" s="148"/>
      <c r="CE26" s="148"/>
    </row>
    <row r="27" ht="18.75" customHeight="1">
      <c r="A27" s="37" t="s">
        <v>4535</v>
      </c>
      <c r="B27" s="37" t="s">
        <v>4507</v>
      </c>
      <c r="C27" s="64" t="s">
        <v>4590</v>
      </c>
      <c r="D27" s="39"/>
      <c r="E27" s="64">
        <v>2.0</v>
      </c>
      <c r="F27" s="64"/>
      <c r="G27" s="64" t="s">
        <v>4544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2"/>
      <c r="AI27" s="152"/>
      <c r="AJ27" s="152"/>
      <c r="AK27" s="152"/>
      <c r="AP27" s="37">
        <v>15.0</v>
      </c>
      <c r="AT27" s="37">
        <v>10.0</v>
      </c>
      <c r="BI27" s="39" t="s">
        <v>4511</v>
      </c>
      <c r="BJ27" s="39"/>
      <c r="BK27" s="39"/>
      <c r="BL27" s="39"/>
      <c r="BM27" s="39"/>
      <c r="BN27" s="148"/>
      <c r="BO27" s="148"/>
      <c r="BP27" s="148"/>
      <c r="BQ27" s="148"/>
      <c r="BR27" s="153" t="s">
        <v>4506</v>
      </c>
      <c r="BS27" s="148" t="s">
        <v>4591</v>
      </c>
      <c r="BT27" s="148">
        <v>75.0</v>
      </c>
      <c r="BU27" s="148"/>
      <c r="BV27" s="148"/>
      <c r="BW27" s="148"/>
      <c r="BX27" s="148"/>
      <c r="BY27" s="148"/>
      <c r="BZ27" s="148"/>
      <c r="CA27" s="148"/>
      <c r="CB27" s="148"/>
      <c r="CC27" s="148"/>
      <c r="CD27" s="148"/>
      <c r="CE27" s="148"/>
    </row>
    <row r="28" ht="18.75" customHeight="1">
      <c r="A28" s="37" t="s">
        <v>4592</v>
      </c>
      <c r="B28" s="37" t="s">
        <v>4507</v>
      </c>
      <c r="C28" s="64" t="s">
        <v>4593</v>
      </c>
      <c r="D28" s="39"/>
      <c r="E28" s="64">
        <v>2.0</v>
      </c>
      <c r="F28" s="64"/>
      <c r="G28" s="64" t="s">
        <v>4544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2"/>
      <c r="AI28" s="152"/>
      <c r="AJ28" s="152"/>
      <c r="AK28" s="152"/>
      <c r="AP28" s="37">
        <v>25.0</v>
      </c>
      <c r="BI28" s="39" t="s">
        <v>4511</v>
      </c>
      <c r="BJ28" s="39"/>
      <c r="BK28" s="39"/>
      <c r="BL28" s="39"/>
      <c r="BM28" s="39"/>
      <c r="BN28" s="148"/>
      <c r="BO28" s="148"/>
      <c r="BP28" s="148"/>
      <c r="BQ28" s="148"/>
      <c r="BR28" s="153" t="s">
        <v>4506</v>
      </c>
      <c r="BS28" s="148" t="s">
        <v>4589</v>
      </c>
      <c r="BT28" s="148">
        <v>80.0</v>
      </c>
      <c r="BU28" s="148"/>
      <c r="BV28" s="148"/>
      <c r="BW28" s="148"/>
      <c r="BX28" s="148"/>
      <c r="BY28" s="148"/>
      <c r="BZ28" s="148"/>
      <c r="CA28" s="148"/>
      <c r="CB28" s="148"/>
      <c r="CC28" s="148"/>
      <c r="CD28" s="148"/>
      <c r="CE28" s="148"/>
    </row>
    <row r="29" ht="18.75" customHeight="1">
      <c r="A29" s="37" t="s">
        <v>4594</v>
      </c>
      <c r="B29" s="37" t="s">
        <v>4507</v>
      </c>
      <c r="C29" s="64" t="s">
        <v>4595</v>
      </c>
      <c r="D29" s="39"/>
      <c r="E29" s="64">
        <v>2.0</v>
      </c>
      <c r="F29" s="64"/>
      <c r="G29" s="64" t="s">
        <v>4544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2"/>
      <c r="AI29" s="152"/>
      <c r="AJ29" s="152"/>
      <c r="AK29" s="152"/>
      <c r="AR29" s="37">
        <v>3.0</v>
      </c>
      <c r="AS29" s="37">
        <v>10.0</v>
      </c>
      <c r="AT29" s="37">
        <v>10.0</v>
      </c>
      <c r="AX29" s="37">
        <v>3.0</v>
      </c>
      <c r="BI29" s="39" t="s">
        <v>4511</v>
      </c>
      <c r="BJ29" s="39"/>
      <c r="BK29" s="39"/>
      <c r="BL29" s="39"/>
      <c r="BM29" s="39"/>
      <c r="BN29" s="148"/>
      <c r="BO29" s="148"/>
      <c r="BP29" s="148"/>
      <c r="BQ29" s="148"/>
      <c r="BR29" s="153" t="s">
        <v>4513</v>
      </c>
      <c r="BS29" s="148" t="s">
        <v>4596</v>
      </c>
      <c r="BT29" s="148">
        <v>50.0</v>
      </c>
      <c r="BU29" s="148"/>
      <c r="BV29" s="148"/>
      <c r="BW29" s="148"/>
      <c r="BX29" s="148"/>
      <c r="BY29" s="148"/>
      <c r="BZ29" s="148"/>
      <c r="CA29" s="148"/>
      <c r="CB29" s="148"/>
      <c r="CC29" s="148"/>
      <c r="CD29" s="148"/>
      <c r="CE29" s="148"/>
    </row>
    <row r="30" ht="18.75" customHeight="1">
      <c r="A30" s="37" t="s">
        <v>4597</v>
      </c>
      <c r="B30" s="37" t="s">
        <v>4598</v>
      </c>
      <c r="C30" s="64" t="s">
        <v>4599</v>
      </c>
      <c r="D30" s="39"/>
      <c r="E30" s="64">
        <v>2.0</v>
      </c>
      <c r="F30" s="64"/>
      <c r="G30" s="64" t="s">
        <v>4544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2"/>
      <c r="AI30" s="152"/>
      <c r="AJ30" s="152"/>
      <c r="AK30" s="152"/>
      <c r="AR30" s="37">
        <v>3.0</v>
      </c>
      <c r="AS30" s="37">
        <v>5.0</v>
      </c>
      <c r="AT30" s="37">
        <v>15.0</v>
      </c>
      <c r="AX30" s="37">
        <v>5.0</v>
      </c>
      <c r="BI30" s="39" t="s">
        <v>4511</v>
      </c>
      <c r="BJ30" s="39"/>
      <c r="BK30" s="39"/>
      <c r="BL30" s="39"/>
      <c r="BM30" s="39"/>
      <c r="BN30" s="148"/>
      <c r="BO30" s="148"/>
      <c r="BP30" s="148"/>
      <c r="BQ30" s="148"/>
      <c r="BR30" s="153" t="s">
        <v>4506</v>
      </c>
      <c r="BS30" s="148" t="s">
        <v>4596</v>
      </c>
      <c r="BT30" s="148">
        <v>45.0</v>
      </c>
      <c r="BU30" s="148"/>
      <c r="BV30" s="148"/>
      <c r="BW30" s="148"/>
      <c r="BX30" s="148"/>
      <c r="BY30" s="148"/>
      <c r="BZ30" s="148"/>
      <c r="CA30" s="148"/>
      <c r="CB30" s="148"/>
      <c r="CC30" s="148"/>
      <c r="CD30" s="148"/>
      <c r="CE30" s="148"/>
    </row>
    <row r="31" ht="18.75" customHeight="1">
      <c r="A31" s="39" t="s">
        <v>4587</v>
      </c>
      <c r="B31" s="39" t="s">
        <v>4585</v>
      </c>
      <c r="C31" s="98" t="s">
        <v>4600</v>
      </c>
      <c r="E31" s="98">
        <v>1.0</v>
      </c>
      <c r="F31" s="64"/>
      <c r="G31" s="98" t="s">
        <v>4544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2"/>
      <c r="AI31" s="152"/>
      <c r="AJ31" s="152"/>
      <c r="AK31" s="152"/>
      <c r="BI31" s="39" t="s">
        <v>4511</v>
      </c>
      <c r="BJ31" s="39" t="s">
        <v>4506</v>
      </c>
      <c r="BK31" s="39" t="s">
        <v>2626</v>
      </c>
      <c r="BL31" s="39">
        <v>1.0</v>
      </c>
      <c r="BN31" s="148"/>
      <c r="BO31" s="148"/>
      <c r="BP31" s="148"/>
      <c r="BQ31" s="148"/>
      <c r="BR31" s="153" t="s">
        <v>4577</v>
      </c>
      <c r="BS31" s="148" t="s">
        <v>4589</v>
      </c>
      <c r="BT31" s="148">
        <v>70.0</v>
      </c>
      <c r="BU31" s="148"/>
      <c r="BV31" s="148"/>
      <c r="BW31" s="148"/>
      <c r="BX31" s="148"/>
      <c r="BY31" s="148"/>
      <c r="BZ31" s="148"/>
      <c r="CA31" s="148"/>
      <c r="CB31" s="148"/>
      <c r="CC31" s="148"/>
      <c r="CD31" s="148"/>
      <c r="CE31" s="148"/>
    </row>
    <row r="32" ht="18.75" customHeight="1">
      <c r="A32" s="39" t="s">
        <v>4601</v>
      </c>
      <c r="B32" s="39" t="s">
        <v>4507</v>
      </c>
      <c r="C32" s="98" t="s">
        <v>4602</v>
      </c>
      <c r="E32" s="98">
        <v>3.0</v>
      </c>
      <c r="F32" s="64"/>
      <c r="G32" s="98" t="s">
        <v>3034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2"/>
      <c r="AI32" s="152"/>
      <c r="AJ32" s="152"/>
      <c r="AK32" s="152"/>
      <c r="BI32" s="39" t="s">
        <v>4511</v>
      </c>
      <c r="BN32" s="148"/>
      <c r="BO32" s="148"/>
      <c r="BP32" s="148"/>
      <c r="BQ32" s="148"/>
      <c r="BR32" s="153" t="s">
        <v>4506</v>
      </c>
      <c r="BS32" s="148" t="s">
        <v>4603</v>
      </c>
      <c r="BT32" s="148">
        <v>70.0</v>
      </c>
      <c r="BU32" s="148"/>
      <c r="BV32" s="148"/>
      <c r="BW32" s="148"/>
      <c r="BX32" s="148"/>
      <c r="BY32" s="148"/>
      <c r="BZ32" s="148"/>
      <c r="CA32" s="148"/>
      <c r="CB32" s="148"/>
      <c r="CC32" s="148"/>
      <c r="CD32" s="148"/>
      <c r="CE32" s="148"/>
    </row>
    <row r="33" ht="18.75" customHeight="1">
      <c r="A33" s="39" t="s">
        <v>4604</v>
      </c>
      <c r="B33" s="39" t="s">
        <v>4507</v>
      </c>
      <c r="C33" s="98" t="s">
        <v>4605</v>
      </c>
      <c r="E33" s="98">
        <v>6.0</v>
      </c>
      <c r="F33" s="64"/>
      <c r="G33" s="98" t="s">
        <v>3034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2"/>
      <c r="AI33" s="152"/>
      <c r="AJ33" s="152"/>
      <c r="AK33" s="152"/>
      <c r="BI33" s="39" t="s">
        <v>4511</v>
      </c>
      <c r="BN33" s="148"/>
      <c r="BO33" s="148"/>
      <c r="BP33" s="148"/>
      <c r="BQ33" s="148"/>
      <c r="BR33" s="153" t="s">
        <v>4606</v>
      </c>
      <c r="BS33" s="148" t="s">
        <v>4603</v>
      </c>
      <c r="BT33" s="148">
        <v>35.0</v>
      </c>
      <c r="BU33" s="148"/>
      <c r="BV33" s="148"/>
      <c r="BW33" s="148"/>
      <c r="BX33" s="148"/>
      <c r="BY33" s="148"/>
      <c r="BZ33" s="148"/>
      <c r="CA33" s="148"/>
      <c r="CB33" s="148"/>
      <c r="CC33" s="148"/>
      <c r="CD33" s="148"/>
      <c r="CE33" s="148"/>
    </row>
    <row r="34">
      <c r="A34" s="39" t="s">
        <v>4607</v>
      </c>
      <c r="B34" s="39" t="s">
        <v>4507</v>
      </c>
      <c r="C34" s="98" t="s">
        <v>4608</v>
      </c>
      <c r="E34" s="98">
        <v>4.0</v>
      </c>
      <c r="F34" s="98">
        <v>1.0</v>
      </c>
      <c r="G34" s="98" t="s">
        <v>3034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2"/>
      <c r="AI34" s="152"/>
      <c r="AJ34" s="152"/>
      <c r="AK34" s="152"/>
      <c r="BI34" s="39" t="s">
        <v>4511</v>
      </c>
      <c r="BN34" s="148" t="s">
        <v>2627</v>
      </c>
      <c r="BO34" s="148" t="s">
        <v>4609</v>
      </c>
      <c r="BP34" s="148">
        <v>0.0</v>
      </c>
      <c r="BQ34" s="148"/>
      <c r="BR34" s="153" t="s">
        <v>4610</v>
      </c>
      <c r="BS34" s="148" t="s">
        <v>2627</v>
      </c>
      <c r="BT34" s="148">
        <v>30.0</v>
      </c>
      <c r="BU34" s="148"/>
      <c r="BV34" s="148"/>
      <c r="BW34" s="148"/>
      <c r="BX34" s="148"/>
      <c r="BY34" s="148"/>
      <c r="BZ34" s="148"/>
      <c r="CA34" s="148"/>
      <c r="CB34" s="148"/>
      <c r="CC34" s="148"/>
      <c r="CD34" s="148"/>
      <c r="CE34" s="148"/>
    </row>
    <row r="35" ht="54.0" customHeight="1">
      <c r="A35" s="39" t="s">
        <v>4611</v>
      </c>
      <c r="B35" s="39" t="s">
        <v>4507</v>
      </c>
      <c r="C35" s="98" t="s">
        <v>4612</v>
      </c>
      <c r="E35" s="98">
        <v>3.0</v>
      </c>
      <c r="F35" s="98">
        <v>0.0</v>
      </c>
      <c r="G35" s="98" t="s">
        <v>3034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2"/>
      <c r="AI35" s="152"/>
      <c r="AJ35" s="152"/>
      <c r="AK35" s="152"/>
      <c r="BI35" s="39" t="s">
        <v>4511</v>
      </c>
      <c r="BN35" s="148" t="s">
        <v>4530</v>
      </c>
      <c r="BO35" s="148" t="s">
        <v>4609</v>
      </c>
      <c r="BP35" s="148">
        <v>0.0</v>
      </c>
      <c r="BQ35" s="148"/>
      <c r="BR35" s="153" t="s">
        <v>4613</v>
      </c>
      <c r="BS35" s="148" t="s">
        <v>4614</v>
      </c>
      <c r="BT35" s="148">
        <v>30.0</v>
      </c>
      <c r="BU35" s="148"/>
      <c r="BV35" s="148"/>
      <c r="BW35" s="148"/>
      <c r="BX35" s="148"/>
      <c r="BY35" s="148"/>
      <c r="BZ35" s="148"/>
      <c r="CA35" s="148"/>
      <c r="CB35" s="148"/>
      <c r="CC35" s="148"/>
      <c r="CD35" s="148"/>
      <c r="CE35" s="148"/>
    </row>
    <row r="36" ht="54.0" customHeight="1">
      <c r="A36" s="39" t="s">
        <v>4567</v>
      </c>
      <c r="B36" s="39" t="s">
        <v>4507</v>
      </c>
      <c r="C36" s="98" t="s">
        <v>4615</v>
      </c>
      <c r="E36" s="98">
        <v>2.0</v>
      </c>
      <c r="F36" s="98">
        <v>0.0</v>
      </c>
      <c r="G36" s="98" t="s">
        <v>3034</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2"/>
      <c r="AI36" s="152"/>
      <c r="AJ36" s="152"/>
      <c r="AK36" s="152"/>
      <c r="BI36" s="39" t="s">
        <v>4511</v>
      </c>
      <c r="BQ36" s="148">
        <v>2.0</v>
      </c>
      <c r="BR36" s="153" t="s">
        <v>4506</v>
      </c>
      <c r="BS36" s="148" t="s">
        <v>1845</v>
      </c>
      <c r="BT36" s="148">
        <v>90.0</v>
      </c>
      <c r="BU36" s="148"/>
      <c r="BV36" s="148"/>
      <c r="BW36" s="148"/>
      <c r="BX36" s="148"/>
      <c r="BY36" s="148"/>
      <c r="BZ36" s="148"/>
      <c r="CA36" s="148"/>
      <c r="CB36" s="148"/>
      <c r="CC36" s="148"/>
      <c r="CD36" s="148"/>
      <c r="CE36" s="148"/>
    </row>
    <row r="37" ht="54.0" customHeight="1">
      <c r="A37" s="39" t="s">
        <v>4616</v>
      </c>
      <c r="B37" s="39" t="s">
        <v>29</v>
      </c>
      <c r="C37" s="98" t="s">
        <v>4617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2"/>
      <c r="AI37" s="152"/>
      <c r="AJ37" s="152"/>
      <c r="AK37" s="152"/>
      <c r="BI37" s="39" t="s">
        <v>4511</v>
      </c>
      <c r="BN37" s="39" t="s">
        <v>2628</v>
      </c>
      <c r="BO37" s="39" t="s">
        <v>4609</v>
      </c>
      <c r="BP37" s="39">
        <v>0.0</v>
      </c>
      <c r="BQ37" s="148"/>
      <c r="BR37" s="153" t="s">
        <v>4618</v>
      </c>
      <c r="BS37" s="148" t="s">
        <v>1845</v>
      </c>
      <c r="BT37" s="148">
        <v>40.0</v>
      </c>
      <c r="BU37" s="148"/>
      <c r="BV37" s="148"/>
      <c r="BW37" s="148"/>
      <c r="BX37" s="148"/>
      <c r="BY37" s="148"/>
      <c r="BZ37" s="148"/>
      <c r="CA37" s="148"/>
      <c r="CB37" s="148"/>
      <c r="CC37" s="148"/>
      <c r="CD37" s="148"/>
      <c r="CE37" s="148"/>
    </row>
    <row r="38" ht="18.75" customHeight="1">
      <c r="A38" s="39" t="s">
        <v>4619</v>
      </c>
      <c r="B38" s="39" t="s">
        <v>4507</v>
      </c>
      <c r="C38" s="98" t="s">
        <v>4620</v>
      </c>
      <c r="E38" s="98">
        <v>3.0</v>
      </c>
      <c r="F38" s="98">
        <v>1.0</v>
      </c>
      <c r="G38" s="98" t="s">
        <v>3034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2"/>
      <c r="AI38" s="152"/>
      <c r="AJ38" s="152"/>
      <c r="AK38" s="152"/>
      <c r="AZ38" s="39" t="s">
        <v>4621</v>
      </c>
      <c r="BI38" s="39" t="s">
        <v>4511</v>
      </c>
      <c r="BR38" s="39" t="s">
        <v>4555</v>
      </c>
      <c r="BS38" s="115" t="s">
        <v>4622</v>
      </c>
      <c r="BT38" s="115">
        <v>35.0</v>
      </c>
      <c r="BU38" s="115" t="s">
        <v>4623</v>
      </c>
      <c r="BV38" s="115">
        <v>10.0</v>
      </c>
      <c r="BW38" s="115">
        <v>0.0</v>
      </c>
      <c r="BX38" s="115"/>
      <c r="BY38" s="115" t="s">
        <v>29</v>
      </c>
      <c r="BZ38" s="115" t="s">
        <v>29</v>
      </c>
      <c r="CA38" s="115" t="s">
        <v>29</v>
      </c>
      <c r="CB38" s="115" t="s">
        <v>4624</v>
      </c>
      <c r="CC38" s="115">
        <v>25.0</v>
      </c>
      <c r="CD38" s="115">
        <v>0.0</v>
      </c>
      <c r="CE38" s="115"/>
    </row>
    <row r="39" ht="18.75" customHeight="1">
      <c r="A39" s="39" t="s">
        <v>4625</v>
      </c>
      <c r="B39" s="39" t="s">
        <v>4507</v>
      </c>
      <c r="C39" s="98" t="s">
        <v>4626</v>
      </c>
      <c r="E39" s="98">
        <v>3.0</v>
      </c>
      <c r="F39" s="98">
        <v>1.0</v>
      </c>
      <c r="G39" s="98" t="s">
        <v>3034</v>
      </c>
      <c r="I39" s="39">
        <v>1.0</v>
      </c>
      <c r="J39" s="39" t="s">
        <v>29</v>
      </c>
      <c r="M39" s="39">
        <v>50.0</v>
      </c>
      <c r="P39" s="39">
        <v>50.0</v>
      </c>
      <c r="Q39" s="39">
        <v>25.0</v>
      </c>
      <c r="AH39" s="152"/>
      <c r="AI39" s="152"/>
      <c r="AJ39" s="152"/>
      <c r="AK39" s="152"/>
      <c r="AZ39" s="39" t="s">
        <v>4621</v>
      </c>
      <c r="BI39" s="39" t="s">
        <v>4511</v>
      </c>
      <c r="BR39" s="39" t="s">
        <v>4619</v>
      </c>
      <c r="BS39" s="115" t="s">
        <v>4622</v>
      </c>
      <c r="BT39" s="115">
        <v>28.0</v>
      </c>
      <c r="BU39" s="115" t="s">
        <v>4627</v>
      </c>
      <c r="BV39" s="115">
        <v>10.0</v>
      </c>
      <c r="BW39" s="115">
        <v>1.0</v>
      </c>
      <c r="BX39" s="115" t="s">
        <v>4628</v>
      </c>
      <c r="BY39" s="115" t="s">
        <v>29</v>
      </c>
      <c r="BZ39" s="115" t="s">
        <v>29</v>
      </c>
      <c r="CA39" s="115" t="s">
        <v>29</v>
      </c>
      <c r="CB39" s="115" t="s">
        <v>4629</v>
      </c>
      <c r="CC39" s="115">
        <v>25.0</v>
      </c>
      <c r="CD39" s="115">
        <v>1.0</v>
      </c>
      <c r="CE39" s="115">
        <v>10.0</v>
      </c>
    </row>
    <row r="40" ht="18.75" customHeight="1">
      <c r="A40" s="39" t="s">
        <v>4630</v>
      </c>
      <c r="B40" s="39" t="s">
        <v>4507</v>
      </c>
      <c r="C40" s="98" t="s">
        <v>4631</v>
      </c>
      <c r="D40" s="39" t="s">
        <v>4625</v>
      </c>
      <c r="E40" s="98">
        <v>5.0</v>
      </c>
      <c r="F40" s="98">
        <v>1.0</v>
      </c>
      <c r="G40" s="98" t="s">
        <v>3034</v>
      </c>
      <c r="I40" s="39">
        <v>2.0</v>
      </c>
      <c r="J40" s="39" t="s">
        <v>29</v>
      </c>
      <c r="M40" s="39">
        <v>100.0</v>
      </c>
      <c r="P40" s="39">
        <v>100.0</v>
      </c>
      <c r="Q40" s="39">
        <v>50.0</v>
      </c>
      <c r="AH40" s="152"/>
      <c r="AI40" s="152"/>
      <c r="AJ40" s="152"/>
      <c r="AK40" s="152"/>
      <c r="AZ40" s="39" t="s">
        <v>4621</v>
      </c>
      <c r="BI40" s="39" t="s">
        <v>4511</v>
      </c>
      <c r="BM40" s="39">
        <v>0.0</v>
      </c>
      <c r="BR40" s="39" t="s">
        <v>4625</v>
      </c>
      <c r="BS40" s="115" t="s">
        <v>4622</v>
      </c>
      <c r="BT40" s="115">
        <v>26.0</v>
      </c>
      <c r="BU40" s="115" t="s">
        <v>4627</v>
      </c>
      <c r="BV40" s="115">
        <v>20.0</v>
      </c>
      <c r="BW40" s="115">
        <v>2.0</v>
      </c>
      <c r="BX40" s="115" t="s">
        <v>4632</v>
      </c>
      <c r="BY40" s="115" t="s">
        <v>29</v>
      </c>
      <c r="BZ40" s="115" t="s">
        <v>29</v>
      </c>
      <c r="CA40" s="115" t="s">
        <v>29</v>
      </c>
      <c r="CB40" s="115" t="s">
        <v>4629</v>
      </c>
      <c r="CC40" s="115">
        <v>25.0</v>
      </c>
      <c r="CD40" s="115">
        <v>3.0</v>
      </c>
      <c r="CE40" s="115">
        <v>20.0</v>
      </c>
    </row>
    <row r="41" ht="18.75" customHeight="1">
      <c r="A41" s="39" t="s">
        <v>4633</v>
      </c>
      <c r="B41" s="39" t="s">
        <v>4507</v>
      </c>
      <c r="C41" s="98" t="s">
        <v>4634</v>
      </c>
      <c r="D41" s="39" t="s">
        <v>4630</v>
      </c>
      <c r="E41" s="98">
        <v>7.0</v>
      </c>
      <c r="F41" s="98">
        <v>1.0</v>
      </c>
      <c r="G41" s="98" t="s">
        <v>3034</v>
      </c>
      <c r="I41" s="39">
        <v>3.0</v>
      </c>
      <c r="J41" s="39" t="s">
        <v>29</v>
      </c>
      <c r="M41" s="39">
        <v>150.0</v>
      </c>
      <c r="P41" s="39">
        <v>150.0</v>
      </c>
      <c r="Q41" s="39">
        <v>75.0</v>
      </c>
      <c r="AH41" s="152"/>
      <c r="AI41" s="152"/>
      <c r="AJ41" s="152"/>
      <c r="AK41" s="152"/>
      <c r="AZ41" s="39" t="s">
        <v>4621</v>
      </c>
      <c r="BI41" s="39" t="s">
        <v>4511</v>
      </c>
      <c r="BM41" s="39">
        <v>0.0</v>
      </c>
      <c r="BR41" s="39" t="s">
        <v>4630</v>
      </c>
      <c r="BS41" s="115" t="s">
        <v>4622</v>
      </c>
      <c r="BT41" s="115">
        <v>24.0</v>
      </c>
      <c r="BU41" s="115" t="s">
        <v>4627</v>
      </c>
      <c r="BV41" s="115">
        <v>25.0</v>
      </c>
      <c r="BW41" s="115">
        <v>3.0</v>
      </c>
      <c r="BX41" s="115" t="s">
        <v>4635</v>
      </c>
      <c r="BY41" s="115" t="s">
        <v>29</v>
      </c>
      <c r="BZ41" s="115" t="s">
        <v>29</v>
      </c>
      <c r="CA41" s="115" t="s">
        <v>29</v>
      </c>
      <c r="CB41" s="115" t="s">
        <v>4629</v>
      </c>
      <c r="CC41" s="115">
        <v>25.0</v>
      </c>
      <c r="CD41" s="115">
        <v>5.0</v>
      </c>
      <c r="CE41" s="115">
        <v>25.0</v>
      </c>
    </row>
    <row r="42" ht="18.75" customHeight="1">
      <c r="A42" s="39" t="s">
        <v>4636</v>
      </c>
      <c r="B42" s="39" t="s">
        <v>4507</v>
      </c>
      <c r="C42" s="98" t="s">
        <v>4637</v>
      </c>
      <c r="E42" s="98">
        <v>3.0</v>
      </c>
      <c r="F42" s="98">
        <v>1.0</v>
      </c>
      <c r="G42" s="98" t="s">
        <v>3034</v>
      </c>
      <c r="I42" s="39">
        <v>1.0</v>
      </c>
      <c r="J42" s="39" t="s">
        <v>29</v>
      </c>
      <c r="M42" s="39">
        <v>50.0</v>
      </c>
      <c r="P42" s="39">
        <v>50.0</v>
      </c>
      <c r="Q42" s="39">
        <v>25.0</v>
      </c>
      <c r="AH42" s="152"/>
      <c r="AI42" s="152"/>
      <c r="AJ42" s="152"/>
      <c r="AK42" s="152"/>
      <c r="AZ42" s="39" t="s">
        <v>4621</v>
      </c>
      <c r="BI42" s="39" t="s">
        <v>4511</v>
      </c>
      <c r="BR42" s="39" t="s">
        <v>4619</v>
      </c>
      <c r="BS42" s="115" t="s">
        <v>4622</v>
      </c>
      <c r="BT42" s="115">
        <v>28.0</v>
      </c>
      <c r="BU42" s="115" t="s">
        <v>4638</v>
      </c>
      <c r="BV42" s="115">
        <v>10.0</v>
      </c>
      <c r="BW42" s="115">
        <v>1.0</v>
      </c>
      <c r="BX42" s="115" t="s">
        <v>4628</v>
      </c>
      <c r="BY42" s="115" t="s">
        <v>29</v>
      </c>
      <c r="BZ42" s="115" t="s">
        <v>29</v>
      </c>
      <c r="CA42" s="115" t="s">
        <v>29</v>
      </c>
      <c r="CB42" s="115" t="s">
        <v>4639</v>
      </c>
      <c r="CC42" s="115">
        <v>25.0</v>
      </c>
      <c r="CD42" s="115">
        <v>1.0</v>
      </c>
      <c r="CE42" s="115">
        <v>10.0</v>
      </c>
    </row>
    <row r="43" ht="18.75" customHeight="1">
      <c r="A43" s="39" t="s">
        <v>4640</v>
      </c>
      <c r="B43" s="39" t="s">
        <v>4507</v>
      </c>
      <c r="C43" s="98" t="s">
        <v>4641</v>
      </c>
      <c r="D43" s="39" t="s">
        <v>4636</v>
      </c>
      <c r="E43" s="98">
        <v>5.0</v>
      </c>
      <c r="F43" s="98">
        <v>1.0</v>
      </c>
      <c r="G43" s="98" t="s">
        <v>3034</v>
      </c>
      <c r="I43" s="39">
        <v>2.0</v>
      </c>
      <c r="J43" s="39" t="s">
        <v>29</v>
      </c>
      <c r="M43" s="39">
        <v>100.0</v>
      </c>
      <c r="P43" s="39">
        <v>100.0</v>
      </c>
      <c r="Q43" s="39">
        <v>50.0</v>
      </c>
      <c r="AH43" s="152"/>
      <c r="AI43" s="152"/>
      <c r="AJ43" s="152"/>
      <c r="AK43" s="152"/>
      <c r="AZ43" s="39" t="s">
        <v>4621</v>
      </c>
      <c r="BI43" s="39" t="s">
        <v>4511</v>
      </c>
      <c r="BM43" s="39">
        <v>0.0</v>
      </c>
      <c r="BR43" s="39" t="s">
        <v>4636</v>
      </c>
      <c r="BS43" s="115" t="s">
        <v>4622</v>
      </c>
      <c r="BT43" s="115">
        <v>26.0</v>
      </c>
      <c r="BU43" s="115" t="s">
        <v>4638</v>
      </c>
      <c r="BV43" s="115">
        <v>20.0</v>
      </c>
      <c r="BW43" s="115">
        <v>2.0</v>
      </c>
      <c r="BX43" s="115" t="s">
        <v>4632</v>
      </c>
      <c r="BY43" s="115" t="s">
        <v>29</v>
      </c>
      <c r="BZ43" s="115" t="s">
        <v>29</v>
      </c>
      <c r="CA43" s="115" t="s">
        <v>29</v>
      </c>
      <c r="CB43" s="115" t="s">
        <v>4639</v>
      </c>
      <c r="CC43" s="115">
        <v>25.0</v>
      </c>
      <c r="CD43" s="115">
        <v>3.0</v>
      </c>
      <c r="CE43" s="115">
        <v>20.0</v>
      </c>
    </row>
    <row r="44" ht="18.75" customHeight="1">
      <c r="A44" s="39" t="s">
        <v>4642</v>
      </c>
      <c r="B44" s="39" t="s">
        <v>4507</v>
      </c>
      <c r="C44" s="98" t="s">
        <v>4643</v>
      </c>
      <c r="D44" s="39" t="s">
        <v>4640</v>
      </c>
      <c r="E44" s="98">
        <v>7.0</v>
      </c>
      <c r="F44" s="98">
        <v>1.0</v>
      </c>
      <c r="G44" s="98" t="s">
        <v>3034</v>
      </c>
      <c r="I44" s="39">
        <v>3.0</v>
      </c>
      <c r="J44" s="39" t="s">
        <v>29</v>
      </c>
      <c r="M44" s="39">
        <v>150.0</v>
      </c>
      <c r="P44" s="39">
        <v>150.0</v>
      </c>
      <c r="Q44" s="39">
        <v>75.0</v>
      </c>
      <c r="AH44" s="152"/>
      <c r="AI44" s="152"/>
      <c r="AJ44" s="152"/>
      <c r="AK44" s="152"/>
      <c r="AZ44" s="39" t="s">
        <v>4621</v>
      </c>
      <c r="BI44" s="39" t="s">
        <v>4511</v>
      </c>
      <c r="BM44" s="39">
        <v>0.0</v>
      </c>
      <c r="BR44" s="39" t="s">
        <v>4640</v>
      </c>
      <c r="BS44" s="115" t="s">
        <v>4622</v>
      </c>
      <c r="BT44" s="115">
        <v>24.0</v>
      </c>
      <c r="BU44" s="115" t="s">
        <v>4638</v>
      </c>
      <c r="BV44" s="115">
        <v>25.0</v>
      </c>
      <c r="BW44" s="115">
        <v>3.0</v>
      </c>
      <c r="BX44" s="115" t="s">
        <v>4635</v>
      </c>
      <c r="BY44" s="115" t="s">
        <v>29</v>
      </c>
      <c r="BZ44" s="115" t="s">
        <v>29</v>
      </c>
      <c r="CA44" s="115" t="s">
        <v>29</v>
      </c>
      <c r="CB44" s="115" t="s">
        <v>4639</v>
      </c>
      <c r="CC44" s="115">
        <v>25.0</v>
      </c>
      <c r="CD44" s="115">
        <v>5.0</v>
      </c>
      <c r="CE44" s="115">
        <v>25.0</v>
      </c>
    </row>
    <row r="45" ht="18.75" customHeight="1">
      <c r="A45" s="39" t="s">
        <v>4644</v>
      </c>
      <c r="B45" s="39" t="s">
        <v>4507</v>
      </c>
      <c r="C45" s="98" t="s">
        <v>4645</v>
      </c>
      <c r="E45" s="98">
        <v>3.0</v>
      </c>
      <c r="F45" s="98">
        <v>1.0</v>
      </c>
      <c r="G45" s="98" t="s">
        <v>3034</v>
      </c>
      <c r="I45" s="39">
        <v>1.0</v>
      </c>
      <c r="J45" s="39" t="s">
        <v>29</v>
      </c>
      <c r="M45" s="39">
        <v>50.0</v>
      </c>
      <c r="P45" s="39">
        <v>50.0</v>
      </c>
      <c r="Q45" s="39">
        <v>25.0</v>
      </c>
      <c r="AH45" s="152"/>
      <c r="AI45" s="152"/>
      <c r="AJ45" s="152"/>
      <c r="AK45" s="152"/>
      <c r="AZ45" s="39" t="s">
        <v>4621</v>
      </c>
      <c r="BI45" s="39" t="s">
        <v>4511</v>
      </c>
      <c r="BR45" s="39" t="s">
        <v>4619</v>
      </c>
      <c r="BS45" s="115" t="s">
        <v>4622</v>
      </c>
      <c r="BT45" s="115">
        <v>28.0</v>
      </c>
      <c r="BU45" s="115" t="s">
        <v>4646</v>
      </c>
      <c r="BV45" s="115">
        <v>10.0</v>
      </c>
      <c r="BW45" s="115">
        <v>1.0</v>
      </c>
      <c r="BX45" s="115" t="s">
        <v>4628</v>
      </c>
      <c r="BY45" s="115" t="s">
        <v>29</v>
      </c>
      <c r="BZ45" s="115" t="s">
        <v>29</v>
      </c>
      <c r="CA45" s="115" t="s">
        <v>29</v>
      </c>
      <c r="CB45" s="115" t="s">
        <v>4647</v>
      </c>
      <c r="CC45" s="115">
        <v>25.0</v>
      </c>
      <c r="CD45" s="115">
        <v>1.0</v>
      </c>
      <c r="CE45" s="115">
        <v>10.0</v>
      </c>
    </row>
    <row r="46" ht="18.75" customHeight="1">
      <c r="A46" s="39" t="s">
        <v>4648</v>
      </c>
      <c r="B46" s="39" t="s">
        <v>4507</v>
      </c>
      <c r="C46" s="98" t="s">
        <v>4649</v>
      </c>
      <c r="D46" s="39" t="s">
        <v>4644</v>
      </c>
      <c r="E46" s="98">
        <v>5.0</v>
      </c>
      <c r="F46" s="98">
        <v>1.0</v>
      </c>
      <c r="G46" s="98" t="s">
        <v>3034</v>
      </c>
      <c r="I46" s="39">
        <v>2.0</v>
      </c>
      <c r="J46" s="39" t="s">
        <v>29</v>
      </c>
      <c r="M46" s="39">
        <v>100.0</v>
      </c>
      <c r="P46" s="39">
        <v>100.0</v>
      </c>
      <c r="Q46" s="39">
        <v>50.0</v>
      </c>
      <c r="AH46" s="152"/>
      <c r="AI46" s="152"/>
      <c r="AJ46" s="152"/>
      <c r="AK46" s="152"/>
      <c r="AZ46" s="39" t="s">
        <v>4621</v>
      </c>
      <c r="BI46" s="39" t="s">
        <v>4511</v>
      </c>
      <c r="BM46" s="39">
        <v>0.0</v>
      </c>
      <c r="BR46" s="39" t="s">
        <v>4644</v>
      </c>
      <c r="BS46" s="115" t="s">
        <v>4622</v>
      </c>
      <c r="BT46" s="115">
        <v>26.0</v>
      </c>
      <c r="BU46" s="115" t="s">
        <v>4646</v>
      </c>
      <c r="BV46" s="115">
        <v>20.0</v>
      </c>
      <c r="BW46" s="115">
        <v>2.0</v>
      </c>
      <c r="BX46" s="115" t="s">
        <v>4632</v>
      </c>
      <c r="BY46" s="115" t="s">
        <v>29</v>
      </c>
      <c r="BZ46" s="115" t="s">
        <v>29</v>
      </c>
      <c r="CA46" s="115" t="s">
        <v>29</v>
      </c>
      <c r="CB46" s="115" t="s">
        <v>4647</v>
      </c>
      <c r="CC46" s="115">
        <v>25.0</v>
      </c>
      <c r="CD46" s="115">
        <v>3.0</v>
      </c>
      <c r="CE46" s="115">
        <v>20.0</v>
      </c>
    </row>
    <row r="47" ht="18.75" customHeight="1">
      <c r="A47" s="39" t="s">
        <v>4650</v>
      </c>
      <c r="B47" s="39" t="s">
        <v>4507</v>
      </c>
      <c r="C47" s="98" t="s">
        <v>4651</v>
      </c>
      <c r="D47" s="39" t="s">
        <v>4648</v>
      </c>
      <c r="E47" s="98">
        <v>7.0</v>
      </c>
      <c r="F47" s="98">
        <v>1.0</v>
      </c>
      <c r="G47" s="98" t="s">
        <v>3034</v>
      </c>
      <c r="I47" s="39">
        <v>3.0</v>
      </c>
      <c r="J47" s="39" t="s">
        <v>29</v>
      </c>
      <c r="M47" s="39">
        <v>150.0</v>
      </c>
      <c r="P47" s="39">
        <v>150.0</v>
      </c>
      <c r="Q47" s="39">
        <v>75.0</v>
      </c>
      <c r="AH47" s="152"/>
      <c r="AI47" s="152"/>
      <c r="AJ47" s="152"/>
      <c r="AK47" s="152"/>
      <c r="AZ47" s="39" t="s">
        <v>4621</v>
      </c>
      <c r="BI47" s="39" t="s">
        <v>4511</v>
      </c>
      <c r="BM47" s="39">
        <v>0.0</v>
      </c>
      <c r="BR47" s="39" t="s">
        <v>4648</v>
      </c>
      <c r="BS47" s="115" t="s">
        <v>4622</v>
      </c>
      <c r="BT47" s="115">
        <v>24.0</v>
      </c>
      <c r="BU47" s="115" t="s">
        <v>4646</v>
      </c>
      <c r="BV47" s="115">
        <v>25.0</v>
      </c>
      <c r="BW47" s="115">
        <v>3.0</v>
      </c>
      <c r="BX47" s="115" t="s">
        <v>4635</v>
      </c>
      <c r="BY47" s="115" t="s">
        <v>29</v>
      </c>
      <c r="BZ47" s="115" t="s">
        <v>29</v>
      </c>
      <c r="CA47" s="115" t="s">
        <v>29</v>
      </c>
      <c r="CB47" s="115" t="s">
        <v>4647</v>
      </c>
      <c r="CC47" s="115">
        <v>25.0</v>
      </c>
      <c r="CD47" s="115">
        <v>5.0</v>
      </c>
      <c r="CE47" s="115">
        <v>25.0</v>
      </c>
    </row>
    <row r="48" ht="18.75" customHeight="1">
      <c r="A48" s="39" t="s">
        <v>4652</v>
      </c>
      <c r="B48" s="39" t="s">
        <v>4507</v>
      </c>
      <c r="C48" s="98" t="s">
        <v>4653</v>
      </c>
      <c r="E48" s="98">
        <v>3.0</v>
      </c>
      <c r="F48" s="98">
        <v>1.0</v>
      </c>
      <c r="G48" s="98" t="s">
        <v>3034</v>
      </c>
      <c r="I48" s="39">
        <v>1.0</v>
      </c>
      <c r="J48" s="39" t="s">
        <v>29</v>
      </c>
      <c r="M48" s="39">
        <v>50.0</v>
      </c>
      <c r="P48" s="39">
        <v>50.0</v>
      </c>
      <c r="Q48" s="39">
        <v>25.0</v>
      </c>
      <c r="AH48" s="152"/>
      <c r="AI48" s="152"/>
      <c r="AJ48" s="152"/>
      <c r="AK48" s="152"/>
      <c r="AZ48" s="39" t="s">
        <v>4621</v>
      </c>
      <c r="BI48" s="39" t="s">
        <v>4511</v>
      </c>
      <c r="BR48" s="39" t="s">
        <v>4619</v>
      </c>
      <c r="BS48" s="115" t="s">
        <v>4622</v>
      </c>
      <c r="BT48" s="115">
        <v>28.0</v>
      </c>
      <c r="BU48" s="115" t="s">
        <v>4654</v>
      </c>
      <c r="BV48" s="115">
        <v>10.0</v>
      </c>
      <c r="BW48" s="115">
        <v>1.0</v>
      </c>
      <c r="BX48" s="115" t="s">
        <v>4628</v>
      </c>
      <c r="BY48" s="115" t="s">
        <v>29</v>
      </c>
      <c r="BZ48" s="115" t="s">
        <v>29</v>
      </c>
      <c r="CA48" s="115" t="s">
        <v>29</v>
      </c>
      <c r="CB48" s="115" t="s">
        <v>4655</v>
      </c>
      <c r="CC48" s="115">
        <v>25.0</v>
      </c>
      <c r="CD48" s="115">
        <v>1.0</v>
      </c>
      <c r="CE48" s="115">
        <v>10.0</v>
      </c>
    </row>
    <row r="49" ht="18.75" customHeight="1">
      <c r="A49" s="39" t="s">
        <v>4656</v>
      </c>
      <c r="B49" s="39" t="s">
        <v>4507</v>
      </c>
      <c r="C49" s="98" t="s">
        <v>4657</v>
      </c>
      <c r="D49" s="39" t="s">
        <v>4652</v>
      </c>
      <c r="E49" s="98">
        <v>5.0</v>
      </c>
      <c r="F49" s="98">
        <v>1.0</v>
      </c>
      <c r="G49" s="98" t="s">
        <v>3034</v>
      </c>
      <c r="I49" s="39">
        <v>2.0</v>
      </c>
      <c r="J49" s="39" t="s">
        <v>29</v>
      </c>
      <c r="M49" s="39">
        <v>100.0</v>
      </c>
      <c r="P49" s="39">
        <v>100.0</v>
      </c>
      <c r="Q49" s="39">
        <v>50.0</v>
      </c>
      <c r="AH49" s="152"/>
      <c r="AI49" s="152"/>
      <c r="AJ49" s="152"/>
      <c r="AK49" s="152"/>
      <c r="AZ49" s="39" t="s">
        <v>4621</v>
      </c>
      <c r="BI49" s="39" t="s">
        <v>4511</v>
      </c>
      <c r="BM49" s="39">
        <v>0.0</v>
      </c>
      <c r="BR49" s="39" t="s">
        <v>4652</v>
      </c>
      <c r="BS49" s="115" t="s">
        <v>4622</v>
      </c>
      <c r="BT49" s="115">
        <v>26.0</v>
      </c>
      <c r="BU49" s="115" t="s">
        <v>4654</v>
      </c>
      <c r="BV49" s="115">
        <v>20.0</v>
      </c>
      <c r="BW49" s="115">
        <v>2.0</v>
      </c>
      <c r="BX49" s="115" t="s">
        <v>4632</v>
      </c>
      <c r="BY49" s="115" t="s">
        <v>29</v>
      </c>
      <c r="BZ49" s="115" t="s">
        <v>29</v>
      </c>
      <c r="CA49" s="115" t="s">
        <v>29</v>
      </c>
      <c r="CB49" s="115" t="s">
        <v>4655</v>
      </c>
      <c r="CC49" s="115">
        <v>25.0</v>
      </c>
      <c r="CD49" s="115">
        <v>3.0</v>
      </c>
      <c r="CE49" s="115">
        <v>20.0</v>
      </c>
    </row>
    <row r="50" ht="18.75" customHeight="1">
      <c r="A50" s="39" t="s">
        <v>4658</v>
      </c>
      <c r="B50" s="39" t="s">
        <v>4507</v>
      </c>
      <c r="C50" s="98" t="s">
        <v>4659</v>
      </c>
      <c r="D50" s="39" t="s">
        <v>4656</v>
      </c>
      <c r="E50" s="98">
        <v>7.0</v>
      </c>
      <c r="F50" s="98">
        <v>1.0</v>
      </c>
      <c r="G50" s="98" t="s">
        <v>3034</v>
      </c>
      <c r="I50" s="39">
        <v>3.0</v>
      </c>
      <c r="J50" s="39" t="s">
        <v>29</v>
      </c>
      <c r="M50" s="39">
        <v>150.0</v>
      </c>
      <c r="P50" s="39">
        <v>150.0</v>
      </c>
      <c r="Q50" s="39">
        <v>75.0</v>
      </c>
      <c r="AH50" s="152"/>
      <c r="AI50" s="152"/>
      <c r="AJ50" s="152"/>
      <c r="AK50" s="152"/>
      <c r="AZ50" s="39" t="s">
        <v>4621</v>
      </c>
      <c r="BI50" s="39" t="s">
        <v>4511</v>
      </c>
      <c r="BM50" s="39">
        <v>0.0</v>
      </c>
      <c r="BR50" s="39" t="s">
        <v>4656</v>
      </c>
      <c r="BS50" s="115" t="s">
        <v>4622</v>
      </c>
      <c r="BT50" s="115">
        <v>24.0</v>
      </c>
      <c r="BU50" s="115" t="s">
        <v>4654</v>
      </c>
      <c r="BV50" s="115">
        <v>25.0</v>
      </c>
      <c r="BW50" s="115">
        <v>3.0</v>
      </c>
      <c r="BX50" s="115" t="s">
        <v>4635</v>
      </c>
      <c r="BY50" s="115" t="s">
        <v>29</v>
      </c>
      <c r="BZ50" s="115" t="s">
        <v>29</v>
      </c>
      <c r="CA50" s="115" t="s">
        <v>29</v>
      </c>
      <c r="CB50" s="115" t="s">
        <v>4655</v>
      </c>
      <c r="CC50" s="115">
        <v>25.0</v>
      </c>
      <c r="CD50" s="115">
        <v>5.0</v>
      </c>
      <c r="CE50" s="115">
        <v>25.0</v>
      </c>
    </row>
    <row r="51" ht="18.75" customHeight="1">
      <c r="A51" s="39" t="s">
        <v>4660</v>
      </c>
      <c r="B51" s="39" t="s">
        <v>4507</v>
      </c>
      <c r="C51" s="98" t="s">
        <v>4661</v>
      </c>
      <c r="E51" s="98">
        <v>3.0</v>
      </c>
      <c r="F51" s="98">
        <v>1.0</v>
      </c>
      <c r="G51" s="98" t="s">
        <v>3034</v>
      </c>
      <c r="I51" s="39">
        <v>1.0</v>
      </c>
      <c r="J51" s="39" t="s">
        <v>29</v>
      </c>
      <c r="M51" s="39">
        <v>50.0</v>
      </c>
      <c r="P51" s="39">
        <v>50.0</v>
      </c>
      <c r="Q51" s="39">
        <v>25.0</v>
      </c>
      <c r="AH51" s="152"/>
      <c r="AI51" s="152"/>
      <c r="AJ51" s="152"/>
      <c r="AK51" s="152"/>
      <c r="AZ51" s="39" t="s">
        <v>4621</v>
      </c>
      <c r="BI51" s="39" t="s">
        <v>4511</v>
      </c>
      <c r="BR51" s="39" t="s">
        <v>4662</v>
      </c>
      <c r="BS51" s="115" t="s">
        <v>4622</v>
      </c>
      <c r="BT51" s="115">
        <v>28.0</v>
      </c>
      <c r="BU51" s="115" t="s">
        <v>3634</v>
      </c>
      <c r="BV51" s="115">
        <v>10.0</v>
      </c>
      <c r="BW51" s="115">
        <v>1.0</v>
      </c>
      <c r="BX51" s="115"/>
      <c r="BY51" s="115" t="s">
        <v>29</v>
      </c>
      <c r="BZ51" s="115" t="s">
        <v>29</v>
      </c>
      <c r="CA51" s="115" t="s">
        <v>29</v>
      </c>
      <c r="CB51" s="115" t="s">
        <v>4663</v>
      </c>
      <c r="CC51" s="115">
        <v>25.0</v>
      </c>
      <c r="CD51" s="115">
        <v>0.0</v>
      </c>
      <c r="CE51" s="115"/>
    </row>
    <row r="52" ht="18.75" customHeight="1">
      <c r="A52" s="39" t="s">
        <v>4664</v>
      </c>
      <c r="B52" s="39" t="s">
        <v>4507</v>
      </c>
      <c r="C52" s="98" t="s">
        <v>4665</v>
      </c>
      <c r="D52" s="39" t="s">
        <v>4660</v>
      </c>
      <c r="E52" s="98">
        <v>5.0</v>
      </c>
      <c r="F52" s="98">
        <v>1.0</v>
      </c>
      <c r="G52" s="98" t="s">
        <v>3034</v>
      </c>
      <c r="I52" s="39">
        <v>2.0</v>
      </c>
      <c r="J52" s="39" t="s">
        <v>29</v>
      </c>
      <c r="M52" s="39">
        <v>100.0</v>
      </c>
      <c r="P52" s="39">
        <v>100.0</v>
      </c>
      <c r="Q52" s="39">
        <v>50.0</v>
      </c>
      <c r="AH52" s="152"/>
      <c r="AI52" s="152"/>
      <c r="AJ52" s="152"/>
      <c r="AK52" s="152"/>
      <c r="AZ52" s="39" t="s">
        <v>4621</v>
      </c>
      <c r="BI52" s="39" t="s">
        <v>4511</v>
      </c>
      <c r="BM52" s="39">
        <v>0.0</v>
      </c>
      <c r="BR52" s="39" t="s">
        <v>4660</v>
      </c>
      <c r="BS52" s="115" t="s">
        <v>4622</v>
      </c>
      <c r="BT52" s="115">
        <v>26.0</v>
      </c>
      <c r="BU52" s="115" t="s">
        <v>3634</v>
      </c>
      <c r="BV52" s="115">
        <v>20.0</v>
      </c>
      <c r="BW52" s="115">
        <v>2.0</v>
      </c>
      <c r="BX52" s="115"/>
      <c r="BY52" s="115" t="s">
        <v>29</v>
      </c>
      <c r="BZ52" s="115" t="s">
        <v>29</v>
      </c>
      <c r="CA52" s="115" t="s">
        <v>29</v>
      </c>
      <c r="CB52" s="115" t="s">
        <v>4663</v>
      </c>
      <c r="CC52" s="115">
        <v>25.0</v>
      </c>
      <c r="CD52" s="115">
        <v>0.0</v>
      </c>
      <c r="CE52" s="115"/>
    </row>
    <row r="53" ht="18.75" customHeight="1">
      <c r="A53" s="39" t="s">
        <v>4666</v>
      </c>
      <c r="B53" s="39" t="s">
        <v>4507</v>
      </c>
      <c r="C53" s="98" t="s">
        <v>4667</v>
      </c>
      <c r="D53" s="39" t="s">
        <v>4664</v>
      </c>
      <c r="E53" s="98">
        <v>7.0</v>
      </c>
      <c r="F53" s="98">
        <v>1.0</v>
      </c>
      <c r="G53" s="98" t="s">
        <v>3034</v>
      </c>
      <c r="I53" s="39">
        <v>3.0</v>
      </c>
      <c r="J53" s="39" t="s">
        <v>29</v>
      </c>
      <c r="M53" s="39">
        <v>150.0</v>
      </c>
      <c r="P53" s="39">
        <v>150.0</v>
      </c>
      <c r="Q53" s="39">
        <v>75.0</v>
      </c>
      <c r="AH53" s="152"/>
      <c r="AI53" s="152"/>
      <c r="AJ53" s="152"/>
      <c r="AK53" s="152"/>
      <c r="AZ53" s="39" t="s">
        <v>4621</v>
      </c>
      <c r="BI53" s="39" t="s">
        <v>4511</v>
      </c>
      <c r="BM53" s="39">
        <v>0.0</v>
      </c>
      <c r="BR53" s="39" t="s">
        <v>4664</v>
      </c>
      <c r="BS53" s="115" t="s">
        <v>4622</v>
      </c>
      <c r="BT53" s="115">
        <v>24.0</v>
      </c>
      <c r="BU53" s="115" t="s">
        <v>3634</v>
      </c>
      <c r="BV53" s="115">
        <v>25.0</v>
      </c>
      <c r="BW53" s="115">
        <v>3.0</v>
      </c>
      <c r="BX53" s="115"/>
      <c r="BY53" s="115" t="s">
        <v>29</v>
      </c>
      <c r="BZ53" s="115" t="s">
        <v>29</v>
      </c>
      <c r="CA53" s="115" t="s">
        <v>29</v>
      </c>
      <c r="CB53" s="115" t="s">
        <v>4663</v>
      </c>
      <c r="CC53" s="115">
        <v>25.0</v>
      </c>
      <c r="CD53" s="115">
        <v>0.0</v>
      </c>
      <c r="CE53" s="115"/>
    </row>
    <row r="54" ht="18.75" customHeight="1">
      <c r="A54" s="39" t="s">
        <v>4668</v>
      </c>
      <c r="B54" s="39" t="s">
        <v>4507</v>
      </c>
      <c r="C54" s="98" t="s">
        <v>4669</v>
      </c>
      <c r="E54" s="98">
        <v>3.0</v>
      </c>
      <c r="F54" s="98">
        <v>1.0</v>
      </c>
      <c r="G54" s="98" t="s">
        <v>3034</v>
      </c>
      <c r="I54" s="39" t="s">
        <v>29</v>
      </c>
      <c r="J54" s="39">
        <v>1.0</v>
      </c>
      <c r="M54" s="39">
        <v>50.0</v>
      </c>
      <c r="P54" s="39">
        <v>50.0</v>
      </c>
      <c r="Q54" s="39">
        <v>25.0</v>
      </c>
      <c r="AH54" s="152"/>
      <c r="AI54" s="152"/>
      <c r="AJ54" s="152"/>
      <c r="AK54" s="152"/>
      <c r="AZ54" s="39" t="s">
        <v>4621</v>
      </c>
      <c r="BI54" s="39" t="s">
        <v>4511</v>
      </c>
      <c r="BR54" s="39" t="s">
        <v>4565</v>
      </c>
      <c r="BS54" s="115" t="s">
        <v>4670</v>
      </c>
      <c r="BT54" s="115">
        <v>28.0</v>
      </c>
      <c r="BU54" s="115" t="s">
        <v>1295</v>
      </c>
      <c r="BV54" s="115">
        <v>10.0</v>
      </c>
      <c r="BW54" s="115">
        <v>1.0</v>
      </c>
      <c r="BX54" s="115"/>
      <c r="BY54" s="115" t="s">
        <v>1295</v>
      </c>
      <c r="BZ54" s="115">
        <v>1.1</v>
      </c>
      <c r="CA54" s="115">
        <v>4.0</v>
      </c>
      <c r="CB54" s="115" t="s">
        <v>4671</v>
      </c>
      <c r="CC54" s="115">
        <v>25.0</v>
      </c>
      <c r="CD54" s="115">
        <v>0.0</v>
      </c>
      <c r="CE54" s="115"/>
    </row>
    <row r="55" ht="18.75" customHeight="1">
      <c r="A55" s="39" t="s">
        <v>4672</v>
      </c>
      <c r="B55" s="39" t="s">
        <v>4507</v>
      </c>
      <c r="C55" s="98" t="s">
        <v>4673</v>
      </c>
      <c r="D55" s="39" t="s">
        <v>4668</v>
      </c>
      <c r="E55" s="98">
        <v>5.0</v>
      </c>
      <c r="F55" s="98">
        <v>1.0</v>
      </c>
      <c r="G55" s="98" t="s">
        <v>3034</v>
      </c>
      <c r="I55" s="39" t="s">
        <v>29</v>
      </c>
      <c r="J55" s="39">
        <v>2.0</v>
      </c>
      <c r="M55" s="39">
        <v>100.0</v>
      </c>
      <c r="P55" s="39">
        <v>100.0</v>
      </c>
      <c r="Q55" s="39">
        <v>50.0</v>
      </c>
      <c r="AH55" s="152"/>
      <c r="AI55" s="152"/>
      <c r="AJ55" s="152"/>
      <c r="AK55" s="152"/>
      <c r="AZ55" s="39" t="s">
        <v>4621</v>
      </c>
      <c r="BI55" s="39" t="s">
        <v>4511</v>
      </c>
      <c r="BM55" s="39">
        <v>0.0</v>
      </c>
      <c r="BR55" s="39" t="s">
        <v>4668</v>
      </c>
      <c r="BS55" s="115" t="s">
        <v>4670</v>
      </c>
      <c r="BT55" s="115">
        <v>26.0</v>
      </c>
      <c r="BU55" s="115" t="s">
        <v>1295</v>
      </c>
      <c r="BV55" s="115">
        <v>20.0</v>
      </c>
      <c r="BW55" s="115">
        <v>2.0</v>
      </c>
      <c r="BX55" s="115"/>
      <c r="BY55" s="115" t="s">
        <v>1295</v>
      </c>
      <c r="BZ55" s="115">
        <v>1.25</v>
      </c>
      <c r="CA55" s="115">
        <v>5.0</v>
      </c>
      <c r="CB55" s="115" t="s">
        <v>4671</v>
      </c>
      <c r="CC55" s="115">
        <v>25.0</v>
      </c>
      <c r="CD55" s="115">
        <v>0.0</v>
      </c>
      <c r="CE55" s="115"/>
    </row>
    <row r="56" ht="18.75" customHeight="1">
      <c r="A56" s="39" t="s">
        <v>4674</v>
      </c>
      <c r="B56" s="39" t="s">
        <v>4507</v>
      </c>
      <c r="C56" s="98" t="s">
        <v>4675</v>
      </c>
      <c r="D56" s="39" t="s">
        <v>4672</v>
      </c>
      <c r="E56" s="98">
        <v>7.0</v>
      </c>
      <c r="F56" s="98">
        <v>1.0</v>
      </c>
      <c r="G56" s="98" t="s">
        <v>3034</v>
      </c>
      <c r="I56" s="39" t="s">
        <v>29</v>
      </c>
      <c r="J56" s="39">
        <v>3.0</v>
      </c>
      <c r="M56" s="39">
        <v>150.0</v>
      </c>
      <c r="P56" s="39">
        <v>150.0</v>
      </c>
      <c r="Q56" s="39">
        <v>75.0</v>
      </c>
      <c r="AH56" s="152"/>
      <c r="AI56" s="152"/>
      <c r="AJ56" s="152"/>
      <c r="AK56" s="152"/>
      <c r="AZ56" s="39" t="s">
        <v>4621</v>
      </c>
      <c r="BI56" s="39" t="s">
        <v>4511</v>
      </c>
      <c r="BM56" s="39">
        <v>0.0</v>
      </c>
      <c r="BR56" s="39" t="s">
        <v>4672</v>
      </c>
      <c r="BS56" s="115" t="s">
        <v>4670</v>
      </c>
      <c r="BT56" s="115">
        <v>24.0</v>
      </c>
      <c r="BU56" s="115" t="s">
        <v>1295</v>
      </c>
      <c r="BV56" s="115">
        <v>25.0</v>
      </c>
      <c r="BW56" s="115">
        <v>3.0</v>
      </c>
      <c r="BX56" s="115"/>
      <c r="BY56" s="115" t="s">
        <v>1295</v>
      </c>
      <c r="BZ56" s="115">
        <v>1.5</v>
      </c>
      <c r="CA56" s="115">
        <v>6.0</v>
      </c>
      <c r="CB56" s="115" t="s">
        <v>4671</v>
      </c>
      <c r="CC56" s="115">
        <v>25.0</v>
      </c>
      <c r="CD56" s="115">
        <v>0.0</v>
      </c>
      <c r="CE56" s="115"/>
    </row>
    <row r="57" ht="18.75" customHeight="1">
      <c r="A57" s="39" t="s">
        <v>4676</v>
      </c>
      <c r="B57" s="39" t="s">
        <v>4507</v>
      </c>
      <c r="C57" s="98" t="s">
        <v>4677</v>
      </c>
      <c r="E57" s="98">
        <v>3.0</v>
      </c>
      <c r="F57" s="98">
        <v>1.0</v>
      </c>
      <c r="G57" s="98" t="s">
        <v>3034</v>
      </c>
      <c r="I57" s="39" t="s">
        <v>29</v>
      </c>
      <c r="J57" s="39">
        <v>1.0</v>
      </c>
      <c r="M57" s="39">
        <v>50.0</v>
      </c>
      <c r="P57" s="39">
        <v>50.0</v>
      </c>
      <c r="Q57" s="39">
        <v>25.0</v>
      </c>
      <c r="AH57" s="152"/>
      <c r="AI57" s="152"/>
      <c r="AJ57" s="152"/>
      <c r="AK57" s="152"/>
      <c r="AZ57" s="39" t="s">
        <v>4621</v>
      </c>
      <c r="BI57" s="39" t="s">
        <v>4511</v>
      </c>
      <c r="BR57" s="39" t="s">
        <v>4565</v>
      </c>
      <c r="BS57" s="115" t="s">
        <v>4670</v>
      </c>
      <c r="BT57" s="115">
        <v>28.0</v>
      </c>
      <c r="BU57" s="115" t="s">
        <v>1280</v>
      </c>
      <c r="BV57" s="115">
        <v>10.0</v>
      </c>
      <c r="BW57" s="115">
        <v>1.0</v>
      </c>
      <c r="BX57" s="115"/>
      <c r="BY57" s="115" t="s">
        <v>1280</v>
      </c>
      <c r="BZ57" s="115">
        <v>1.1</v>
      </c>
      <c r="CA57" s="115">
        <v>4.0</v>
      </c>
      <c r="CB57" s="115" t="s">
        <v>4678</v>
      </c>
      <c r="CC57" s="115">
        <v>25.0</v>
      </c>
      <c r="CD57" s="115">
        <v>0.0</v>
      </c>
      <c r="CE57" s="115"/>
    </row>
    <row r="58" ht="18.75" customHeight="1">
      <c r="A58" s="39" t="s">
        <v>4679</v>
      </c>
      <c r="B58" s="39" t="s">
        <v>4507</v>
      </c>
      <c r="C58" s="98" t="s">
        <v>4680</v>
      </c>
      <c r="D58" s="39" t="s">
        <v>4676</v>
      </c>
      <c r="E58" s="98">
        <v>5.0</v>
      </c>
      <c r="F58" s="98">
        <v>1.0</v>
      </c>
      <c r="G58" s="98" t="s">
        <v>3034</v>
      </c>
      <c r="I58" s="39" t="s">
        <v>29</v>
      </c>
      <c r="J58" s="39">
        <v>2.0</v>
      </c>
      <c r="M58" s="39">
        <v>100.0</v>
      </c>
      <c r="P58" s="39">
        <v>100.0</v>
      </c>
      <c r="Q58" s="39">
        <v>50.0</v>
      </c>
      <c r="AH58" s="152"/>
      <c r="AI58" s="152"/>
      <c r="AJ58" s="152"/>
      <c r="AK58" s="152"/>
      <c r="AZ58" s="39" t="s">
        <v>4621</v>
      </c>
      <c r="BI58" s="39" t="s">
        <v>4511</v>
      </c>
      <c r="BM58" s="39">
        <v>0.0</v>
      </c>
      <c r="BR58" s="39" t="s">
        <v>4676</v>
      </c>
      <c r="BS58" s="115" t="s">
        <v>4670</v>
      </c>
      <c r="BT58" s="115">
        <v>26.0</v>
      </c>
      <c r="BU58" s="115" t="s">
        <v>1280</v>
      </c>
      <c r="BV58" s="115">
        <v>20.0</v>
      </c>
      <c r="BW58" s="115">
        <v>2.0</v>
      </c>
      <c r="BX58" s="115"/>
      <c r="BY58" s="115" t="s">
        <v>1280</v>
      </c>
      <c r="BZ58" s="115">
        <v>1.25</v>
      </c>
      <c r="CA58" s="115">
        <v>5.0</v>
      </c>
      <c r="CB58" s="115" t="s">
        <v>4678</v>
      </c>
      <c r="CC58" s="115">
        <v>25.0</v>
      </c>
      <c r="CD58" s="115">
        <v>0.0</v>
      </c>
      <c r="CE58" s="115"/>
    </row>
    <row r="59" ht="18.75" customHeight="1">
      <c r="A59" s="39" t="s">
        <v>4681</v>
      </c>
      <c r="B59" s="39" t="s">
        <v>4507</v>
      </c>
      <c r="C59" s="98" t="s">
        <v>4682</v>
      </c>
      <c r="D59" s="39" t="s">
        <v>4679</v>
      </c>
      <c r="E59" s="98">
        <v>7.0</v>
      </c>
      <c r="F59" s="98">
        <v>1.0</v>
      </c>
      <c r="G59" s="98" t="s">
        <v>3034</v>
      </c>
      <c r="I59" s="39" t="s">
        <v>29</v>
      </c>
      <c r="J59" s="39">
        <v>3.0</v>
      </c>
      <c r="M59" s="39">
        <v>150.0</v>
      </c>
      <c r="P59" s="39">
        <v>150.0</v>
      </c>
      <c r="Q59" s="39">
        <v>75.0</v>
      </c>
      <c r="AH59" s="152"/>
      <c r="AI59" s="152"/>
      <c r="AJ59" s="152"/>
      <c r="AK59" s="152"/>
      <c r="AZ59" s="39" t="s">
        <v>4621</v>
      </c>
      <c r="BI59" s="39" t="s">
        <v>4511</v>
      </c>
      <c r="BM59" s="39">
        <v>0.0</v>
      </c>
      <c r="BR59" s="39" t="s">
        <v>4679</v>
      </c>
      <c r="BS59" s="115" t="s">
        <v>4670</v>
      </c>
      <c r="BT59" s="115">
        <v>24.0</v>
      </c>
      <c r="BU59" s="115" t="s">
        <v>1280</v>
      </c>
      <c r="BV59" s="115">
        <v>25.0</v>
      </c>
      <c r="BW59" s="115">
        <v>3.0</v>
      </c>
      <c r="BX59" s="115"/>
      <c r="BY59" s="115" t="s">
        <v>1280</v>
      </c>
      <c r="BZ59" s="115">
        <v>1.5</v>
      </c>
      <c r="CA59" s="115">
        <v>6.0</v>
      </c>
      <c r="CB59" s="115" t="s">
        <v>4678</v>
      </c>
      <c r="CC59" s="115">
        <v>25.0</v>
      </c>
      <c r="CD59" s="115">
        <v>0.0</v>
      </c>
      <c r="CE59" s="115"/>
    </row>
    <row r="60" ht="18.75" customHeight="1">
      <c r="C60" s="64"/>
      <c r="E60" s="64"/>
      <c r="F60" s="64"/>
      <c r="G60" s="64"/>
      <c r="AH60" s="152"/>
      <c r="AI60" s="152"/>
      <c r="AJ60" s="152"/>
      <c r="AK60" s="152"/>
      <c r="BS60" s="120"/>
      <c r="BT60" s="120"/>
      <c r="BU60" s="120"/>
      <c r="BV60" s="120"/>
      <c r="BW60" s="120"/>
      <c r="BX60" s="120"/>
      <c r="BY60" s="120"/>
      <c r="BZ60" s="120"/>
      <c r="CA60" s="120"/>
      <c r="CB60" s="120"/>
      <c r="CC60" s="120"/>
      <c r="CD60" s="120"/>
      <c r="CE60" s="120"/>
    </row>
    <row r="61" ht="18.75" customHeight="1">
      <c r="C61" s="64"/>
      <c r="E61" s="64"/>
      <c r="F61" s="64"/>
      <c r="G61" s="64"/>
      <c r="AH61" s="152"/>
      <c r="AI61" s="152"/>
      <c r="AJ61" s="152"/>
      <c r="AK61" s="152"/>
      <c r="BS61" s="120"/>
      <c r="BT61" s="120"/>
      <c r="BU61" s="120"/>
      <c r="BV61" s="120"/>
      <c r="BW61" s="120"/>
      <c r="BX61" s="120"/>
      <c r="BY61" s="120"/>
      <c r="BZ61" s="120"/>
      <c r="CA61" s="120"/>
      <c r="CB61" s="120"/>
      <c r="CC61" s="120"/>
      <c r="CD61" s="120"/>
      <c r="CE61" s="120"/>
    </row>
    <row r="62" ht="18.75" customHeight="1">
      <c r="C62" s="64"/>
      <c r="E62" s="64"/>
      <c r="F62" s="64"/>
      <c r="G62" s="64"/>
      <c r="AH62" s="152"/>
      <c r="AI62" s="152"/>
      <c r="AJ62" s="152"/>
      <c r="AK62" s="152"/>
      <c r="BS62" s="120"/>
      <c r="BT62" s="120"/>
      <c r="BU62" s="120"/>
      <c r="BV62" s="120"/>
      <c r="BW62" s="120"/>
      <c r="BX62" s="120"/>
      <c r="BY62" s="120"/>
      <c r="BZ62" s="120"/>
      <c r="CA62" s="120"/>
      <c r="CB62" s="120"/>
      <c r="CC62" s="120"/>
      <c r="CD62" s="120"/>
      <c r="CE62" s="120"/>
    </row>
    <row r="63" ht="18.75" customHeight="1">
      <c r="C63" s="64"/>
      <c r="E63" s="64"/>
      <c r="F63" s="64"/>
      <c r="G63" s="64"/>
      <c r="AH63" s="152"/>
      <c r="AI63" s="152"/>
      <c r="AJ63" s="152"/>
      <c r="AK63" s="152"/>
      <c r="BS63" s="120"/>
      <c r="BT63" s="120"/>
      <c r="BU63" s="120"/>
      <c r="BV63" s="120"/>
      <c r="BW63" s="120"/>
      <c r="BX63" s="120"/>
      <c r="BY63" s="120"/>
      <c r="BZ63" s="120"/>
      <c r="CA63" s="120"/>
      <c r="CB63" s="120"/>
      <c r="CC63" s="120"/>
      <c r="CD63" s="120"/>
      <c r="CE63" s="120"/>
    </row>
    <row r="64" ht="18.75" customHeight="1">
      <c r="C64" s="64"/>
      <c r="E64" s="64"/>
      <c r="F64" s="64"/>
      <c r="G64" s="64"/>
      <c r="AH64" s="152"/>
      <c r="AI64" s="152"/>
      <c r="AJ64" s="152"/>
      <c r="AK64" s="152"/>
      <c r="BS64" s="120"/>
      <c r="BT64" s="120"/>
      <c r="BU64" s="120"/>
      <c r="BV64" s="120"/>
      <c r="BW64" s="120"/>
      <c r="BX64" s="120"/>
      <c r="BY64" s="120"/>
      <c r="BZ64" s="120"/>
      <c r="CA64" s="120"/>
      <c r="CB64" s="120"/>
      <c r="CC64" s="120"/>
      <c r="CD64" s="120"/>
      <c r="CE64" s="120"/>
    </row>
    <row r="65" ht="18.75" customHeight="1">
      <c r="C65" s="64"/>
      <c r="E65" s="64"/>
      <c r="F65" s="64"/>
      <c r="G65" s="64"/>
      <c r="AH65" s="152"/>
      <c r="AI65" s="152"/>
      <c r="AJ65" s="152"/>
      <c r="AK65" s="152"/>
      <c r="BS65" s="120"/>
      <c r="BT65" s="120"/>
      <c r="BU65" s="120"/>
      <c r="BV65" s="120"/>
      <c r="BW65" s="120"/>
      <c r="BX65" s="120"/>
      <c r="BY65" s="120"/>
      <c r="BZ65" s="120"/>
      <c r="CA65" s="120"/>
      <c r="CB65" s="120"/>
      <c r="CC65" s="120"/>
      <c r="CD65" s="120"/>
      <c r="CE65" s="120"/>
    </row>
    <row r="66" ht="18.75" customHeight="1">
      <c r="C66" s="64"/>
      <c r="E66" s="64"/>
      <c r="F66" s="64"/>
      <c r="G66" s="64"/>
      <c r="AH66" s="152"/>
      <c r="AI66" s="152"/>
      <c r="AJ66" s="152"/>
      <c r="AK66" s="152"/>
      <c r="BS66" s="120"/>
      <c r="BT66" s="120"/>
      <c r="BU66" s="120"/>
      <c r="BV66" s="120"/>
      <c r="BW66" s="120"/>
      <c r="BX66" s="120"/>
      <c r="BY66" s="120"/>
      <c r="BZ66" s="120"/>
      <c r="CA66" s="120"/>
      <c r="CB66" s="120"/>
      <c r="CC66" s="120"/>
      <c r="CD66" s="120"/>
      <c r="CE66" s="120"/>
    </row>
    <row r="67" ht="18.75" customHeight="1">
      <c r="C67" s="64"/>
      <c r="E67" s="64"/>
      <c r="F67" s="64"/>
      <c r="G67" s="64"/>
      <c r="AH67" s="152"/>
      <c r="AI67" s="152"/>
      <c r="AJ67" s="152"/>
      <c r="AK67" s="152"/>
      <c r="BS67" s="120"/>
      <c r="BT67" s="120"/>
      <c r="BU67" s="120"/>
      <c r="BV67" s="120"/>
      <c r="BW67" s="120"/>
      <c r="BX67" s="120"/>
      <c r="BY67" s="120"/>
      <c r="BZ67" s="120"/>
      <c r="CA67" s="120"/>
      <c r="CB67" s="120"/>
      <c r="CC67" s="120"/>
      <c r="CD67" s="120"/>
      <c r="CE67" s="120"/>
    </row>
    <row r="68" ht="18.75" customHeight="1">
      <c r="C68" s="64"/>
      <c r="E68" s="64"/>
      <c r="F68" s="64"/>
      <c r="G68" s="64"/>
      <c r="AH68" s="152"/>
      <c r="AI68" s="152"/>
      <c r="AJ68" s="152"/>
      <c r="AK68" s="152"/>
      <c r="BS68" s="120"/>
      <c r="BT68" s="120"/>
      <c r="BU68" s="120"/>
      <c r="BV68" s="120"/>
      <c r="BW68" s="120"/>
      <c r="BX68" s="120"/>
      <c r="BY68" s="120"/>
      <c r="BZ68" s="120"/>
      <c r="CA68" s="120"/>
      <c r="CB68" s="120"/>
      <c r="CC68" s="120"/>
      <c r="CD68" s="120"/>
      <c r="CE68" s="120"/>
    </row>
    <row r="69" ht="18.75" customHeight="1">
      <c r="C69" s="64"/>
      <c r="E69" s="64"/>
      <c r="F69" s="64"/>
      <c r="G69" s="64"/>
      <c r="AH69" s="152"/>
      <c r="AI69" s="152"/>
      <c r="AJ69" s="152"/>
      <c r="AK69" s="152"/>
      <c r="BS69" s="120"/>
      <c r="BT69" s="120"/>
      <c r="BU69" s="120"/>
      <c r="BV69" s="120"/>
      <c r="BW69" s="120"/>
      <c r="BX69" s="120"/>
      <c r="BY69" s="120"/>
      <c r="BZ69" s="120"/>
      <c r="CA69" s="120"/>
      <c r="CB69" s="120"/>
      <c r="CC69" s="120"/>
      <c r="CD69" s="120"/>
      <c r="CE69" s="120"/>
    </row>
    <row r="70" ht="18.75" customHeight="1">
      <c r="C70" s="64"/>
      <c r="E70" s="64"/>
      <c r="F70" s="64"/>
      <c r="G70" s="64"/>
      <c r="AH70" s="152"/>
      <c r="AI70" s="152"/>
      <c r="AJ70" s="152"/>
      <c r="AK70" s="152"/>
      <c r="BS70" s="120"/>
      <c r="BT70" s="120"/>
      <c r="BU70" s="120"/>
      <c r="BV70" s="120"/>
      <c r="BW70" s="120"/>
      <c r="BX70" s="120"/>
      <c r="BY70" s="120"/>
      <c r="BZ70" s="120"/>
      <c r="CA70" s="120"/>
      <c r="CB70" s="120"/>
      <c r="CC70" s="120"/>
      <c r="CD70" s="120"/>
      <c r="CE70" s="120"/>
    </row>
    <row r="71" ht="18.75" customHeight="1">
      <c r="C71" s="64"/>
      <c r="E71" s="64"/>
      <c r="F71" s="64"/>
      <c r="G71" s="64"/>
      <c r="AH71" s="152"/>
      <c r="AI71" s="152"/>
      <c r="AJ71" s="152"/>
      <c r="AK71" s="152"/>
      <c r="BS71" s="120"/>
      <c r="BT71" s="120"/>
      <c r="BU71" s="120"/>
      <c r="BV71" s="120"/>
      <c r="BW71" s="120"/>
      <c r="BX71" s="120"/>
      <c r="BY71" s="120"/>
      <c r="BZ71" s="120"/>
      <c r="CA71" s="120"/>
      <c r="CB71" s="120"/>
      <c r="CC71" s="120"/>
      <c r="CD71" s="120"/>
      <c r="CE71" s="120"/>
    </row>
    <row r="72" ht="18.75" customHeight="1">
      <c r="C72" s="64"/>
      <c r="E72" s="64"/>
      <c r="F72" s="64"/>
      <c r="G72" s="64"/>
      <c r="AH72" s="152"/>
      <c r="AI72" s="152"/>
      <c r="AJ72" s="152"/>
      <c r="AK72" s="152"/>
      <c r="BS72" s="120"/>
      <c r="BT72" s="120"/>
      <c r="BU72" s="120"/>
      <c r="BV72" s="120"/>
      <c r="BW72" s="120"/>
      <c r="BX72" s="120"/>
      <c r="BY72" s="120"/>
      <c r="BZ72" s="120"/>
      <c r="CA72" s="120"/>
      <c r="CB72" s="120"/>
      <c r="CC72" s="120"/>
      <c r="CD72" s="120"/>
      <c r="CE72" s="120"/>
    </row>
    <row r="73" ht="18.75" customHeight="1">
      <c r="C73" s="64"/>
      <c r="E73" s="64"/>
      <c r="F73" s="64"/>
      <c r="G73" s="64"/>
      <c r="AH73" s="152"/>
      <c r="AI73" s="152"/>
      <c r="AJ73" s="152"/>
      <c r="AK73" s="152"/>
      <c r="BS73" s="120"/>
      <c r="BT73" s="120"/>
      <c r="BU73" s="120"/>
      <c r="BV73" s="120"/>
      <c r="BW73" s="120"/>
      <c r="BX73" s="120"/>
      <c r="BY73" s="120"/>
      <c r="BZ73" s="120"/>
      <c r="CA73" s="120"/>
      <c r="CB73" s="120"/>
      <c r="CC73" s="120"/>
      <c r="CD73" s="120"/>
      <c r="CE73" s="120"/>
    </row>
    <row r="74" ht="18.75" customHeight="1">
      <c r="C74" s="64"/>
      <c r="E74" s="64"/>
      <c r="F74" s="64"/>
      <c r="G74" s="64"/>
      <c r="AH74" s="152"/>
      <c r="AI74" s="152"/>
      <c r="AJ74" s="152"/>
      <c r="AK74" s="152"/>
      <c r="BS74" s="120"/>
      <c r="BT74" s="120"/>
      <c r="BU74" s="120"/>
      <c r="BV74" s="120"/>
      <c r="BW74" s="120"/>
      <c r="BX74" s="120"/>
      <c r="BY74" s="120"/>
      <c r="BZ74" s="120"/>
      <c r="CA74" s="120"/>
      <c r="CB74" s="120"/>
      <c r="CC74" s="120"/>
      <c r="CD74" s="120"/>
      <c r="CE74" s="120"/>
    </row>
    <row r="75" ht="18.75" customHeight="1">
      <c r="C75" s="64"/>
      <c r="E75" s="64"/>
      <c r="F75" s="64"/>
      <c r="G75" s="64"/>
      <c r="AH75" s="152"/>
      <c r="AI75" s="152"/>
      <c r="AJ75" s="152"/>
      <c r="AK75" s="152"/>
      <c r="BS75" s="120"/>
      <c r="BT75" s="120"/>
      <c r="BU75" s="120"/>
      <c r="BV75" s="120"/>
      <c r="BW75" s="120"/>
      <c r="BX75" s="120"/>
      <c r="BY75" s="120"/>
      <c r="BZ75" s="120"/>
      <c r="CA75" s="120"/>
      <c r="CB75" s="120"/>
      <c r="CC75" s="120"/>
      <c r="CD75" s="120"/>
      <c r="CE75" s="120"/>
    </row>
    <row r="76" ht="18.75" customHeight="1">
      <c r="C76" s="64"/>
      <c r="E76" s="64"/>
      <c r="F76" s="64"/>
      <c r="G76" s="64"/>
      <c r="AH76" s="152"/>
      <c r="AI76" s="152"/>
      <c r="AJ76" s="152"/>
      <c r="AK76" s="152"/>
      <c r="BS76" s="120"/>
      <c r="BT76" s="120"/>
      <c r="BU76" s="120"/>
      <c r="BV76" s="120"/>
      <c r="BW76" s="120"/>
      <c r="BX76" s="120"/>
      <c r="BY76" s="120"/>
      <c r="BZ76" s="120"/>
      <c r="CA76" s="120"/>
      <c r="CB76" s="120"/>
      <c r="CC76" s="120"/>
      <c r="CD76" s="120"/>
      <c r="CE76" s="120"/>
    </row>
    <row r="77" ht="18.75" customHeight="1">
      <c r="C77" s="64"/>
      <c r="E77" s="64"/>
      <c r="F77" s="64"/>
      <c r="G77" s="64"/>
      <c r="AH77" s="152"/>
      <c r="AI77" s="152"/>
      <c r="AJ77" s="152"/>
      <c r="AK77" s="152"/>
      <c r="BS77" s="120"/>
      <c r="BT77" s="120"/>
      <c r="BU77" s="120"/>
      <c r="BV77" s="120"/>
      <c r="BW77" s="120"/>
      <c r="BX77" s="120"/>
      <c r="BY77" s="120"/>
      <c r="BZ77" s="120"/>
      <c r="CA77" s="120"/>
      <c r="CB77" s="120"/>
      <c r="CC77" s="120"/>
      <c r="CD77" s="120"/>
      <c r="CE77" s="120"/>
    </row>
    <row r="78" ht="18.75" customHeight="1">
      <c r="C78" s="64"/>
      <c r="E78" s="64"/>
      <c r="F78" s="64"/>
      <c r="G78" s="64"/>
      <c r="AH78" s="152"/>
      <c r="AI78" s="152"/>
      <c r="AJ78" s="152"/>
      <c r="AK78" s="152"/>
      <c r="BS78" s="120"/>
      <c r="BT78" s="120"/>
      <c r="BU78" s="120"/>
      <c r="BV78" s="120"/>
      <c r="BW78" s="120"/>
      <c r="BX78" s="120"/>
      <c r="BY78" s="120"/>
      <c r="BZ78" s="120"/>
      <c r="CA78" s="120"/>
      <c r="CB78" s="120"/>
      <c r="CC78" s="120"/>
      <c r="CD78" s="120"/>
      <c r="CE78" s="120"/>
    </row>
    <row r="79" ht="18.75" customHeight="1">
      <c r="C79" s="64"/>
      <c r="E79" s="64"/>
      <c r="F79" s="64"/>
      <c r="G79" s="64"/>
      <c r="AH79" s="152"/>
      <c r="AI79" s="152"/>
      <c r="AJ79" s="152"/>
      <c r="AK79" s="152"/>
      <c r="BS79" s="120"/>
      <c r="BT79" s="120"/>
      <c r="BU79" s="120"/>
      <c r="BV79" s="120"/>
      <c r="BW79" s="120"/>
      <c r="BX79" s="120"/>
      <c r="BY79" s="120"/>
      <c r="BZ79" s="120"/>
      <c r="CA79" s="120"/>
      <c r="CB79" s="120"/>
      <c r="CC79" s="120"/>
      <c r="CD79" s="120"/>
      <c r="CE79" s="120"/>
    </row>
    <row r="80" ht="18.75" customHeight="1">
      <c r="C80" s="64"/>
      <c r="E80" s="64"/>
      <c r="F80" s="64"/>
      <c r="G80" s="64"/>
      <c r="AH80" s="152"/>
      <c r="AI80" s="152"/>
      <c r="AJ80" s="152"/>
      <c r="AK80" s="152"/>
      <c r="BS80" s="120"/>
      <c r="BT80" s="120"/>
      <c r="BU80" s="120"/>
      <c r="BV80" s="120"/>
      <c r="BW80" s="120"/>
      <c r="BX80" s="120"/>
      <c r="BY80" s="120"/>
      <c r="BZ80" s="120"/>
      <c r="CA80" s="120"/>
      <c r="CB80" s="120"/>
      <c r="CC80" s="120"/>
      <c r="CD80" s="120"/>
      <c r="CE80" s="120"/>
    </row>
    <row r="81" ht="18.75" customHeight="1">
      <c r="C81" s="64"/>
      <c r="E81" s="64"/>
      <c r="F81" s="64"/>
      <c r="G81" s="64"/>
      <c r="AH81" s="152"/>
      <c r="AI81" s="152"/>
      <c r="AJ81" s="152"/>
      <c r="AK81" s="152"/>
      <c r="BS81" s="120"/>
      <c r="BT81" s="120"/>
      <c r="BU81" s="120"/>
      <c r="BV81" s="120"/>
      <c r="BW81" s="120"/>
      <c r="BX81" s="120"/>
      <c r="BY81" s="120"/>
      <c r="BZ81" s="120"/>
      <c r="CA81" s="120"/>
      <c r="CB81" s="120"/>
      <c r="CC81" s="120"/>
      <c r="CD81" s="120"/>
      <c r="CE81" s="120"/>
    </row>
    <row r="82" ht="18.75" customHeight="1">
      <c r="C82" s="64"/>
      <c r="E82" s="64"/>
      <c r="F82" s="64"/>
      <c r="G82" s="64"/>
      <c r="AH82" s="152"/>
      <c r="AI82" s="152"/>
      <c r="AJ82" s="152"/>
      <c r="AK82" s="152"/>
      <c r="BS82" s="120"/>
      <c r="BT82" s="120"/>
      <c r="BU82" s="120"/>
      <c r="BV82" s="120"/>
      <c r="BW82" s="120"/>
      <c r="BX82" s="120"/>
      <c r="BY82" s="120"/>
      <c r="BZ82" s="120"/>
      <c r="CA82" s="120"/>
      <c r="CB82" s="120"/>
      <c r="CC82" s="120"/>
      <c r="CD82" s="120"/>
      <c r="CE82" s="120"/>
    </row>
    <row r="83" ht="18.75" customHeight="1">
      <c r="C83" s="64"/>
      <c r="E83" s="64"/>
      <c r="F83" s="64"/>
      <c r="G83" s="64"/>
      <c r="AH83" s="152"/>
      <c r="AI83" s="152"/>
      <c r="AJ83" s="152"/>
      <c r="AK83" s="152"/>
      <c r="BS83" s="120"/>
      <c r="BT83" s="120"/>
      <c r="BU83" s="120"/>
      <c r="BV83" s="120"/>
      <c r="BW83" s="120"/>
      <c r="BX83" s="120"/>
      <c r="BY83" s="120"/>
      <c r="BZ83" s="120"/>
      <c r="CA83" s="120"/>
      <c r="CB83" s="120"/>
      <c r="CC83" s="120"/>
      <c r="CD83" s="120"/>
      <c r="CE83" s="120"/>
    </row>
    <row r="84" ht="18.75" customHeight="1">
      <c r="C84" s="64"/>
      <c r="E84" s="64"/>
      <c r="F84" s="64"/>
      <c r="G84" s="64"/>
      <c r="AH84" s="152"/>
      <c r="AI84" s="152"/>
      <c r="AJ84" s="152"/>
      <c r="AK84" s="152"/>
      <c r="BS84" s="120"/>
      <c r="BT84" s="120"/>
      <c r="BU84" s="120"/>
      <c r="BV84" s="120"/>
      <c r="BW84" s="120"/>
      <c r="BX84" s="120"/>
      <c r="BY84" s="120"/>
      <c r="BZ84" s="120"/>
      <c r="CA84" s="120"/>
      <c r="CB84" s="120"/>
      <c r="CC84" s="120"/>
      <c r="CD84" s="120"/>
      <c r="CE84" s="120"/>
    </row>
    <row r="85" ht="18.75" customHeight="1">
      <c r="C85" s="64"/>
      <c r="E85" s="64"/>
      <c r="F85" s="64"/>
      <c r="G85" s="64"/>
      <c r="AH85" s="152"/>
      <c r="AI85" s="152"/>
      <c r="AJ85" s="152"/>
      <c r="AK85" s="152"/>
      <c r="BS85" s="120"/>
      <c r="BT85" s="120"/>
      <c r="BU85" s="120"/>
      <c r="BV85" s="120"/>
      <c r="BW85" s="120"/>
      <c r="BX85" s="120"/>
      <c r="BY85" s="120"/>
      <c r="BZ85" s="120"/>
      <c r="CA85" s="120"/>
      <c r="CB85" s="120"/>
      <c r="CC85" s="120"/>
      <c r="CD85" s="120"/>
      <c r="CE85" s="120"/>
    </row>
    <row r="86" ht="18.75" customHeight="1">
      <c r="C86" s="64"/>
      <c r="E86" s="64"/>
      <c r="F86" s="64"/>
      <c r="G86" s="64"/>
      <c r="AH86" s="152"/>
      <c r="AI86" s="152"/>
      <c r="AJ86" s="152"/>
      <c r="AK86" s="152"/>
      <c r="BS86" s="120"/>
      <c r="BT86" s="120"/>
      <c r="BU86" s="120"/>
      <c r="BV86" s="120"/>
      <c r="BW86" s="120"/>
      <c r="BX86" s="120"/>
      <c r="BY86" s="120"/>
      <c r="BZ86" s="120"/>
      <c r="CA86" s="120"/>
      <c r="CB86" s="120"/>
      <c r="CC86" s="120"/>
      <c r="CD86" s="120"/>
      <c r="CE86" s="120"/>
    </row>
    <row r="87" ht="18.75" customHeight="1">
      <c r="C87" s="64"/>
      <c r="E87" s="64"/>
      <c r="F87" s="64"/>
      <c r="G87" s="64"/>
      <c r="AH87" s="152"/>
      <c r="AI87" s="152"/>
      <c r="AJ87" s="152"/>
      <c r="AK87" s="152"/>
      <c r="BS87" s="120"/>
      <c r="BT87" s="120"/>
      <c r="BU87" s="120"/>
      <c r="BV87" s="120"/>
      <c r="BW87" s="120"/>
      <c r="BX87" s="120"/>
      <c r="BY87" s="120"/>
      <c r="BZ87" s="120"/>
      <c r="CA87" s="120"/>
      <c r="CB87" s="120"/>
      <c r="CC87" s="120"/>
      <c r="CD87" s="120"/>
      <c r="CE87" s="120"/>
    </row>
    <row r="88" ht="18.75" customHeight="1">
      <c r="C88" s="64"/>
      <c r="E88" s="64"/>
      <c r="F88" s="64"/>
      <c r="G88" s="64"/>
      <c r="AH88" s="152"/>
      <c r="AI88" s="152"/>
      <c r="AJ88" s="152"/>
      <c r="AK88" s="152"/>
      <c r="BS88" s="120"/>
      <c r="BT88" s="120"/>
      <c r="BU88" s="120"/>
      <c r="BV88" s="120"/>
      <c r="BW88" s="120"/>
      <c r="BX88" s="120"/>
      <c r="BY88" s="120"/>
      <c r="BZ88" s="120"/>
      <c r="CA88" s="120"/>
      <c r="CB88" s="120"/>
      <c r="CC88" s="120"/>
      <c r="CD88" s="120"/>
      <c r="CE88" s="120"/>
    </row>
    <row r="89" ht="18.75" customHeight="1">
      <c r="C89" s="64"/>
      <c r="E89" s="64"/>
      <c r="F89" s="64"/>
      <c r="G89" s="64"/>
      <c r="AH89" s="152"/>
      <c r="AI89" s="152"/>
      <c r="AJ89" s="152"/>
      <c r="AK89" s="152"/>
      <c r="BS89" s="120"/>
      <c r="BT89" s="120"/>
      <c r="BU89" s="120"/>
      <c r="BV89" s="120"/>
      <c r="BW89" s="120"/>
      <c r="BX89" s="120"/>
      <c r="BY89" s="120"/>
      <c r="BZ89" s="120"/>
      <c r="CA89" s="120"/>
      <c r="CB89" s="120"/>
      <c r="CC89" s="120"/>
      <c r="CD89" s="120"/>
      <c r="CE89" s="120"/>
    </row>
    <row r="90" ht="18.75" customHeight="1">
      <c r="C90" s="64"/>
      <c r="E90" s="64"/>
      <c r="F90" s="64"/>
      <c r="G90" s="64"/>
      <c r="AH90" s="152"/>
      <c r="AI90" s="152"/>
      <c r="AJ90" s="152"/>
      <c r="AK90" s="152"/>
      <c r="BS90" s="120"/>
      <c r="BT90" s="120"/>
      <c r="BU90" s="120"/>
      <c r="BV90" s="120"/>
      <c r="BW90" s="120"/>
      <c r="BX90" s="120"/>
      <c r="BY90" s="120"/>
      <c r="BZ90" s="120"/>
      <c r="CA90" s="120"/>
      <c r="CB90" s="120"/>
      <c r="CC90" s="120"/>
      <c r="CD90" s="120"/>
      <c r="CE90" s="120"/>
    </row>
    <row r="91" ht="18.75" customHeight="1">
      <c r="C91" s="64"/>
      <c r="E91" s="64"/>
      <c r="F91" s="64"/>
      <c r="G91" s="64"/>
      <c r="AH91" s="152"/>
      <c r="AI91" s="152"/>
      <c r="AJ91" s="152"/>
      <c r="AK91" s="152"/>
      <c r="BS91" s="120"/>
      <c r="BT91" s="120"/>
      <c r="BU91" s="120"/>
      <c r="BV91" s="120"/>
      <c r="BW91" s="120"/>
      <c r="BX91" s="120"/>
      <c r="BY91" s="120"/>
      <c r="BZ91" s="120"/>
      <c r="CA91" s="120"/>
      <c r="CB91" s="120"/>
      <c r="CC91" s="120"/>
      <c r="CD91" s="120"/>
      <c r="CE91" s="120"/>
    </row>
    <row r="92" ht="18.75" customHeight="1">
      <c r="C92" s="64"/>
      <c r="E92" s="64"/>
      <c r="F92" s="64"/>
      <c r="G92" s="64"/>
      <c r="AH92" s="152"/>
      <c r="AI92" s="152"/>
      <c r="AJ92" s="152"/>
      <c r="AK92" s="152"/>
      <c r="BS92" s="120"/>
      <c r="BT92" s="120"/>
      <c r="BU92" s="120"/>
      <c r="BV92" s="120"/>
      <c r="BW92" s="120"/>
      <c r="BX92" s="120"/>
      <c r="BY92" s="120"/>
      <c r="BZ92" s="120"/>
      <c r="CA92" s="120"/>
      <c r="CB92" s="120"/>
      <c r="CC92" s="120"/>
      <c r="CD92" s="120"/>
      <c r="CE92" s="120"/>
    </row>
    <row r="93" ht="18.75" customHeight="1">
      <c r="C93" s="64"/>
      <c r="E93" s="64"/>
      <c r="F93" s="64"/>
      <c r="G93" s="64"/>
      <c r="AH93" s="152"/>
      <c r="AI93" s="152"/>
      <c r="AJ93" s="152"/>
      <c r="AK93" s="152"/>
      <c r="BS93" s="120"/>
      <c r="BT93" s="120"/>
      <c r="BU93" s="120"/>
      <c r="BV93" s="120"/>
      <c r="BW93" s="120"/>
      <c r="BX93" s="120"/>
      <c r="BY93" s="120"/>
      <c r="BZ93" s="120"/>
      <c r="CA93" s="120"/>
      <c r="CB93" s="120"/>
      <c r="CC93" s="120"/>
      <c r="CD93" s="120"/>
      <c r="CE93" s="120"/>
    </row>
    <row r="94" ht="18.75" customHeight="1">
      <c r="C94" s="64"/>
      <c r="E94" s="64"/>
      <c r="F94" s="64"/>
      <c r="G94" s="64"/>
      <c r="AH94" s="152"/>
      <c r="AI94" s="152"/>
      <c r="AJ94" s="152"/>
      <c r="AK94" s="152"/>
      <c r="BS94" s="120"/>
      <c r="BT94" s="120"/>
      <c r="BU94" s="120"/>
      <c r="BV94" s="120"/>
      <c r="BW94" s="120"/>
      <c r="BX94" s="120"/>
      <c r="BY94" s="120"/>
      <c r="BZ94" s="120"/>
      <c r="CA94" s="120"/>
      <c r="CB94" s="120"/>
      <c r="CC94" s="120"/>
      <c r="CD94" s="120"/>
      <c r="CE94" s="120"/>
    </row>
    <row r="95" ht="18.75" customHeight="1">
      <c r="C95" s="64"/>
      <c r="E95" s="64"/>
      <c r="F95" s="64"/>
      <c r="G95" s="64"/>
      <c r="AH95" s="152"/>
      <c r="AI95" s="152"/>
      <c r="AJ95" s="152"/>
      <c r="AK95" s="152"/>
      <c r="BS95" s="120"/>
      <c r="BT95" s="120"/>
      <c r="BU95" s="120"/>
      <c r="BV95" s="120"/>
      <c r="BW95" s="120"/>
      <c r="BX95" s="120"/>
      <c r="BY95" s="120"/>
      <c r="BZ95" s="120"/>
      <c r="CA95" s="120"/>
      <c r="CB95" s="120"/>
      <c r="CC95" s="120"/>
      <c r="CD95" s="120"/>
      <c r="CE95" s="120"/>
    </row>
    <row r="96" ht="18.75" customHeight="1">
      <c r="C96" s="64"/>
      <c r="E96" s="64"/>
      <c r="F96" s="64"/>
      <c r="G96" s="64"/>
      <c r="AH96" s="152"/>
      <c r="AI96" s="152"/>
      <c r="AJ96" s="152"/>
      <c r="AK96" s="152"/>
      <c r="BS96" s="120"/>
      <c r="BT96" s="120"/>
      <c r="BU96" s="120"/>
      <c r="BV96" s="120"/>
      <c r="BW96" s="120"/>
      <c r="BX96" s="120"/>
      <c r="BY96" s="120"/>
      <c r="BZ96" s="120"/>
      <c r="CA96" s="120"/>
      <c r="CB96" s="120"/>
      <c r="CC96" s="120"/>
      <c r="CD96" s="120"/>
      <c r="CE96" s="120"/>
    </row>
    <row r="97" ht="18.75" customHeight="1">
      <c r="C97" s="64"/>
      <c r="E97" s="64"/>
      <c r="F97" s="64"/>
      <c r="G97" s="64"/>
      <c r="AH97" s="152"/>
      <c r="AI97" s="152"/>
      <c r="AJ97" s="152"/>
      <c r="AK97" s="152"/>
      <c r="BS97" s="120"/>
      <c r="BT97" s="120"/>
      <c r="BU97" s="120"/>
      <c r="BV97" s="120"/>
      <c r="BW97" s="120"/>
      <c r="BX97" s="120"/>
      <c r="BY97" s="120"/>
      <c r="BZ97" s="120"/>
      <c r="CA97" s="120"/>
      <c r="CB97" s="120"/>
      <c r="CC97" s="120"/>
      <c r="CD97" s="120"/>
      <c r="CE97" s="120"/>
    </row>
    <row r="98" ht="18.75" customHeight="1">
      <c r="C98" s="64"/>
      <c r="E98" s="64"/>
      <c r="F98" s="64"/>
      <c r="G98" s="64"/>
      <c r="AH98" s="152"/>
      <c r="AI98" s="152"/>
      <c r="AJ98" s="152"/>
      <c r="AK98" s="152"/>
      <c r="BS98" s="120"/>
      <c r="BT98" s="120"/>
      <c r="BU98" s="120"/>
      <c r="BV98" s="120"/>
      <c r="BW98" s="120"/>
      <c r="BX98" s="120"/>
      <c r="BY98" s="120"/>
      <c r="BZ98" s="120"/>
      <c r="CA98" s="120"/>
      <c r="CB98" s="120"/>
      <c r="CC98" s="120"/>
      <c r="CD98" s="120"/>
      <c r="CE98" s="120"/>
    </row>
    <row r="99" ht="18.75" customHeight="1">
      <c r="C99" s="64"/>
      <c r="E99" s="64"/>
      <c r="F99" s="64"/>
      <c r="G99" s="64"/>
      <c r="AH99" s="152"/>
      <c r="AI99" s="152"/>
      <c r="AJ99" s="152"/>
      <c r="AK99" s="152"/>
      <c r="BS99" s="120"/>
      <c r="BT99" s="120"/>
      <c r="BU99" s="120"/>
      <c r="BV99" s="120"/>
      <c r="BW99" s="120"/>
      <c r="BX99" s="120"/>
      <c r="BY99" s="120"/>
      <c r="BZ99" s="120"/>
      <c r="CA99" s="120"/>
      <c r="CB99" s="120"/>
      <c r="CC99" s="120"/>
      <c r="CD99" s="120"/>
      <c r="CE99" s="120"/>
    </row>
    <row r="100" ht="18.75" customHeight="1">
      <c r="C100" s="64"/>
      <c r="E100" s="64"/>
      <c r="F100" s="64"/>
      <c r="G100" s="64"/>
      <c r="AH100" s="152"/>
      <c r="AI100" s="152"/>
      <c r="AJ100" s="152"/>
      <c r="AK100" s="152"/>
      <c r="BS100" s="120"/>
      <c r="BT100" s="120"/>
      <c r="BU100" s="120"/>
      <c r="BV100" s="120"/>
      <c r="BW100" s="120"/>
      <c r="BX100" s="120"/>
      <c r="BY100" s="120"/>
      <c r="BZ100" s="120"/>
      <c r="CA100" s="120"/>
      <c r="CB100" s="120"/>
      <c r="CC100" s="120"/>
      <c r="CD100" s="120"/>
      <c r="CE100" s="120"/>
    </row>
    <row r="101" ht="18.75" customHeight="1">
      <c r="C101" s="64"/>
      <c r="E101" s="64"/>
      <c r="F101" s="64"/>
      <c r="G101" s="64"/>
      <c r="AH101" s="152"/>
      <c r="AI101" s="152"/>
      <c r="AJ101" s="152"/>
      <c r="AK101" s="152"/>
      <c r="BS101" s="120"/>
      <c r="BT101" s="120"/>
      <c r="BU101" s="120"/>
      <c r="BV101" s="120"/>
      <c r="BW101" s="120"/>
      <c r="BX101" s="120"/>
      <c r="BY101" s="120"/>
      <c r="BZ101" s="120"/>
      <c r="CA101" s="120"/>
      <c r="CB101" s="120"/>
      <c r="CC101" s="120"/>
      <c r="CD101" s="120"/>
      <c r="CE101" s="120"/>
    </row>
    <row r="102" ht="18.75" customHeight="1">
      <c r="C102" s="64"/>
      <c r="E102" s="64"/>
      <c r="F102" s="64"/>
      <c r="G102" s="64"/>
      <c r="AH102" s="152"/>
      <c r="AI102" s="152"/>
      <c r="AJ102" s="152"/>
      <c r="AK102" s="152"/>
      <c r="BS102" s="120"/>
      <c r="BT102" s="120"/>
      <c r="BU102" s="120"/>
      <c r="BV102" s="120"/>
      <c r="BW102" s="120"/>
      <c r="BX102" s="120"/>
      <c r="BY102" s="120"/>
      <c r="BZ102" s="120"/>
      <c r="CA102" s="120"/>
      <c r="CB102" s="120"/>
      <c r="CC102" s="120"/>
      <c r="CD102" s="120"/>
      <c r="CE102" s="120"/>
    </row>
    <row r="103" ht="18.75" customHeight="1">
      <c r="C103" s="64"/>
      <c r="E103" s="64"/>
      <c r="F103" s="64"/>
      <c r="G103" s="64"/>
      <c r="AH103" s="152"/>
      <c r="AI103" s="152"/>
      <c r="AJ103" s="152"/>
      <c r="AK103" s="152"/>
      <c r="BS103" s="120"/>
      <c r="BT103" s="120"/>
      <c r="BU103" s="120"/>
      <c r="BV103" s="120"/>
      <c r="BW103" s="120"/>
      <c r="BX103" s="120"/>
      <c r="BY103" s="120"/>
      <c r="BZ103" s="120"/>
      <c r="CA103" s="120"/>
      <c r="CB103" s="120"/>
      <c r="CC103" s="120"/>
      <c r="CD103" s="120"/>
      <c r="CE103" s="120"/>
    </row>
    <row r="104" ht="18.75" customHeight="1">
      <c r="C104" s="64"/>
      <c r="E104" s="64"/>
      <c r="F104" s="64"/>
      <c r="G104" s="64"/>
      <c r="AH104" s="152"/>
      <c r="AI104" s="152"/>
      <c r="AJ104" s="152"/>
      <c r="AK104" s="152"/>
      <c r="BS104" s="120"/>
      <c r="BT104" s="120"/>
      <c r="BU104" s="120"/>
      <c r="BV104" s="120"/>
      <c r="BW104" s="120"/>
      <c r="BX104" s="120"/>
      <c r="BY104" s="120"/>
      <c r="BZ104" s="120"/>
      <c r="CA104" s="120"/>
      <c r="CB104" s="120"/>
      <c r="CC104" s="120"/>
      <c r="CD104" s="120"/>
      <c r="CE104" s="120"/>
    </row>
    <row r="105" ht="18.75" customHeight="1">
      <c r="C105" s="64"/>
      <c r="E105" s="64"/>
      <c r="F105" s="64"/>
      <c r="G105" s="64"/>
      <c r="AH105" s="152"/>
      <c r="AI105" s="152"/>
      <c r="AJ105" s="152"/>
      <c r="AK105" s="152"/>
      <c r="BS105" s="120"/>
      <c r="BT105" s="120"/>
      <c r="BU105" s="120"/>
      <c r="BV105" s="120"/>
      <c r="BW105" s="120"/>
      <c r="BX105" s="120"/>
      <c r="BY105" s="120"/>
      <c r="BZ105" s="120"/>
      <c r="CA105" s="120"/>
      <c r="CB105" s="120"/>
      <c r="CC105" s="120"/>
      <c r="CD105" s="120"/>
      <c r="CE105" s="120"/>
    </row>
    <row r="106" ht="18.75" customHeight="1">
      <c r="C106" s="64"/>
      <c r="E106" s="64"/>
      <c r="F106" s="64"/>
      <c r="G106" s="64"/>
      <c r="AH106" s="152"/>
      <c r="AI106" s="152"/>
      <c r="AJ106" s="152"/>
      <c r="AK106" s="152"/>
      <c r="BS106" s="120"/>
      <c r="BT106" s="120"/>
      <c r="BU106" s="120"/>
      <c r="BV106" s="120"/>
      <c r="BW106" s="120"/>
      <c r="BX106" s="120"/>
      <c r="BY106" s="120"/>
      <c r="BZ106" s="120"/>
      <c r="CA106" s="120"/>
      <c r="CB106" s="120"/>
      <c r="CC106" s="120"/>
      <c r="CD106" s="120"/>
      <c r="CE106" s="120"/>
    </row>
    <row r="107" ht="18.75" customHeight="1">
      <c r="C107" s="64"/>
      <c r="E107" s="64"/>
      <c r="F107" s="64"/>
      <c r="G107" s="64"/>
      <c r="AH107" s="152"/>
      <c r="AI107" s="152"/>
      <c r="AJ107" s="152"/>
      <c r="AK107" s="152"/>
      <c r="BS107" s="120"/>
      <c r="BT107" s="120"/>
      <c r="BU107" s="120"/>
      <c r="BV107" s="120"/>
      <c r="BW107" s="120"/>
      <c r="BX107" s="120"/>
      <c r="BY107" s="120"/>
      <c r="BZ107" s="120"/>
      <c r="CA107" s="120"/>
      <c r="CB107" s="120"/>
      <c r="CC107" s="120"/>
      <c r="CD107" s="120"/>
      <c r="CE107" s="120"/>
    </row>
    <row r="108" ht="18.75" customHeight="1">
      <c r="C108" s="64"/>
      <c r="E108" s="64"/>
      <c r="F108" s="64"/>
      <c r="G108" s="64"/>
      <c r="AH108" s="152"/>
      <c r="AI108" s="152"/>
      <c r="AJ108" s="152"/>
      <c r="AK108" s="152"/>
      <c r="BS108" s="120"/>
      <c r="BT108" s="120"/>
      <c r="BU108" s="120"/>
      <c r="BV108" s="120"/>
      <c r="BW108" s="120"/>
      <c r="BX108" s="120"/>
      <c r="BY108" s="120"/>
      <c r="BZ108" s="120"/>
      <c r="CA108" s="120"/>
      <c r="CB108" s="120"/>
      <c r="CC108" s="120"/>
      <c r="CD108" s="120"/>
      <c r="CE108" s="120"/>
    </row>
    <row r="109" ht="18.75" customHeight="1">
      <c r="C109" s="64"/>
      <c r="E109" s="64"/>
      <c r="F109" s="64"/>
      <c r="G109" s="64"/>
      <c r="AH109" s="152"/>
      <c r="AI109" s="152"/>
      <c r="AJ109" s="152"/>
      <c r="AK109" s="152"/>
      <c r="BS109" s="120"/>
      <c r="BT109" s="120"/>
      <c r="BU109" s="120"/>
      <c r="BV109" s="120"/>
      <c r="BW109" s="120"/>
      <c r="BX109" s="120"/>
      <c r="BY109" s="120"/>
      <c r="BZ109" s="120"/>
      <c r="CA109" s="120"/>
      <c r="CB109" s="120"/>
      <c r="CC109" s="120"/>
      <c r="CD109" s="120"/>
      <c r="CE109" s="120"/>
    </row>
    <row r="110" ht="18.75" customHeight="1">
      <c r="C110" s="64"/>
      <c r="E110" s="64"/>
      <c r="F110" s="64"/>
      <c r="G110" s="64"/>
      <c r="AH110" s="152"/>
      <c r="AI110" s="152"/>
      <c r="AJ110" s="152"/>
      <c r="AK110" s="152"/>
      <c r="BS110" s="120"/>
      <c r="BT110" s="120"/>
      <c r="BU110" s="120"/>
      <c r="BV110" s="120"/>
      <c r="BW110" s="120"/>
      <c r="BX110" s="120"/>
      <c r="BY110" s="120"/>
      <c r="BZ110" s="120"/>
      <c r="CA110" s="120"/>
      <c r="CB110" s="120"/>
      <c r="CC110" s="120"/>
      <c r="CD110" s="120"/>
      <c r="CE110" s="120"/>
    </row>
    <row r="111" ht="18.75" customHeight="1">
      <c r="C111" s="64"/>
      <c r="E111" s="64"/>
      <c r="F111" s="64"/>
      <c r="G111" s="64"/>
      <c r="AH111" s="152"/>
      <c r="AI111" s="152"/>
      <c r="AJ111" s="152"/>
      <c r="AK111" s="152"/>
      <c r="BS111" s="120"/>
      <c r="BT111" s="120"/>
      <c r="BU111" s="120"/>
      <c r="BV111" s="120"/>
      <c r="BW111" s="120"/>
      <c r="BX111" s="120"/>
      <c r="BY111" s="120"/>
      <c r="BZ111" s="120"/>
      <c r="CA111" s="120"/>
      <c r="CB111" s="120"/>
      <c r="CC111" s="120"/>
      <c r="CD111" s="120"/>
      <c r="CE111" s="120"/>
    </row>
    <row r="112" ht="18.75" customHeight="1">
      <c r="C112" s="64"/>
      <c r="E112" s="64"/>
      <c r="F112" s="64"/>
      <c r="G112" s="64"/>
      <c r="AH112" s="152"/>
      <c r="AI112" s="152"/>
      <c r="AJ112" s="152"/>
      <c r="AK112" s="152"/>
      <c r="BS112" s="120"/>
      <c r="BT112" s="120"/>
      <c r="BU112" s="120"/>
      <c r="BV112" s="120"/>
      <c r="BW112" s="120"/>
      <c r="BX112" s="120"/>
      <c r="BY112" s="120"/>
      <c r="BZ112" s="120"/>
      <c r="CA112" s="120"/>
      <c r="CB112" s="120"/>
      <c r="CC112" s="120"/>
      <c r="CD112" s="120"/>
      <c r="CE112" s="120"/>
    </row>
    <row r="113" ht="18.75" customHeight="1">
      <c r="C113" s="64"/>
      <c r="E113" s="64"/>
      <c r="F113" s="64"/>
      <c r="G113" s="64"/>
      <c r="AH113" s="152"/>
      <c r="AI113" s="152"/>
      <c r="AJ113" s="152"/>
      <c r="AK113" s="152"/>
      <c r="BS113" s="120"/>
      <c r="BT113" s="120"/>
      <c r="BU113" s="120"/>
      <c r="BV113" s="120"/>
      <c r="BW113" s="120"/>
      <c r="BX113" s="120"/>
      <c r="BY113" s="120"/>
      <c r="BZ113" s="120"/>
      <c r="CA113" s="120"/>
      <c r="CB113" s="120"/>
      <c r="CC113" s="120"/>
      <c r="CD113" s="120"/>
      <c r="CE113" s="120"/>
    </row>
    <row r="114" ht="18.75" customHeight="1">
      <c r="C114" s="64"/>
      <c r="E114" s="64"/>
      <c r="F114" s="64"/>
      <c r="G114" s="64"/>
      <c r="AH114" s="152"/>
      <c r="AI114" s="152"/>
      <c r="AJ114" s="152"/>
      <c r="AK114" s="152"/>
      <c r="BS114" s="120"/>
      <c r="BT114" s="120"/>
      <c r="BU114" s="120"/>
      <c r="BV114" s="120"/>
      <c r="BW114" s="120"/>
      <c r="BX114" s="120"/>
      <c r="BY114" s="120"/>
      <c r="BZ114" s="120"/>
      <c r="CA114" s="120"/>
      <c r="CB114" s="120"/>
      <c r="CC114" s="120"/>
      <c r="CD114" s="120"/>
      <c r="CE114" s="120"/>
    </row>
    <row r="115" ht="18.75" customHeight="1">
      <c r="C115" s="64"/>
      <c r="E115" s="64"/>
      <c r="F115" s="64"/>
      <c r="G115" s="64"/>
      <c r="AH115" s="152"/>
      <c r="AI115" s="152"/>
      <c r="AJ115" s="152"/>
      <c r="AK115" s="152"/>
      <c r="BS115" s="120"/>
      <c r="BT115" s="120"/>
      <c r="BU115" s="120"/>
      <c r="BV115" s="120"/>
      <c r="BW115" s="120"/>
      <c r="BX115" s="120"/>
      <c r="BY115" s="120"/>
      <c r="BZ115" s="120"/>
      <c r="CA115" s="120"/>
      <c r="CB115" s="120"/>
      <c r="CC115" s="120"/>
      <c r="CD115" s="120"/>
      <c r="CE115" s="120"/>
    </row>
    <row r="116" ht="18.75" customHeight="1">
      <c r="C116" s="64"/>
      <c r="E116" s="64"/>
      <c r="F116" s="64"/>
      <c r="G116" s="64"/>
      <c r="AH116" s="152"/>
      <c r="AI116" s="152"/>
      <c r="AJ116" s="152"/>
      <c r="AK116" s="152"/>
      <c r="BS116" s="120"/>
      <c r="BT116" s="120"/>
      <c r="BU116" s="120"/>
      <c r="BV116" s="120"/>
      <c r="BW116" s="120"/>
      <c r="BX116" s="120"/>
      <c r="BY116" s="120"/>
      <c r="BZ116" s="120"/>
      <c r="CA116" s="120"/>
      <c r="CB116" s="120"/>
      <c r="CC116" s="120"/>
      <c r="CD116" s="120"/>
      <c r="CE116" s="120"/>
    </row>
    <row r="117" ht="18.75" customHeight="1">
      <c r="C117" s="64"/>
      <c r="E117" s="64"/>
      <c r="F117" s="64"/>
      <c r="G117" s="64"/>
      <c r="AH117" s="152"/>
      <c r="AI117" s="152"/>
      <c r="AJ117" s="152"/>
      <c r="AK117" s="152"/>
      <c r="BS117" s="120"/>
      <c r="BT117" s="120"/>
      <c r="BU117" s="120"/>
      <c r="BV117" s="120"/>
      <c r="BW117" s="120"/>
      <c r="BX117" s="120"/>
      <c r="BY117" s="120"/>
      <c r="BZ117" s="120"/>
      <c r="CA117" s="120"/>
      <c r="CB117" s="120"/>
      <c r="CC117" s="120"/>
      <c r="CD117" s="120"/>
      <c r="CE117" s="120"/>
    </row>
    <row r="118" ht="18.75" customHeight="1">
      <c r="C118" s="64"/>
      <c r="E118" s="64"/>
      <c r="F118" s="64"/>
      <c r="G118" s="64"/>
      <c r="AH118" s="152"/>
      <c r="AI118" s="152"/>
      <c r="AJ118" s="152"/>
      <c r="AK118" s="152"/>
      <c r="BS118" s="120"/>
      <c r="BT118" s="120"/>
      <c r="BU118" s="120"/>
      <c r="BV118" s="120"/>
      <c r="BW118" s="120"/>
      <c r="BX118" s="120"/>
      <c r="BY118" s="120"/>
      <c r="BZ118" s="120"/>
      <c r="CA118" s="120"/>
      <c r="CB118" s="120"/>
      <c r="CC118" s="120"/>
      <c r="CD118" s="120"/>
      <c r="CE118" s="120"/>
    </row>
    <row r="119" ht="18.75" customHeight="1">
      <c r="C119" s="64"/>
      <c r="E119" s="64"/>
      <c r="F119" s="64"/>
      <c r="G119" s="64"/>
      <c r="AH119" s="152"/>
      <c r="AI119" s="152"/>
      <c r="AJ119" s="152"/>
      <c r="AK119" s="152"/>
      <c r="BS119" s="120"/>
      <c r="BT119" s="120"/>
      <c r="BU119" s="120"/>
      <c r="BV119" s="120"/>
      <c r="BW119" s="120"/>
      <c r="BX119" s="120"/>
      <c r="BY119" s="120"/>
      <c r="BZ119" s="120"/>
      <c r="CA119" s="120"/>
      <c r="CB119" s="120"/>
      <c r="CC119" s="120"/>
      <c r="CD119" s="120"/>
      <c r="CE119" s="120"/>
    </row>
    <row r="120" ht="18.75" customHeight="1">
      <c r="C120" s="64"/>
      <c r="E120" s="64"/>
      <c r="F120" s="64"/>
      <c r="G120" s="64"/>
      <c r="AH120" s="152"/>
      <c r="AI120" s="152"/>
      <c r="AJ120" s="152"/>
      <c r="AK120" s="152"/>
      <c r="BS120" s="120"/>
      <c r="BT120" s="120"/>
      <c r="BU120" s="120"/>
      <c r="BV120" s="120"/>
      <c r="BW120" s="120"/>
      <c r="BX120" s="120"/>
      <c r="BY120" s="120"/>
      <c r="BZ120" s="120"/>
      <c r="CA120" s="120"/>
      <c r="CB120" s="120"/>
      <c r="CC120" s="120"/>
      <c r="CD120" s="120"/>
      <c r="CE120" s="120"/>
    </row>
    <row r="121" ht="18.75" customHeight="1">
      <c r="C121" s="64"/>
      <c r="E121" s="64"/>
      <c r="F121" s="64"/>
      <c r="G121" s="64"/>
      <c r="AH121" s="152"/>
      <c r="AI121" s="152"/>
      <c r="AJ121" s="152"/>
      <c r="AK121" s="152"/>
      <c r="BS121" s="120"/>
      <c r="BT121" s="120"/>
      <c r="BU121" s="120"/>
      <c r="BV121" s="120"/>
      <c r="BW121" s="120"/>
      <c r="BX121" s="120"/>
      <c r="BY121" s="120"/>
      <c r="BZ121" s="120"/>
      <c r="CA121" s="120"/>
      <c r="CB121" s="120"/>
      <c r="CC121" s="120"/>
      <c r="CD121" s="120"/>
      <c r="CE121" s="120"/>
    </row>
    <row r="122" ht="18.75" customHeight="1">
      <c r="C122" s="64"/>
      <c r="E122" s="64"/>
      <c r="F122" s="64"/>
      <c r="G122" s="64"/>
      <c r="AH122" s="152"/>
      <c r="AI122" s="152"/>
      <c r="AJ122" s="152"/>
      <c r="AK122" s="152"/>
      <c r="BS122" s="120"/>
      <c r="BT122" s="120"/>
      <c r="BU122" s="120"/>
      <c r="BV122" s="120"/>
      <c r="BW122" s="120"/>
      <c r="BX122" s="120"/>
      <c r="BY122" s="120"/>
      <c r="BZ122" s="120"/>
      <c r="CA122" s="120"/>
      <c r="CB122" s="120"/>
      <c r="CC122" s="120"/>
      <c r="CD122" s="120"/>
      <c r="CE122" s="120"/>
    </row>
    <row r="123" ht="18.75" customHeight="1">
      <c r="C123" s="64"/>
      <c r="E123" s="64"/>
      <c r="F123" s="64"/>
      <c r="G123" s="64"/>
      <c r="AH123" s="152"/>
      <c r="AI123" s="152"/>
      <c r="AJ123" s="152"/>
      <c r="AK123" s="152"/>
      <c r="BS123" s="120"/>
      <c r="BT123" s="120"/>
      <c r="BU123" s="120"/>
      <c r="BV123" s="120"/>
      <c r="BW123" s="120"/>
      <c r="BX123" s="120"/>
      <c r="BY123" s="120"/>
      <c r="BZ123" s="120"/>
      <c r="CA123" s="120"/>
      <c r="CB123" s="120"/>
      <c r="CC123" s="120"/>
      <c r="CD123" s="120"/>
      <c r="CE123" s="120"/>
    </row>
    <row r="124" ht="18.75" customHeight="1">
      <c r="C124" s="64"/>
      <c r="E124" s="64"/>
      <c r="F124" s="64"/>
      <c r="G124" s="64"/>
      <c r="AH124" s="152"/>
      <c r="AI124" s="152"/>
      <c r="AJ124" s="152"/>
      <c r="AK124" s="152"/>
      <c r="BS124" s="120"/>
      <c r="BT124" s="120"/>
      <c r="BU124" s="120"/>
      <c r="BV124" s="120"/>
      <c r="BW124" s="120"/>
      <c r="BX124" s="120"/>
      <c r="BY124" s="120"/>
      <c r="BZ124" s="120"/>
      <c r="CA124" s="120"/>
      <c r="CB124" s="120"/>
      <c r="CC124" s="120"/>
      <c r="CD124" s="120"/>
      <c r="CE124" s="120"/>
    </row>
    <row r="125" ht="18.75" customHeight="1">
      <c r="C125" s="64"/>
      <c r="E125" s="64"/>
      <c r="F125" s="64"/>
      <c r="G125" s="64"/>
      <c r="AH125" s="152"/>
      <c r="AI125" s="152"/>
      <c r="AJ125" s="152"/>
      <c r="AK125" s="152"/>
      <c r="BS125" s="120"/>
      <c r="BT125" s="120"/>
      <c r="BU125" s="120"/>
      <c r="BV125" s="120"/>
      <c r="BW125" s="120"/>
      <c r="BX125" s="120"/>
      <c r="BY125" s="120"/>
      <c r="BZ125" s="120"/>
      <c r="CA125" s="120"/>
      <c r="CB125" s="120"/>
      <c r="CC125" s="120"/>
      <c r="CD125" s="120"/>
      <c r="CE125" s="120"/>
    </row>
    <row r="126" ht="18.75" customHeight="1">
      <c r="C126" s="64"/>
      <c r="E126" s="64"/>
      <c r="F126" s="64"/>
      <c r="G126" s="64"/>
      <c r="AH126" s="152"/>
      <c r="AI126" s="152"/>
      <c r="AJ126" s="152"/>
      <c r="AK126" s="152"/>
      <c r="BS126" s="120"/>
      <c r="BT126" s="120"/>
      <c r="BU126" s="120"/>
      <c r="BV126" s="120"/>
      <c r="BW126" s="120"/>
      <c r="BX126" s="120"/>
      <c r="BY126" s="120"/>
      <c r="BZ126" s="120"/>
      <c r="CA126" s="120"/>
      <c r="CB126" s="120"/>
      <c r="CC126" s="120"/>
      <c r="CD126" s="120"/>
      <c r="CE126" s="120"/>
    </row>
    <row r="127" ht="18.75" customHeight="1">
      <c r="C127" s="64"/>
      <c r="E127" s="64"/>
      <c r="F127" s="64"/>
      <c r="G127" s="64"/>
      <c r="AH127" s="152"/>
      <c r="AI127" s="152"/>
      <c r="AJ127" s="152"/>
      <c r="AK127" s="152"/>
      <c r="BS127" s="120"/>
      <c r="BT127" s="120"/>
      <c r="BU127" s="120"/>
      <c r="BV127" s="120"/>
      <c r="BW127" s="120"/>
      <c r="BX127" s="120"/>
      <c r="BY127" s="120"/>
      <c r="BZ127" s="120"/>
      <c r="CA127" s="120"/>
      <c r="CB127" s="120"/>
      <c r="CC127" s="120"/>
      <c r="CD127" s="120"/>
      <c r="CE127" s="120"/>
    </row>
    <row r="128" ht="18.75" customHeight="1">
      <c r="C128" s="64"/>
      <c r="E128" s="64"/>
      <c r="F128" s="64"/>
      <c r="G128" s="64"/>
      <c r="AH128" s="152"/>
      <c r="AI128" s="152"/>
      <c r="AJ128" s="152"/>
      <c r="AK128" s="152"/>
      <c r="BS128" s="120"/>
      <c r="BT128" s="120"/>
      <c r="BU128" s="120"/>
      <c r="BV128" s="120"/>
      <c r="BW128" s="120"/>
      <c r="BX128" s="120"/>
      <c r="BY128" s="120"/>
      <c r="BZ128" s="120"/>
      <c r="CA128" s="120"/>
      <c r="CB128" s="120"/>
      <c r="CC128" s="120"/>
      <c r="CD128" s="120"/>
      <c r="CE128" s="120"/>
    </row>
    <row r="129" ht="18.75" customHeight="1">
      <c r="C129" s="64"/>
      <c r="E129" s="64"/>
      <c r="F129" s="64"/>
      <c r="G129" s="64"/>
      <c r="AH129" s="152"/>
      <c r="AI129" s="152"/>
      <c r="AJ129" s="152"/>
      <c r="AK129" s="152"/>
      <c r="BS129" s="120"/>
      <c r="BT129" s="120"/>
      <c r="BU129" s="120"/>
      <c r="BV129" s="120"/>
      <c r="BW129" s="120"/>
      <c r="BX129" s="120"/>
      <c r="BY129" s="120"/>
      <c r="BZ129" s="120"/>
      <c r="CA129" s="120"/>
      <c r="CB129" s="120"/>
      <c r="CC129" s="120"/>
      <c r="CD129" s="120"/>
      <c r="CE129" s="120"/>
    </row>
    <row r="130" ht="18.75" customHeight="1">
      <c r="C130" s="64"/>
      <c r="E130" s="64"/>
      <c r="F130" s="64"/>
      <c r="G130" s="64"/>
      <c r="AH130" s="152"/>
      <c r="AI130" s="152"/>
      <c r="AJ130" s="152"/>
      <c r="AK130" s="152"/>
      <c r="BS130" s="120"/>
      <c r="BT130" s="120"/>
      <c r="BU130" s="120"/>
      <c r="BV130" s="120"/>
      <c r="BW130" s="120"/>
      <c r="BX130" s="120"/>
      <c r="BY130" s="120"/>
      <c r="BZ130" s="120"/>
      <c r="CA130" s="120"/>
      <c r="CB130" s="120"/>
      <c r="CC130" s="120"/>
      <c r="CD130" s="120"/>
      <c r="CE130" s="120"/>
    </row>
    <row r="131" ht="18.75" customHeight="1">
      <c r="C131" s="64"/>
      <c r="E131" s="64"/>
      <c r="F131" s="64"/>
      <c r="G131" s="64"/>
      <c r="AH131" s="152"/>
      <c r="AI131" s="152"/>
      <c r="AJ131" s="152"/>
      <c r="AK131" s="152"/>
      <c r="BS131" s="120"/>
      <c r="BT131" s="120"/>
      <c r="BU131" s="120"/>
      <c r="BV131" s="120"/>
      <c r="BW131" s="120"/>
      <c r="BX131" s="120"/>
      <c r="BY131" s="120"/>
      <c r="BZ131" s="120"/>
      <c r="CA131" s="120"/>
      <c r="CB131" s="120"/>
      <c r="CC131" s="120"/>
      <c r="CD131" s="120"/>
      <c r="CE131" s="120"/>
    </row>
    <row r="132" ht="18.75" customHeight="1">
      <c r="C132" s="64"/>
      <c r="E132" s="64"/>
      <c r="F132" s="64"/>
      <c r="G132" s="64"/>
      <c r="AH132" s="152"/>
      <c r="AI132" s="152"/>
      <c r="AJ132" s="152"/>
      <c r="AK132" s="152"/>
      <c r="BS132" s="120"/>
      <c r="BT132" s="120"/>
      <c r="BU132" s="120"/>
      <c r="BV132" s="120"/>
      <c r="BW132" s="120"/>
      <c r="BX132" s="120"/>
      <c r="BY132" s="120"/>
      <c r="BZ132" s="120"/>
      <c r="CA132" s="120"/>
      <c r="CB132" s="120"/>
      <c r="CC132" s="120"/>
      <c r="CD132" s="120"/>
      <c r="CE132" s="120"/>
    </row>
    <row r="133" ht="18.75" customHeight="1">
      <c r="C133" s="64"/>
      <c r="E133" s="64"/>
      <c r="F133" s="64"/>
      <c r="G133" s="64"/>
      <c r="AH133" s="152"/>
      <c r="AI133" s="152"/>
      <c r="AJ133" s="152"/>
      <c r="AK133" s="152"/>
      <c r="BS133" s="120"/>
      <c r="BT133" s="120"/>
      <c r="BU133" s="120"/>
      <c r="BV133" s="120"/>
      <c r="BW133" s="120"/>
      <c r="BX133" s="120"/>
      <c r="BY133" s="120"/>
      <c r="BZ133" s="120"/>
      <c r="CA133" s="120"/>
      <c r="CB133" s="120"/>
      <c r="CC133" s="120"/>
      <c r="CD133" s="120"/>
      <c r="CE133" s="120"/>
    </row>
    <row r="134" ht="18.75" customHeight="1">
      <c r="C134" s="64"/>
      <c r="E134" s="64"/>
      <c r="F134" s="64"/>
      <c r="G134" s="64"/>
      <c r="AH134" s="152"/>
      <c r="AI134" s="152"/>
      <c r="AJ134" s="152"/>
      <c r="AK134" s="152"/>
      <c r="BS134" s="120"/>
      <c r="BT134" s="120"/>
      <c r="BU134" s="120"/>
      <c r="BV134" s="120"/>
      <c r="BW134" s="120"/>
      <c r="BX134" s="120"/>
      <c r="BY134" s="120"/>
      <c r="BZ134" s="120"/>
      <c r="CA134" s="120"/>
      <c r="CB134" s="120"/>
      <c r="CC134" s="120"/>
      <c r="CD134" s="120"/>
      <c r="CE134" s="120"/>
    </row>
    <row r="135" ht="18.75" customHeight="1">
      <c r="C135" s="64"/>
      <c r="E135" s="64"/>
      <c r="F135" s="64"/>
      <c r="G135" s="64"/>
      <c r="AH135" s="152"/>
      <c r="AI135" s="152"/>
      <c r="AJ135" s="152"/>
      <c r="AK135" s="152"/>
      <c r="BS135" s="120"/>
      <c r="BT135" s="120"/>
      <c r="BU135" s="120"/>
      <c r="BV135" s="120"/>
      <c r="BW135" s="120"/>
      <c r="BX135" s="120"/>
      <c r="BY135" s="120"/>
      <c r="BZ135" s="120"/>
      <c r="CA135" s="120"/>
      <c r="CB135" s="120"/>
      <c r="CC135" s="120"/>
      <c r="CD135" s="120"/>
      <c r="CE135" s="120"/>
    </row>
    <row r="136" ht="18.75" customHeight="1">
      <c r="C136" s="64"/>
      <c r="E136" s="64"/>
      <c r="F136" s="64"/>
      <c r="G136" s="64"/>
      <c r="AH136" s="152"/>
      <c r="AI136" s="152"/>
      <c r="AJ136" s="152"/>
      <c r="AK136" s="152"/>
      <c r="BS136" s="120"/>
      <c r="BT136" s="120"/>
      <c r="BU136" s="120"/>
      <c r="BV136" s="120"/>
      <c r="BW136" s="120"/>
      <c r="BX136" s="120"/>
      <c r="BY136" s="120"/>
      <c r="BZ136" s="120"/>
      <c r="CA136" s="120"/>
      <c r="CB136" s="120"/>
      <c r="CC136" s="120"/>
      <c r="CD136" s="120"/>
      <c r="CE136" s="120"/>
    </row>
    <row r="137" ht="18.75" customHeight="1">
      <c r="C137" s="64"/>
      <c r="E137" s="64"/>
      <c r="F137" s="64"/>
      <c r="G137" s="64"/>
      <c r="AH137" s="152"/>
      <c r="AI137" s="152"/>
      <c r="AJ137" s="152"/>
      <c r="AK137" s="152"/>
      <c r="BS137" s="120"/>
      <c r="BT137" s="120"/>
      <c r="BU137" s="120"/>
      <c r="BV137" s="120"/>
      <c r="BW137" s="120"/>
      <c r="BX137" s="120"/>
      <c r="BY137" s="120"/>
      <c r="BZ137" s="120"/>
      <c r="CA137" s="120"/>
      <c r="CB137" s="120"/>
      <c r="CC137" s="120"/>
      <c r="CD137" s="120"/>
      <c r="CE137" s="120"/>
    </row>
    <row r="138" ht="18.75" customHeight="1">
      <c r="C138" s="64"/>
      <c r="E138" s="64"/>
      <c r="F138" s="64"/>
      <c r="G138" s="64"/>
      <c r="AH138" s="152"/>
      <c r="AI138" s="152"/>
      <c r="AJ138" s="152"/>
      <c r="AK138" s="152"/>
      <c r="BS138" s="120"/>
      <c r="BT138" s="120"/>
      <c r="BU138" s="120"/>
      <c r="BV138" s="120"/>
      <c r="BW138" s="120"/>
      <c r="BX138" s="120"/>
      <c r="BY138" s="120"/>
      <c r="BZ138" s="120"/>
      <c r="CA138" s="120"/>
      <c r="CB138" s="120"/>
      <c r="CC138" s="120"/>
      <c r="CD138" s="120"/>
      <c r="CE138" s="120"/>
    </row>
    <row r="139" ht="18.75" customHeight="1">
      <c r="C139" s="64"/>
      <c r="E139" s="64"/>
      <c r="F139" s="64"/>
      <c r="G139" s="64"/>
      <c r="AH139" s="152"/>
      <c r="AI139" s="152"/>
      <c r="AJ139" s="152"/>
      <c r="AK139" s="152"/>
      <c r="BS139" s="120"/>
      <c r="BT139" s="120"/>
      <c r="BU139" s="120"/>
      <c r="BV139" s="120"/>
      <c r="BW139" s="120"/>
      <c r="BX139" s="120"/>
      <c r="BY139" s="120"/>
      <c r="BZ139" s="120"/>
      <c r="CA139" s="120"/>
      <c r="CB139" s="120"/>
      <c r="CC139" s="120"/>
      <c r="CD139" s="120"/>
      <c r="CE139" s="120"/>
    </row>
    <row r="140" ht="18.75" customHeight="1">
      <c r="C140" s="64"/>
      <c r="E140" s="64"/>
      <c r="F140" s="64"/>
      <c r="G140" s="64"/>
      <c r="AH140" s="152"/>
      <c r="AI140" s="152"/>
      <c r="AJ140" s="152"/>
      <c r="AK140" s="152"/>
      <c r="BS140" s="120"/>
      <c r="BT140" s="120"/>
      <c r="BU140" s="120"/>
      <c r="BV140" s="120"/>
      <c r="BW140" s="120"/>
      <c r="BX140" s="120"/>
      <c r="BY140" s="120"/>
      <c r="BZ140" s="120"/>
      <c r="CA140" s="120"/>
      <c r="CB140" s="120"/>
      <c r="CC140" s="120"/>
      <c r="CD140" s="120"/>
      <c r="CE140" s="120"/>
    </row>
    <row r="141" ht="18.75" customHeight="1">
      <c r="C141" s="64"/>
      <c r="E141" s="64"/>
      <c r="F141" s="64"/>
      <c r="G141" s="64"/>
      <c r="AH141" s="152"/>
      <c r="AI141" s="152"/>
      <c r="AJ141" s="152"/>
      <c r="AK141" s="152"/>
      <c r="BS141" s="120"/>
      <c r="BT141" s="120"/>
      <c r="BU141" s="120"/>
      <c r="BV141" s="120"/>
      <c r="BW141" s="120"/>
      <c r="BX141" s="120"/>
      <c r="BY141" s="120"/>
      <c r="BZ141" s="120"/>
      <c r="CA141" s="120"/>
      <c r="CB141" s="120"/>
      <c r="CC141" s="120"/>
      <c r="CD141" s="120"/>
      <c r="CE141" s="120"/>
    </row>
    <row r="142" ht="18.75" customHeight="1">
      <c r="C142" s="64"/>
      <c r="E142" s="64"/>
      <c r="F142" s="64"/>
      <c r="G142" s="64"/>
      <c r="AH142" s="152"/>
      <c r="AI142" s="152"/>
      <c r="AJ142" s="152"/>
      <c r="AK142" s="152"/>
      <c r="BS142" s="120"/>
      <c r="BT142" s="120"/>
      <c r="BU142" s="120"/>
      <c r="BV142" s="120"/>
      <c r="BW142" s="120"/>
      <c r="BX142" s="120"/>
      <c r="BY142" s="120"/>
      <c r="BZ142" s="120"/>
      <c r="CA142" s="120"/>
      <c r="CB142" s="120"/>
      <c r="CC142" s="120"/>
      <c r="CD142" s="120"/>
      <c r="CE142" s="120"/>
    </row>
    <row r="143" ht="18.75" customHeight="1">
      <c r="C143" s="64"/>
      <c r="E143" s="64"/>
      <c r="F143" s="64"/>
      <c r="G143" s="64"/>
      <c r="AH143" s="152"/>
      <c r="AI143" s="152"/>
      <c r="AJ143" s="152"/>
      <c r="AK143" s="152"/>
      <c r="BS143" s="120"/>
      <c r="BT143" s="120"/>
      <c r="BU143" s="120"/>
      <c r="BV143" s="120"/>
      <c r="BW143" s="120"/>
      <c r="BX143" s="120"/>
      <c r="BY143" s="120"/>
      <c r="BZ143" s="120"/>
      <c r="CA143" s="120"/>
      <c r="CB143" s="120"/>
      <c r="CC143" s="120"/>
      <c r="CD143" s="120"/>
      <c r="CE143" s="120"/>
    </row>
    <row r="144" ht="18.75" customHeight="1">
      <c r="C144" s="64"/>
      <c r="E144" s="64"/>
      <c r="F144" s="64"/>
      <c r="G144" s="64"/>
      <c r="AH144" s="152"/>
      <c r="AI144" s="152"/>
      <c r="AJ144" s="152"/>
      <c r="AK144" s="152"/>
      <c r="BS144" s="120"/>
      <c r="BT144" s="120"/>
      <c r="BU144" s="120"/>
      <c r="BV144" s="120"/>
      <c r="BW144" s="120"/>
      <c r="BX144" s="120"/>
      <c r="BY144" s="120"/>
      <c r="BZ144" s="120"/>
      <c r="CA144" s="120"/>
      <c r="CB144" s="120"/>
      <c r="CC144" s="120"/>
      <c r="CD144" s="120"/>
      <c r="CE144" s="120"/>
    </row>
    <row r="145" ht="18.75" customHeight="1">
      <c r="C145" s="64"/>
      <c r="E145" s="64"/>
      <c r="F145" s="64"/>
      <c r="G145" s="64"/>
      <c r="AH145" s="152"/>
      <c r="AI145" s="152"/>
      <c r="AJ145" s="152"/>
      <c r="AK145" s="152"/>
      <c r="BS145" s="120"/>
      <c r="BT145" s="120"/>
      <c r="BU145" s="120"/>
      <c r="BV145" s="120"/>
      <c r="BW145" s="120"/>
      <c r="BX145" s="120"/>
      <c r="BY145" s="120"/>
      <c r="BZ145" s="120"/>
      <c r="CA145" s="120"/>
      <c r="CB145" s="120"/>
      <c r="CC145" s="120"/>
      <c r="CD145" s="120"/>
      <c r="CE145" s="120"/>
    </row>
    <row r="146" ht="18.75" customHeight="1">
      <c r="C146" s="64"/>
      <c r="E146" s="64"/>
      <c r="F146" s="64"/>
      <c r="G146" s="64"/>
      <c r="AH146" s="152"/>
      <c r="AI146" s="152"/>
      <c r="AJ146" s="152"/>
      <c r="AK146" s="152"/>
      <c r="BS146" s="120"/>
      <c r="BT146" s="120"/>
      <c r="BU146" s="120"/>
      <c r="BV146" s="120"/>
      <c r="BW146" s="120"/>
      <c r="BX146" s="120"/>
      <c r="BY146" s="120"/>
      <c r="BZ146" s="120"/>
      <c r="CA146" s="120"/>
      <c r="CB146" s="120"/>
      <c r="CC146" s="120"/>
      <c r="CD146" s="120"/>
      <c r="CE146" s="120"/>
    </row>
    <row r="147" ht="18.75" customHeight="1">
      <c r="C147" s="64"/>
      <c r="E147" s="64"/>
      <c r="F147" s="64"/>
      <c r="G147" s="64"/>
      <c r="AH147" s="152"/>
      <c r="AI147" s="152"/>
      <c r="AJ147" s="152"/>
      <c r="AK147" s="152"/>
      <c r="BS147" s="120"/>
      <c r="BT147" s="120"/>
      <c r="BU147" s="120"/>
      <c r="BV147" s="120"/>
      <c r="BW147" s="120"/>
      <c r="BX147" s="120"/>
      <c r="BY147" s="120"/>
      <c r="BZ147" s="120"/>
      <c r="CA147" s="120"/>
      <c r="CB147" s="120"/>
      <c r="CC147" s="120"/>
      <c r="CD147" s="120"/>
      <c r="CE147" s="120"/>
    </row>
    <row r="148" ht="18.75" customHeight="1">
      <c r="C148" s="64"/>
      <c r="E148" s="64"/>
      <c r="F148" s="64"/>
      <c r="G148" s="64"/>
      <c r="AH148" s="152"/>
      <c r="AI148" s="152"/>
      <c r="AJ148" s="152"/>
      <c r="AK148" s="152"/>
      <c r="BS148" s="120"/>
      <c r="BT148" s="120"/>
      <c r="BU148" s="120"/>
      <c r="BV148" s="120"/>
      <c r="BW148" s="120"/>
      <c r="BX148" s="120"/>
      <c r="BY148" s="120"/>
      <c r="BZ148" s="120"/>
      <c r="CA148" s="120"/>
      <c r="CB148" s="120"/>
      <c r="CC148" s="120"/>
      <c r="CD148" s="120"/>
      <c r="CE148" s="120"/>
    </row>
    <row r="149" ht="18.75" customHeight="1">
      <c r="C149" s="64"/>
      <c r="E149" s="64"/>
      <c r="F149" s="64"/>
      <c r="G149" s="64"/>
      <c r="AH149" s="152"/>
      <c r="AI149" s="152"/>
      <c r="AJ149" s="152"/>
      <c r="AK149" s="152"/>
      <c r="BS149" s="120"/>
      <c r="BT149" s="120"/>
      <c r="BU149" s="120"/>
      <c r="BV149" s="120"/>
      <c r="BW149" s="120"/>
      <c r="BX149" s="120"/>
      <c r="BY149" s="120"/>
      <c r="BZ149" s="120"/>
      <c r="CA149" s="120"/>
      <c r="CB149" s="120"/>
      <c r="CC149" s="120"/>
      <c r="CD149" s="120"/>
      <c r="CE149" s="120"/>
    </row>
    <row r="150" ht="18.75" customHeight="1">
      <c r="C150" s="64"/>
      <c r="E150" s="64"/>
      <c r="F150" s="64"/>
      <c r="G150" s="64"/>
      <c r="AH150" s="152"/>
      <c r="AI150" s="152"/>
      <c r="AJ150" s="152"/>
      <c r="AK150" s="152"/>
      <c r="BS150" s="120"/>
      <c r="BT150" s="120"/>
      <c r="BU150" s="120"/>
      <c r="BV150" s="120"/>
      <c r="BW150" s="120"/>
      <c r="BX150" s="120"/>
      <c r="BY150" s="120"/>
      <c r="BZ150" s="120"/>
      <c r="CA150" s="120"/>
      <c r="CB150" s="120"/>
      <c r="CC150" s="120"/>
      <c r="CD150" s="120"/>
      <c r="CE150" s="120"/>
    </row>
    <row r="151" ht="18.75" customHeight="1">
      <c r="C151" s="64"/>
      <c r="E151" s="64"/>
      <c r="F151" s="64"/>
      <c r="G151" s="64"/>
      <c r="AH151" s="152"/>
      <c r="AI151" s="152"/>
      <c r="AJ151" s="152"/>
      <c r="AK151" s="152"/>
      <c r="BS151" s="120"/>
      <c r="BT151" s="120"/>
      <c r="BU151" s="120"/>
      <c r="BV151" s="120"/>
      <c r="BW151" s="120"/>
      <c r="BX151" s="120"/>
      <c r="BY151" s="120"/>
      <c r="BZ151" s="120"/>
      <c r="CA151" s="120"/>
      <c r="CB151" s="120"/>
      <c r="CC151" s="120"/>
      <c r="CD151" s="120"/>
      <c r="CE151" s="120"/>
    </row>
    <row r="152" ht="18.75" customHeight="1">
      <c r="C152" s="64"/>
      <c r="E152" s="64"/>
      <c r="F152" s="64"/>
      <c r="G152" s="64"/>
      <c r="AH152" s="152"/>
      <c r="AI152" s="152"/>
      <c r="AJ152" s="152"/>
      <c r="AK152" s="152"/>
      <c r="BS152" s="120"/>
      <c r="BT152" s="120"/>
      <c r="BU152" s="120"/>
      <c r="BV152" s="120"/>
      <c r="BW152" s="120"/>
      <c r="BX152" s="120"/>
      <c r="BY152" s="120"/>
      <c r="BZ152" s="120"/>
      <c r="CA152" s="120"/>
      <c r="CB152" s="120"/>
      <c r="CC152" s="120"/>
      <c r="CD152" s="120"/>
      <c r="CE152" s="120"/>
    </row>
    <row r="153" ht="18.75" customHeight="1">
      <c r="C153" s="64"/>
      <c r="E153" s="64"/>
      <c r="F153" s="64"/>
      <c r="G153" s="64"/>
      <c r="AH153" s="152"/>
      <c r="AI153" s="152"/>
      <c r="AJ153" s="152"/>
      <c r="AK153" s="152"/>
      <c r="BS153" s="120"/>
      <c r="BT153" s="120"/>
      <c r="BU153" s="120"/>
      <c r="BV153" s="120"/>
      <c r="BW153" s="120"/>
      <c r="BX153" s="120"/>
      <c r="BY153" s="120"/>
      <c r="BZ153" s="120"/>
      <c r="CA153" s="120"/>
      <c r="CB153" s="120"/>
      <c r="CC153" s="120"/>
      <c r="CD153" s="120"/>
      <c r="CE153" s="120"/>
    </row>
    <row r="154" ht="18.75" customHeight="1">
      <c r="C154" s="64"/>
      <c r="E154" s="64"/>
      <c r="F154" s="64"/>
      <c r="G154" s="64"/>
      <c r="AH154" s="152"/>
      <c r="AI154" s="152"/>
      <c r="AJ154" s="152"/>
      <c r="AK154" s="152"/>
      <c r="BS154" s="120"/>
      <c r="BT154" s="120"/>
      <c r="BU154" s="120"/>
      <c r="BV154" s="120"/>
      <c r="BW154" s="120"/>
      <c r="BX154" s="120"/>
      <c r="BY154" s="120"/>
      <c r="BZ154" s="120"/>
      <c r="CA154" s="120"/>
      <c r="CB154" s="120"/>
      <c r="CC154" s="120"/>
      <c r="CD154" s="120"/>
      <c r="CE154" s="120"/>
    </row>
    <row r="155" ht="18.75" customHeight="1">
      <c r="C155" s="64"/>
      <c r="E155" s="64"/>
      <c r="F155" s="64"/>
      <c r="G155" s="64"/>
      <c r="AH155" s="152"/>
      <c r="AI155" s="152"/>
      <c r="AJ155" s="152"/>
      <c r="AK155" s="152"/>
      <c r="BS155" s="120"/>
      <c r="BT155" s="120"/>
      <c r="BU155" s="120"/>
      <c r="BV155" s="120"/>
      <c r="BW155" s="120"/>
      <c r="BX155" s="120"/>
      <c r="BY155" s="120"/>
      <c r="BZ155" s="120"/>
      <c r="CA155" s="120"/>
      <c r="CB155" s="120"/>
      <c r="CC155" s="120"/>
      <c r="CD155" s="120"/>
      <c r="CE155" s="120"/>
    </row>
    <row r="156" ht="18.75" customHeight="1">
      <c r="C156" s="64"/>
      <c r="E156" s="64"/>
      <c r="F156" s="64"/>
      <c r="G156" s="64"/>
      <c r="AH156" s="152"/>
      <c r="AI156" s="152"/>
      <c r="AJ156" s="152"/>
      <c r="AK156" s="152"/>
      <c r="BS156" s="120"/>
      <c r="BT156" s="120"/>
      <c r="BU156" s="120"/>
      <c r="BV156" s="120"/>
      <c r="BW156" s="120"/>
      <c r="BX156" s="120"/>
      <c r="BY156" s="120"/>
      <c r="BZ156" s="120"/>
      <c r="CA156" s="120"/>
      <c r="CB156" s="120"/>
      <c r="CC156" s="120"/>
      <c r="CD156" s="120"/>
      <c r="CE156" s="120"/>
    </row>
    <row r="157" ht="18.75" customHeight="1">
      <c r="C157" s="64"/>
      <c r="E157" s="64"/>
      <c r="F157" s="64"/>
      <c r="G157" s="64"/>
      <c r="AH157" s="152"/>
      <c r="AI157" s="152"/>
      <c r="AJ157" s="152"/>
      <c r="AK157" s="152"/>
      <c r="BS157" s="120"/>
      <c r="BT157" s="120"/>
      <c r="BU157" s="120"/>
      <c r="BV157" s="120"/>
      <c r="BW157" s="120"/>
      <c r="BX157" s="120"/>
      <c r="BY157" s="120"/>
      <c r="BZ157" s="120"/>
      <c r="CA157" s="120"/>
      <c r="CB157" s="120"/>
      <c r="CC157" s="120"/>
      <c r="CD157" s="120"/>
      <c r="CE157" s="120"/>
    </row>
    <row r="158" ht="18.75" customHeight="1">
      <c r="C158" s="64"/>
      <c r="E158" s="64"/>
      <c r="F158" s="64"/>
      <c r="G158" s="64"/>
      <c r="AH158" s="152"/>
      <c r="AI158" s="152"/>
      <c r="AJ158" s="152"/>
      <c r="AK158" s="152"/>
      <c r="BS158" s="120"/>
      <c r="BT158" s="120"/>
      <c r="BU158" s="120"/>
      <c r="BV158" s="120"/>
      <c r="BW158" s="120"/>
      <c r="BX158" s="120"/>
      <c r="BY158" s="120"/>
      <c r="BZ158" s="120"/>
      <c r="CA158" s="120"/>
      <c r="CB158" s="120"/>
      <c r="CC158" s="120"/>
      <c r="CD158" s="120"/>
      <c r="CE158" s="120"/>
    </row>
    <row r="159" ht="18.75" customHeight="1">
      <c r="C159" s="64"/>
      <c r="E159" s="64"/>
      <c r="F159" s="64"/>
      <c r="G159" s="64"/>
      <c r="AH159" s="152"/>
      <c r="AI159" s="152"/>
      <c r="AJ159" s="152"/>
      <c r="AK159" s="152"/>
      <c r="BS159" s="120"/>
      <c r="BT159" s="120"/>
      <c r="BU159" s="120"/>
      <c r="BV159" s="120"/>
      <c r="BW159" s="120"/>
      <c r="BX159" s="120"/>
      <c r="BY159" s="120"/>
      <c r="BZ159" s="120"/>
      <c r="CA159" s="120"/>
      <c r="CB159" s="120"/>
      <c r="CC159" s="120"/>
      <c r="CD159" s="120"/>
      <c r="CE159" s="120"/>
    </row>
    <row r="160" ht="18.75" customHeight="1">
      <c r="C160" s="64"/>
      <c r="E160" s="64"/>
      <c r="F160" s="64"/>
      <c r="G160" s="64"/>
      <c r="AH160" s="152"/>
      <c r="AI160" s="152"/>
      <c r="AJ160" s="152"/>
      <c r="AK160" s="152"/>
      <c r="BS160" s="120"/>
      <c r="BT160" s="120"/>
      <c r="BU160" s="120"/>
      <c r="BV160" s="120"/>
      <c r="BW160" s="120"/>
      <c r="BX160" s="120"/>
      <c r="BY160" s="120"/>
      <c r="BZ160" s="120"/>
      <c r="CA160" s="120"/>
      <c r="CB160" s="120"/>
      <c r="CC160" s="120"/>
      <c r="CD160" s="120"/>
      <c r="CE160" s="120"/>
    </row>
    <row r="161" ht="18.75" customHeight="1">
      <c r="C161" s="64"/>
      <c r="E161" s="64"/>
      <c r="F161" s="64"/>
      <c r="G161" s="64"/>
      <c r="AH161" s="152"/>
      <c r="AI161" s="152"/>
      <c r="AJ161" s="152"/>
      <c r="AK161" s="152"/>
      <c r="BS161" s="120"/>
      <c r="BT161" s="120"/>
      <c r="BU161" s="120"/>
      <c r="BV161" s="120"/>
      <c r="BW161" s="120"/>
      <c r="BX161" s="120"/>
      <c r="BY161" s="120"/>
      <c r="BZ161" s="120"/>
      <c r="CA161" s="120"/>
      <c r="CB161" s="120"/>
      <c r="CC161" s="120"/>
      <c r="CD161" s="120"/>
      <c r="CE161" s="120"/>
    </row>
    <row r="162" ht="18.75" customHeight="1">
      <c r="C162" s="64"/>
      <c r="E162" s="64"/>
      <c r="F162" s="64"/>
      <c r="G162" s="64"/>
      <c r="AH162" s="152"/>
      <c r="AI162" s="152"/>
      <c r="AJ162" s="152"/>
      <c r="AK162" s="152"/>
      <c r="BS162" s="120"/>
      <c r="BT162" s="120"/>
      <c r="BU162" s="120"/>
      <c r="BV162" s="120"/>
      <c r="BW162" s="120"/>
      <c r="BX162" s="120"/>
      <c r="BY162" s="120"/>
      <c r="BZ162" s="120"/>
      <c r="CA162" s="120"/>
      <c r="CB162" s="120"/>
      <c r="CC162" s="120"/>
      <c r="CD162" s="120"/>
      <c r="CE162" s="120"/>
    </row>
    <row r="163" ht="18.75" customHeight="1">
      <c r="C163" s="64"/>
      <c r="E163" s="64"/>
      <c r="F163" s="64"/>
      <c r="G163" s="64"/>
      <c r="AH163" s="152"/>
      <c r="AI163" s="152"/>
      <c r="AJ163" s="152"/>
      <c r="AK163" s="152"/>
      <c r="BS163" s="120"/>
      <c r="BT163" s="120"/>
      <c r="BU163" s="120"/>
      <c r="BV163" s="120"/>
      <c r="BW163" s="120"/>
      <c r="BX163" s="120"/>
      <c r="BY163" s="120"/>
      <c r="BZ163" s="120"/>
      <c r="CA163" s="120"/>
      <c r="CB163" s="120"/>
      <c r="CC163" s="120"/>
      <c r="CD163" s="120"/>
      <c r="CE163" s="120"/>
    </row>
    <row r="164" ht="18.75" customHeight="1">
      <c r="C164" s="64"/>
      <c r="E164" s="64"/>
      <c r="F164" s="64"/>
      <c r="G164" s="64"/>
      <c r="AH164" s="152"/>
      <c r="AI164" s="152"/>
      <c r="AJ164" s="152"/>
      <c r="AK164" s="152"/>
      <c r="BS164" s="120"/>
      <c r="BT164" s="120"/>
      <c r="BU164" s="120"/>
      <c r="BV164" s="120"/>
      <c r="BW164" s="120"/>
      <c r="BX164" s="120"/>
      <c r="BY164" s="120"/>
      <c r="BZ164" s="120"/>
      <c r="CA164" s="120"/>
      <c r="CB164" s="120"/>
      <c r="CC164" s="120"/>
      <c r="CD164" s="120"/>
      <c r="CE164" s="120"/>
    </row>
    <row r="165" ht="18.75" customHeight="1">
      <c r="C165" s="64"/>
      <c r="E165" s="64"/>
      <c r="F165" s="64"/>
      <c r="G165" s="64"/>
      <c r="AH165" s="152"/>
      <c r="AI165" s="152"/>
      <c r="AJ165" s="152"/>
      <c r="AK165" s="152"/>
      <c r="BS165" s="120"/>
      <c r="BT165" s="120"/>
      <c r="BU165" s="120"/>
      <c r="BV165" s="120"/>
      <c r="BW165" s="120"/>
      <c r="BX165" s="120"/>
      <c r="BY165" s="120"/>
      <c r="BZ165" s="120"/>
      <c r="CA165" s="120"/>
      <c r="CB165" s="120"/>
      <c r="CC165" s="120"/>
      <c r="CD165" s="120"/>
      <c r="CE165" s="120"/>
    </row>
    <row r="166" ht="18.75" customHeight="1">
      <c r="C166" s="64"/>
      <c r="E166" s="64"/>
      <c r="F166" s="64"/>
      <c r="G166" s="64"/>
      <c r="AH166" s="152"/>
      <c r="AI166" s="152"/>
      <c r="AJ166" s="152"/>
      <c r="AK166" s="152"/>
      <c r="BS166" s="120"/>
      <c r="BT166" s="120"/>
      <c r="BU166" s="120"/>
      <c r="BV166" s="120"/>
      <c r="BW166" s="120"/>
      <c r="BX166" s="120"/>
      <c r="BY166" s="120"/>
      <c r="BZ166" s="120"/>
      <c r="CA166" s="120"/>
      <c r="CB166" s="120"/>
      <c r="CC166" s="120"/>
      <c r="CD166" s="120"/>
      <c r="CE166" s="120"/>
    </row>
    <row r="167" ht="18.75" customHeight="1">
      <c r="C167" s="64"/>
      <c r="E167" s="64"/>
      <c r="F167" s="64"/>
      <c r="G167" s="64"/>
      <c r="AH167" s="152"/>
      <c r="AI167" s="152"/>
      <c r="AJ167" s="152"/>
      <c r="AK167" s="152"/>
      <c r="BS167" s="120"/>
      <c r="BT167" s="120"/>
      <c r="BU167" s="120"/>
      <c r="BV167" s="120"/>
      <c r="BW167" s="120"/>
      <c r="BX167" s="120"/>
      <c r="BY167" s="120"/>
      <c r="BZ167" s="120"/>
      <c r="CA167" s="120"/>
      <c r="CB167" s="120"/>
      <c r="CC167" s="120"/>
      <c r="CD167" s="120"/>
      <c r="CE167" s="120"/>
    </row>
    <row r="168" ht="18.75" customHeight="1">
      <c r="C168" s="64"/>
      <c r="E168" s="64"/>
      <c r="F168" s="64"/>
      <c r="G168" s="64"/>
      <c r="AH168" s="152"/>
      <c r="AI168" s="152"/>
      <c r="AJ168" s="152"/>
      <c r="AK168" s="152"/>
      <c r="BS168" s="120"/>
      <c r="BT168" s="120"/>
      <c r="BU168" s="120"/>
      <c r="BV168" s="120"/>
      <c r="BW168" s="120"/>
      <c r="BX168" s="120"/>
      <c r="BY168" s="120"/>
      <c r="BZ168" s="120"/>
      <c r="CA168" s="120"/>
      <c r="CB168" s="120"/>
      <c r="CC168" s="120"/>
      <c r="CD168" s="120"/>
      <c r="CE168" s="120"/>
    </row>
    <row r="169" ht="18.75" customHeight="1">
      <c r="C169" s="64"/>
      <c r="E169" s="64"/>
      <c r="F169" s="64"/>
      <c r="G169" s="64"/>
      <c r="AH169" s="152"/>
      <c r="AI169" s="152"/>
      <c r="AJ169" s="152"/>
      <c r="AK169" s="152"/>
      <c r="BS169" s="120"/>
      <c r="BT169" s="120"/>
      <c r="BU169" s="120"/>
      <c r="BV169" s="120"/>
      <c r="BW169" s="120"/>
      <c r="BX169" s="120"/>
      <c r="BY169" s="120"/>
      <c r="BZ169" s="120"/>
      <c r="CA169" s="120"/>
      <c r="CB169" s="120"/>
      <c r="CC169" s="120"/>
      <c r="CD169" s="120"/>
      <c r="CE169" s="120"/>
    </row>
    <row r="170" ht="18.75" customHeight="1">
      <c r="C170" s="64"/>
      <c r="E170" s="64"/>
      <c r="F170" s="64"/>
      <c r="G170" s="64"/>
      <c r="AH170" s="152"/>
      <c r="AI170" s="152"/>
      <c r="AJ170" s="152"/>
      <c r="AK170" s="152"/>
      <c r="BS170" s="120"/>
      <c r="BT170" s="120"/>
      <c r="BU170" s="120"/>
      <c r="BV170" s="120"/>
      <c r="BW170" s="120"/>
      <c r="BX170" s="120"/>
      <c r="BY170" s="120"/>
      <c r="BZ170" s="120"/>
      <c r="CA170" s="120"/>
      <c r="CB170" s="120"/>
      <c r="CC170" s="120"/>
      <c r="CD170" s="120"/>
      <c r="CE170" s="120"/>
    </row>
    <row r="171" ht="18.75" customHeight="1">
      <c r="C171" s="64"/>
      <c r="E171" s="64"/>
      <c r="F171" s="64"/>
      <c r="G171" s="64"/>
      <c r="AH171" s="152"/>
      <c r="AI171" s="152"/>
      <c r="AJ171" s="152"/>
      <c r="AK171" s="152"/>
      <c r="BS171" s="120"/>
      <c r="BT171" s="120"/>
      <c r="BU171" s="120"/>
      <c r="BV171" s="120"/>
      <c r="BW171" s="120"/>
      <c r="BX171" s="120"/>
      <c r="BY171" s="120"/>
      <c r="BZ171" s="120"/>
      <c r="CA171" s="120"/>
      <c r="CB171" s="120"/>
      <c r="CC171" s="120"/>
      <c r="CD171" s="120"/>
      <c r="CE171" s="120"/>
    </row>
    <row r="172" ht="18.75" customHeight="1">
      <c r="C172" s="64"/>
      <c r="E172" s="64"/>
      <c r="F172" s="64"/>
      <c r="G172" s="64"/>
      <c r="AH172" s="152"/>
      <c r="AI172" s="152"/>
      <c r="AJ172" s="152"/>
      <c r="AK172" s="152"/>
      <c r="BS172" s="120"/>
      <c r="BT172" s="120"/>
      <c r="BU172" s="120"/>
      <c r="BV172" s="120"/>
      <c r="BW172" s="120"/>
      <c r="BX172" s="120"/>
      <c r="BY172" s="120"/>
      <c r="BZ172" s="120"/>
      <c r="CA172" s="120"/>
      <c r="CB172" s="120"/>
      <c r="CC172" s="120"/>
      <c r="CD172" s="120"/>
      <c r="CE172" s="120"/>
    </row>
    <row r="173" ht="18.75" customHeight="1">
      <c r="C173" s="64"/>
      <c r="E173" s="64"/>
      <c r="F173" s="64"/>
      <c r="G173" s="64"/>
      <c r="AH173" s="152"/>
      <c r="AI173" s="152"/>
      <c r="AJ173" s="152"/>
      <c r="AK173" s="152"/>
      <c r="BS173" s="120"/>
      <c r="BT173" s="120"/>
      <c r="BU173" s="120"/>
      <c r="BV173" s="120"/>
      <c r="BW173" s="120"/>
      <c r="BX173" s="120"/>
      <c r="BY173" s="120"/>
      <c r="BZ173" s="120"/>
      <c r="CA173" s="120"/>
      <c r="CB173" s="120"/>
      <c r="CC173" s="120"/>
      <c r="CD173" s="120"/>
      <c r="CE173" s="120"/>
    </row>
    <row r="174" ht="18.75" customHeight="1">
      <c r="C174" s="64"/>
      <c r="E174" s="64"/>
      <c r="F174" s="64"/>
      <c r="G174" s="64"/>
      <c r="AH174" s="152"/>
      <c r="AI174" s="152"/>
      <c r="AJ174" s="152"/>
      <c r="AK174" s="152"/>
      <c r="BS174" s="120"/>
      <c r="BT174" s="120"/>
      <c r="BU174" s="120"/>
      <c r="BV174" s="120"/>
      <c r="BW174" s="120"/>
      <c r="BX174" s="120"/>
      <c r="BY174" s="120"/>
      <c r="BZ174" s="120"/>
      <c r="CA174" s="120"/>
      <c r="CB174" s="120"/>
      <c r="CC174" s="120"/>
      <c r="CD174" s="120"/>
      <c r="CE174" s="120"/>
    </row>
    <row r="175" ht="18.75" customHeight="1">
      <c r="C175" s="64"/>
      <c r="E175" s="64"/>
      <c r="F175" s="64"/>
      <c r="G175" s="64"/>
      <c r="AH175" s="152"/>
      <c r="AI175" s="152"/>
      <c r="AJ175" s="152"/>
      <c r="AK175" s="152"/>
      <c r="BS175" s="120"/>
      <c r="BT175" s="120"/>
      <c r="BU175" s="120"/>
      <c r="BV175" s="120"/>
      <c r="BW175" s="120"/>
      <c r="BX175" s="120"/>
      <c r="BY175" s="120"/>
      <c r="BZ175" s="120"/>
      <c r="CA175" s="120"/>
      <c r="CB175" s="120"/>
      <c r="CC175" s="120"/>
      <c r="CD175" s="120"/>
      <c r="CE175" s="120"/>
    </row>
    <row r="176" ht="18.75" customHeight="1">
      <c r="C176" s="64"/>
      <c r="E176" s="64"/>
      <c r="F176" s="64"/>
      <c r="G176" s="64"/>
      <c r="AH176" s="152"/>
      <c r="AI176" s="152"/>
      <c r="AJ176" s="152"/>
      <c r="AK176" s="152"/>
      <c r="BS176" s="120"/>
      <c r="BT176" s="120"/>
      <c r="BU176" s="120"/>
      <c r="BV176" s="120"/>
      <c r="BW176" s="120"/>
      <c r="BX176" s="120"/>
      <c r="BY176" s="120"/>
      <c r="BZ176" s="120"/>
      <c r="CA176" s="120"/>
      <c r="CB176" s="120"/>
      <c r="CC176" s="120"/>
      <c r="CD176" s="120"/>
      <c r="CE176" s="120"/>
    </row>
    <row r="177" ht="18.75" customHeight="1">
      <c r="C177" s="64"/>
      <c r="E177" s="64"/>
      <c r="F177" s="64"/>
      <c r="G177" s="64"/>
      <c r="AH177" s="152"/>
      <c r="AI177" s="152"/>
      <c r="AJ177" s="152"/>
      <c r="AK177" s="152"/>
      <c r="BS177" s="120"/>
      <c r="BT177" s="120"/>
      <c r="BU177" s="120"/>
      <c r="BV177" s="120"/>
      <c r="BW177" s="120"/>
      <c r="BX177" s="120"/>
      <c r="BY177" s="120"/>
      <c r="BZ177" s="120"/>
      <c r="CA177" s="120"/>
      <c r="CB177" s="120"/>
      <c r="CC177" s="120"/>
      <c r="CD177" s="120"/>
      <c r="CE177" s="120"/>
    </row>
    <row r="178" ht="18.75" customHeight="1">
      <c r="C178" s="64"/>
      <c r="E178" s="64"/>
      <c r="F178" s="64"/>
      <c r="G178" s="64"/>
      <c r="AH178" s="152"/>
      <c r="AI178" s="152"/>
      <c r="AJ178" s="152"/>
      <c r="AK178" s="152"/>
      <c r="BS178" s="120"/>
      <c r="BT178" s="120"/>
      <c r="BU178" s="120"/>
      <c r="BV178" s="120"/>
      <c r="BW178" s="120"/>
      <c r="BX178" s="120"/>
      <c r="BY178" s="120"/>
      <c r="BZ178" s="120"/>
      <c r="CA178" s="120"/>
      <c r="CB178" s="120"/>
      <c r="CC178" s="120"/>
      <c r="CD178" s="120"/>
      <c r="CE178" s="120"/>
    </row>
    <row r="179" ht="18.75" customHeight="1">
      <c r="C179" s="64"/>
      <c r="E179" s="64"/>
      <c r="F179" s="64"/>
      <c r="G179" s="64"/>
      <c r="AH179" s="152"/>
      <c r="AI179" s="152"/>
      <c r="AJ179" s="152"/>
      <c r="AK179" s="152"/>
      <c r="BS179" s="120"/>
      <c r="BT179" s="120"/>
      <c r="BU179" s="120"/>
      <c r="BV179" s="120"/>
      <c r="BW179" s="120"/>
      <c r="BX179" s="120"/>
      <c r="BY179" s="120"/>
      <c r="BZ179" s="120"/>
      <c r="CA179" s="120"/>
      <c r="CB179" s="120"/>
      <c r="CC179" s="120"/>
      <c r="CD179" s="120"/>
      <c r="CE179" s="120"/>
    </row>
    <row r="180" ht="18.75" customHeight="1">
      <c r="C180" s="64"/>
      <c r="E180" s="64"/>
      <c r="F180" s="64"/>
      <c r="G180" s="64"/>
      <c r="AH180" s="152"/>
      <c r="AI180" s="152"/>
      <c r="AJ180" s="152"/>
      <c r="AK180" s="152"/>
      <c r="BS180" s="120"/>
      <c r="BT180" s="120"/>
      <c r="BU180" s="120"/>
      <c r="BV180" s="120"/>
      <c r="BW180" s="120"/>
      <c r="BX180" s="120"/>
      <c r="BY180" s="120"/>
      <c r="BZ180" s="120"/>
      <c r="CA180" s="120"/>
      <c r="CB180" s="120"/>
      <c r="CC180" s="120"/>
      <c r="CD180" s="120"/>
      <c r="CE180" s="120"/>
    </row>
    <row r="181" ht="18.75" customHeight="1">
      <c r="C181" s="64"/>
      <c r="E181" s="64"/>
      <c r="F181" s="64"/>
      <c r="G181" s="64"/>
      <c r="AH181" s="152"/>
      <c r="AI181" s="152"/>
      <c r="AJ181" s="152"/>
      <c r="AK181" s="152"/>
      <c r="BS181" s="120"/>
      <c r="BT181" s="120"/>
      <c r="BU181" s="120"/>
      <c r="BV181" s="120"/>
      <c r="BW181" s="120"/>
      <c r="BX181" s="120"/>
      <c r="BY181" s="120"/>
      <c r="BZ181" s="120"/>
      <c r="CA181" s="120"/>
      <c r="CB181" s="120"/>
      <c r="CC181" s="120"/>
      <c r="CD181" s="120"/>
      <c r="CE181" s="120"/>
    </row>
    <row r="182" ht="18.75" customHeight="1">
      <c r="C182" s="64"/>
      <c r="E182" s="64"/>
      <c r="F182" s="64"/>
      <c r="G182" s="64"/>
      <c r="AH182" s="152"/>
      <c r="AI182" s="152"/>
      <c r="AJ182" s="152"/>
      <c r="AK182" s="152"/>
      <c r="BS182" s="120"/>
      <c r="BT182" s="120"/>
      <c r="BU182" s="120"/>
      <c r="BV182" s="120"/>
      <c r="BW182" s="120"/>
      <c r="BX182" s="120"/>
      <c r="BY182" s="120"/>
      <c r="BZ182" s="120"/>
      <c r="CA182" s="120"/>
      <c r="CB182" s="120"/>
      <c r="CC182" s="120"/>
      <c r="CD182" s="120"/>
      <c r="CE182" s="120"/>
    </row>
    <row r="183" ht="18.75" customHeight="1">
      <c r="C183" s="64"/>
      <c r="E183" s="64"/>
      <c r="F183" s="64"/>
      <c r="G183" s="64"/>
      <c r="AH183" s="152"/>
      <c r="AI183" s="152"/>
      <c r="AJ183" s="152"/>
      <c r="AK183" s="152"/>
      <c r="BS183" s="120"/>
      <c r="BT183" s="120"/>
      <c r="BU183" s="120"/>
      <c r="BV183" s="120"/>
      <c r="BW183" s="120"/>
      <c r="BX183" s="120"/>
      <c r="BY183" s="120"/>
      <c r="BZ183" s="120"/>
      <c r="CA183" s="120"/>
      <c r="CB183" s="120"/>
      <c r="CC183" s="120"/>
      <c r="CD183" s="120"/>
      <c r="CE183" s="120"/>
    </row>
    <row r="184" ht="18.75" customHeight="1">
      <c r="C184" s="64"/>
      <c r="E184" s="64"/>
      <c r="F184" s="64"/>
      <c r="G184" s="64"/>
      <c r="AH184" s="152"/>
      <c r="AI184" s="152"/>
      <c r="AJ184" s="152"/>
      <c r="AK184" s="152"/>
      <c r="BS184" s="120"/>
      <c r="BT184" s="120"/>
      <c r="BU184" s="120"/>
      <c r="BV184" s="120"/>
      <c r="BW184" s="120"/>
      <c r="BX184" s="120"/>
      <c r="BY184" s="120"/>
      <c r="BZ184" s="120"/>
      <c r="CA184" s="120"/>
      <c r="CB184" s="120"/>
      <c r="CC184" s="120"/>
      <c r="CD184" s="120"/>
      <c r="CE184" s="120"/>
    </row>
    <row r="185" ht="18.75" customHeight="1">
      <c r="C185" s="64"/>
      <c r="E185" s="64"/>
      <c r="F185" s="64"/>
      <c r="G185" s="64"/>
      <c r="AH185" s="152"/>
      <c r="AI185" s="152"/>
      <c r="AJ185" s="152"/>
      <c r="AK185" s="152"/>
      <c r="BS185" s="120"/>
      <c r="BT185" s="120"/>
      <c r="BU185" s="120"/>
      <c r="BV185" s="120"/>
      <c r="BW185" s="120"/>
      <c r="BX185" s="120"/>
      <c r="BY185" s="120"/>
      <c r="BZ185" s="120"/>
      <c r="CA185" s="120"/>
      <c r="CB185" s="120"/>
      <c r="CC185" s="120"/>
      <c r="CD185" s="120"/>
      <c r="CE185" s="120"/>
    </row>
    <row r="186" ht="18.75" customHeight="1">
      <c r="C186" s="64"/>
      <c r="E186" s="64"/>
      <c r="F186" s="64"/>
      <c r="G186" s="64"/>
      <c r="AH186" s="152"/>
      <c r="AI186" s="152"/>
      <c r="AJ186" s="152"/>
      <c r="AK186" s="152"/>
      <c r="BS186" s="120"/>
      <c r="BT186" s="120"/>
      <c r="BU186" s="120"/>
      <c r="BV186" s="120"/>
      <c r="BW186" s="120"/>
      <c r="BX186" s="120"/>
      <c r="BY186" s="120"/>
      <c r="BZ186" s="120"/>
      <c r="CA186" s="120"/>
      <c r="CB186" s="120"/>
      <c r="CC186" s="120"/>
      <c r="CD186" s="120"/>
      <c r="CE186" s="120"/>
    </row>
    <row r="187" ht="18.75" customHeight="1">
      <c r="C187" s="64"/>
      <c r="E187" s="64"/>
      <c r="F187" s="64"/>
      <c r="G187" s="64"/>
      <c r="AH187" s="152"/>
      <c r="AI187" s="152"/>
      <c r="AJ187" s="152"/>
      <c r="AK187" s="152"/>
      <c r="BS187" s="120"/>
      <c r="BT187" s="120"/>
      <c r="BU187" s="120"/>
      <c r="BV187" s="120"/>
      <c r="BW187" s="120"/>
      <c r="BX187" s="120"/>
      <c r="BY187" s="120"/>
      <c r="BZ187" s="120"/>
      <c r="CA187" s="120"/>
      <c r="CB187" s="120"/>
      <c r="CC187" s="120"/>
      <c r="CD187" s="120"/>
      <c r="CE187" s="120"/>
    </row>
    <row r="188" ht="18.75" customHeight="1">
      <c r="C188" s="64"/>
      <c r="E188" s="64"/>
      <c r="F188" s="64"/>
      <c r="G188" s="64"/>
      <c r="AH188" s="152"/>
      <c r="AI188" s="152"/>
      <c r="AJ188" s="152"/>
      <c r="AK188" s="152"/>
      <c r="BS188" s="120"/>
      <c r="BT188" s="120"/>
      <c r="BU188" s="120"/>
      <c r="BV188" s="120"/>
      <c r="BW188" s="120"/>
      <c r="BX188" s="120"/>
      <c r="BY188" s="120"/>
      <c r="BZ188" s="120"/>
      <c r="CA188" s="120"/>
      <c r="CB188" s="120"/>
      <c r="CC188" s="120"/>
      <c r="CD188" s="120"/>
      <c r="CE188" s="120"/>
    </row>
    <row r="189" ht="18.75" customHeight="1">
      <c r="C189" s="64"/>
      <c r="E189" s="64"/>
      <c r="F189" s="64"/>
      <c r="G189" s="64"/>
      <c r="AH189" s="152"/>
      <c r="AI189" s="152"/>
      <c r="AJ189" s="152"/>
      <c r="AK189" s="152"/>
      <c r="BS189" s="120"/>
      <c r="BT189" s="120"/>
      <c r="BU189" s="120"/>
      <c r="BV189" s="120"/>
      <c r="BW189" s="120"/>
      <c r="BX189" s="120"/>
      <c r="BY189" s="120"/>
      <c r="BZ189" s="120"/>
      <c r="CA189" s="120"/>
      <c r="CB189" s="120"/>
      <c r="CC189" s="120"/>
      <c r="CD189" s="120"/>
      <c r="CE189" s="120"/>
    </row>
    <row r="190" ht="18.75" customHeight="1">
      <c r="C190" s="64"/>
      <c r="E190" s="64"/>
      <c r="F190" s="64"/>
      <c r="G190" s="64"/>
      <c r="AH190" s="152"/>
      <c r="AI190" s="152"/>
      <c r="AJ190" s="152"/>
      <c r="AK190" s="152"/>
      <c r="BS190" s="120"/>
      <c r="BT190" s="120"/>
      <c r="BU190" s="120"/>
      <c r="BV190" s="120"/>
      <c r="BW190" s="120"/>
      <c r="BX190" s="120"/>
      <c r="BY190" s="120"/>
      <c r="BZ190" s="120"/>
      <c r="CA190" s="120"/>
      <c r="CB190" s="120"/>
      <c r="CC190" s="120"/>
      <c r="CD190" s="120"/>
      <c r="CE190" s="120"/>
    </row>
    <row r="191" ht="18.75" customHeight="1">
      <c r="C191" s="64"/>
      <c r="E191" s="64"/>
      <c r="F191" s="64"/>
      <c r="G191" s="64"/>
      <c r="AH191" s="152"/>
      <c r="AI191" s="152"/>
      <c r="AJ191" s="152"/>
      <c r="AK191" s="152"/>
      <c r="BS191" s="120"/>
      <c r="BT191" s="120"/>
      <c r="BU191" s="120"/>
      <c r="BV191" s="120"/>
      <c r="BW191" s="120"/>
      <c r="BX191" s="120"/>
      <c r="BY191" s="120"/>
      <c r="BZ191" s="120"/>
      <c r="CA191" s="120"/>
      <c r="CB191" s="120"/>
      <c r="CC191" s="120"/>
      <c r="CD191" s="120"/>
      <c r="CE191" s="120"/>
    </row>
    <row r="192" ht="18.75" customHeight="1">
      <c r="C192" s="64"/>
      <c r="E192" s="64"/>
      <c r="F192" s="64"/>
      <c r="G192" s="64"/>
      <c r="AH192" s="152"/>
      <c r="AI192" s="152"/>
      <c r="AJ192" s="152"/>
      <c r="AK192" s="152"/>
      <c r="BS192" s="120"/>
      <c r="BT192" s="120"/>
      <c r="BU192" s="120"/>
      <c r="BV192" s="120"/>
      <c r="BW192" s="120"/>
      <c r="BX192" s="120"/>
      <c r="BY192" s="120"/>
      <c r="BZ192" s="120"/>
      <c r="CA192" s="120"/>
      <c r="CB192" s="120"/>
      <c r="CC192" s="120"/>
      <c r="CD192" s="120"/>
      <c r="CE192" s="120"/>
    </row>
    <row r="193" ht="18.75" customHeight="1">
      <c r="C193" s="64"/>
      <c r="E193" s="64"/>
      <c r="F193" s="64"/>
      <c r="G193" s="64"/>
      <c r="AH193" s="152"/>
      <c r="AI193" s="152"/>
      <c r="AJ193" s="152"/>
      <c r="AK193" s="152"/>
      <c r="BS193" s="120"/>
      <c r="BT193" s="120"/>
      <c r="BU193" s="120"/>
      <c r="BV193" s="120"/>
      <c r="BW193" s="120"/>
      <c r="BX193" s="120"/>
      <c r="BY193" s="120"/>
      <c r="BZ193" s="120"/>
      <c r="CA193" s="120"/>
      <c r="CB193" s="120"/>
      <c r="CC193" s="120"/>
      <c r="CD193" s="120"/>
      <c r="CE193" s="120"/>
    </row>
    <row r="194" ht="18.75" customHeight="1">
      <c r="C194" s="64"/>
      <c r="E194" s="64"/>
      <c r="F194" s="64"/>
      <c r="G194" s="64"/>
      <c r="AH194" s="152"/>
      <c r="AI194" s="152"/>
      <c r="AJ194" s="152"/>
      <c r="AK194" s="152"/>
      <c r="BS194" s="120"/>
      <c r="BT194" s="120"/>
      <c r="BU194" s="120"/>
      <c r="BV194" s="120"/>
      <c r="BW194" s="120"/>
      <c r="BX194" s="120"/>
      <c r="BY194" s="120"/>
      <c r="BZ194" s="120"/>
      <c r="CA194" s="120"/>
      <c r="CB194" s="120"/>
      <c r="CC194" s="120"/>
      <c r="CD194" s="120"/>
      <c r="CE194" s="120"/>
    </row>
    <row r="195" ht="18.75" customHeight="1">
      <c r="C195" s="64"/>
      <c r="E195" s="64"/>
      <c r="F195" s="64"/>
      <c r="G195" s="64"/>
      <c r="AH195" s="152"/>
      <c r="AI195" s="152"/>
      <c r="AJ195" s="152"/>
      <c r="AK195" s="152"/>
      <c r="BS195" s="120"/>
      <c r="BT195" s="120"/>
      <c r="BU195" s="120"/>
      <c r="BV195" s="120"/>
      <c r="BW195" s="120"/>
      <c r="BX195" s="120"/>
      <c r="BY195" s="120"/>
      <c r="BZ195" s="120"/>
      <c r="CA195" s="120"/>
      <c r="CB195" s="120"/>
      <c r="CC195" s="120"/>
      <c r="CD195" s="120"/>
      <c r="CE195" s="120"/>
    </row>
    <row r="196" ht="18.75" customHeight="1">
      <c r="C196" s="64"/>
      <c r="E196" s="64"/>
      <c r="F196" s="64"/>
      <c r="G196" s="64"/>
      <c r="AH196" s="152"/>
      <c r="AI196" s="152"/>
      <c r="AJ196" s="152"/>
      <c r="AK196" s="152"/>
      <c r="BS196" s="120"/>
      <c r="BT196" s="120"/>
      <c r="BU196" s="120"/>
      <c r="BV196" s="120"/>
      <c r="BW196" s="120"/>
      <c r="BX196" s="120"/>
      <c r="BY196" s="120"/>
      <c r="BZ196" s="120"/>
      <c r="CA196" s="120"/>
      <c r="CB196" s="120"/>
      <c r="CC196" s="120"/>
      <c r="CD196" s="120"/>
      <c r="CE196" s="120"/>
    </row>
    <row r="197" ht="18.75" customHeight="1">
      <c r="C197" s="64"/>
      <c r="E197" s="64"/>
      <c r="F197" s="64"/>
      <c r="G197" s="64"/>
      <c r="AH197" s="152"/>
      <c r="AI197" s="152"/>
      <c r="AJ197" s="152"/>
      <c r="AK197" s="152"/>
      <c r="BS197" s="120"/>
      <c r="BT197" s="120"/>
      <c r="BU197" s="120"/>
      <c r="BV197" s="120"/>
      <c r="BW197" s="120"/>
      <c r="BX197" s="120"/>
      <c r="BY197" s="120"/>
      <c r="BZ197" s="120"/>
      <c r="CA197" s="120"/>
      <c r="CB197" s="120"/>
      <c r="CC197" s="120"/>
      <c r="CD197" s="120"/>
      <c r="CE197" s="120"/>
    </row>
    <row r="198" ht="18.75" customHeight="1">
      <c r="C198" s="64"/>
      <c r="E198" s="64"/>
      <c r="F198" s="64"/>
      <c r="G198" s="64"/>
      <c r="AH198" s="152"/>
      <c r="AI198" s="152"/>
      <c r="AJ198" s="152"/>
      <c r="AK198" s="152"/>
      <c r="BS198" s="120"/>
      <c r="BT198" s="120"/>
      <c r="BU198" s="120"/>
      <c r="BV198" s="120"/>
      <c r="BW198" s="120"/>
      <c r="BX198" s="120"/>
      <c r="BY198" s="120"/>
      <c r="BZ198" s="120"/>
      <c r="CA198" s="120"/>
      <c r="CB198" s="120"/>
      <c r="CC198" s="120"/>
      <c r="CD198" s="120"/>
      <c r="CE198" s="120"/>
    </row>
    <row r="199" ht="18.75" customHeight="1">
      <c r="C199" s="64"/>
      <c r="E199" s="64"/>
      <c r="F199" s="64"/>
      <c r="G199" s="64"/>
      <c r="AH199" s="152"/>
      <c r="AI199" s="152"/>
      <c r="AJ199" s="152"/>
      <c r="AK199" s="152"/>
      <c r="BS199" s="120"/>
      <c r="BT199" s="120"/>
      <c r="BU199" s="120"/>
      <c r="BV199" s="120"/>
      <c r="BW199" s="120"/>
      <c r="BX199" s="120"/>
      <c r="BY199" s="120"/>
      <c r="BZ199" s="120"/>
      <c r="CA199" s="120"/>
      <c r="CB199" s="120"/>
      <c r="CC199" s="120"/>
      <c r="CD199" s="120"/>
      <c r="CE199" s="120"/>
    </row>
    <row r="200" ht="18.75" customHeight="1">
      <c r="C200" s="64"/>
      <c r="E200" s="64"/>
      <c r="F200" s="64"/>
      <c r="G200" s="64"/>
      <c r="AH200" s="152"/>
      <c r="AI200" s="152"/>
      <c r="AJ200" s="152"/>
      <c r="AK200" s="152"/>
      <c r="BS200" s="120"/>
      <c r="BT200" s="120"/>
      <c r="BU200" s="120"/>
      <c r="BV200" s="120"/>
      <c r="BW200" s="120"/>
      <c r="BX200" s="120"/>
      <c r="BY200" s="120"/>
      <c r="BZ200" s="120"/>
      <c r="CA200" s="120"/>
      <c r="CB200" s="120"/>
      <c r="CC200" s="120"/>
      <c r="CD200" s="120"/>
      <c r="CE200" s="120"/>
    </row>
    <row r="201" ht="18.75" customHeight="1">
      <c r="C201" s="64"/>
      <c r="E201" s="64"/>
      <c r="F201" s="64"/>
      <c r="G201" s="64"/>
      <c r="AH201" s="152"/>
      <c r="AI201" s="152"/>
      <c r="AJ201" s="152"/>
      <c r="AK201" s="152"/>
      <c r="BS201" s="120"/>
      <c r="BT201" s="120"/>
      <c r="BU201" s="120"/>
      <c r="BV201" s="120"/>
      <c r="BW201" s="120"/>
      <c r="BX201" s="120"/>
      <c r="BY201" s="120"/>
      <c r="BZ201" s="120"/>
      <c r="CA201" s="120"/>
      <c r="CB201" s="120"/>
      <c r="CC201" s="120"/>
      <c r="CD201" s="120"/>
      <c r="CE201" s="120"/>
    </row>
    <row r="202" ht="18.75" customHeight="1">
      <c r="C202" s="64"/>
      <c r="E202" s="64"/>
      <c r="F202" s="64"/>
      <c r="G202" s="64"/>
      <c r="AH202" s="152"/>
      <c r="AI202" s="152"/>
      <c r="AJ202" s="152"/>
      <c r="AK202" s="152"/>
      <c r="BS202" s="120"/>
      <c r="BT202" s="120"/>
      <c r="BU202" s="120"/>
      <c r="BV202" s="120"/>
      <c r="BW202" s="120"/>
      <c r="BX202" s="120"/>
      <c r="BY202" s="120"/>
      <c r="BZ202" s="120"/>
      <c r="CA202" s="120"/>
      <c r="CB202" s="120"/>
      <c r="CC202" s="120"/>
      <c r="CD202" s="120"/>
      <c r="CE202" s="120"/>
    </row>
    <row r="203" ht="18.75" customHeight="1">
      <c r="C203" s="64"/>
      <c r="E203" s="64"/>
      <c r="F203" s="64"/>
      <c r="G203" s="64"/>
      <c r="AH203" s="152"/>
      <c r="AI203" s="152"/>
      <c r="AJ203" s="152"/>
      <c r="AK203" s="152"/>
      <c r="BS203" s="120"/>
      <c r="BT203" s="120"/>
      <c r="BU203" s="120"/>
      <c r="BV203" s="120"/>
      <c r="BW203" s="120"/>
      <c r="BX203" s="120"/>
      <c r="BY203" s="120"/>
      <c r="BZ203" s="120"/>
      <c r="CA203" s="120"/>
      <c r="CB203" s="120"/>
      <c r="CC203" s="120"/>
      <c r="CD203" s="120"/>
      <c r="CE203" s="120"/>
    </row>
    <row r="204" ht="18.75" customHeight="1">
      <c r="C204" s="64"/>
      <c r="E204" s="64"/>
      <c r="F204" s="64"/>
      <c r="G204" s="64"/>
      <c r="AH204" s="152"/>
      <c r="AI204" s="152"/>
      <c r="AJ204" s="152"/>
      <c r="AK204" s="152"/>
      <c r="BS204" s="120"/>
      <c r="BT204" s="120"/>
      <c r="BU204" s="120"/>
      <c r="BV204" s="120"/>
      <c r="BW204" s="120"/>
      <c r="BX204" s="120"/>
      <c r="BY204" s="120"/>
      <c r="BZ204" s="120"/>
      <c r="CA204" s="120"/>
      <c r="CB204" s="120"/>
      <c r="CC204" s="120"/>
      <c r="CD204" s="120"/>
      <c r="CE204" s="120"/>
    </row>
    <row r="205" ht="18.75" customHeight="1">
      <c r="C205" s="64"/>
      <c r="E205" s="64"/>
      <c r="F205" s="64"/>
      <c r="G205" s="64"/>
      <c r="AH205" s="152"/>
      <c r="AI205" s="152"/>
      <c r="AJ205" s="152"/>
      <c r="AK205" s="152"/>
      <c r="BS205" s="120"/>
      <c r="BT205" s="120"/>
      <c r="BU205" s="120"/>
      <c r="BV205" s="120"/>
      <c r="BW205" s="120"/>
      <c r="BX205" s="120"/>
      <c r="BY205" s="120"/>
      <c r="BZ205" s="120"/>
      <c r="CA205" s="120"/>
      <c r="CB205" s="120"/>
      <c r="CC205" s="120"/>
      <c r="CD205" s="120"/>
      <c r="CE205" s="120"/>
    </row>
    <row r="206" ht="18.75" customHeight="1">
      <c r="C206" s="64"/>
      <c r="E206" s="64"/>
      <c r="F206" s="64"/>
      <c r="G206" s="64"/>
      <c r="AH206" s="152"/>
      <c r="AI206" s="152"/>
      <c r="AJ206" s="152"/>
      <c r="AK206" s="152"/>
      <c r="BS206" s="120"/>
      <c r="BT206" s="120"/>
      <c r="BU206" s="120"/>
      <c r="BV206" s="120"/>
      <c r="BW206" s="120"/>
      <c r="BX206" s="120"/>
      <c r="BY206" s="120"/>
      <c r="BZ206" s="120"/>
      <c r="CA206" s="120"/>
      <c r="CB206" s="120"/>
      <c r="CC206" s="120"/>
      <c r="CD206" s="120"/>
      <c r="CE206" s="120"/>
    </row>
    <row r="207" ht="18.75" customHeight="1">
      <c r="C207" s="64"/>
      <c r="E207" s="64"/>
      <c r="F207" s="64"/>
      <c r="G207" s="64"/>
      <c r="AH207" s="152"/>
      <c r="AI207" s="152"/>
      <c r="AJ207" s="152"/>
      <c r="AK207" s="152"/>
      <c r="BS207" s="120"/>
      <c r="BT207" s="120"/>
      <c r="BU207" s="120"/>
      <c r="BV207" s="120"/>
      <c r="BW207" s="120"/>
      <c r="BX207" s="120"/>
      <c r="BY207" s="120"/>
      <c r="BZ207" s="120"/>
      <c r="CA207" s="120"/>
      <c r="CB207" s="120"/>
      <c r="CC207" s="120"/>
      <c r="CD207" s="120"/>
      <c r="CE207" s="120"/>
    </row>
    <row r="208" ht="18.75" customHeight="1">
      <c r="C208" s="64"/>
      <c r="E208" s="64"/>
      <c r="F208" s="64"/>
      <c r="G208" s="64"/>
      <c r="AH208" s="152"/>
      <c r="AI208" s="152"/>
      <c r="AJ208" s="152"/>
      <c r="AK208" s="152"/>
      <c r="BS208" s="120"/>
      <c r="BT208" s="120"/>
      <c r="BU208" s="120"/>
      <c r="BV208" s="120"/>
      <c r="BW208" s="120"/>
      <c r="BX208" s="120"/>
      <c r="BY208" s="120"/>
      <c r="BZ208" s="120"/>
      <c r="CA208" s="120"/>
      <c r="CB208" s="120"/>
      <c r="CC208" s="120"/>
      <c r="CD208" s="120"/>
      <c r="CE208" s="120"/>
    </row>
    <row r="209" ht="18.75" customHeight="1">
      <c r="C209" s="64"/>
      <c r="E209" s="64"/>
      <c r="F209" s="64"/>
      <c r="G209" s="64"/>
      <c r="AH209" s="152"/>
      <c r="AI209" s="152"/>
      <c r="AJ209" s="152"/>
      <c r="AK209" s="152"/>
      <c r="BS209" s="120"/>
      <c r="BT209" s="120"/>
      <c r="BU209" s="120"/>
      <c r="BV209" s="120"/>
      <c r="BW209" s="120"/>
      <c r="BX209" s="120"/>
      <c r="BY209" s="120"/>
      <c r="BZ209" s="120"/>
      <c r="CA209" s="120"/>
      <c r="CB209" s="120"/>
      <c r="CC209" s="120"/>
      <c r="CD209" s="120"/>
      <c r="CE209" s="120"/>
    </row>
    <row r="210" ht="18.75" customHeight="1">
      <c r="C210" s="64"/>
      <c r="E210" s="64"/>
      <c r="F210" s="64"/>
      <c r="G210" s="64"/>
      <c r="AH210" s="152"/>
      <c r="AI210" s="152"/>
      <c r="AJ210" s="152"/>
      <c r="AK210" s="152"/>
      <c r="BS210" s="120"/>
      <c r="BT210" s="120"/>
      <c r="BU210" s="120"/>
      <c r="BV210" s="120"/>
      <c r="BW210" s="120"/>
      <c r="BX210" s="120"/>
      <c r="BY210" s="120"/>
      <c r="BZ210" s="120"/>
      <c r="CA210" s="120"/>
      <c r="CB210" s="120"/>
      <c r="CC210" s="120"/>
      <c r="CD210" s="120"/>
      <c r="CE210" s="120"/>
    </row>
    <row r="211" ht="18.75" customHeight="1">
      <c r="C211" s="64"/>
      <c r="E211" s="64"/>
      <c r="F211" s="64"/>
      <c r="G211" s="64"/>
      <c r="AH211" s="152"/>
      <c r="AI211" s="152"/>
      <c r="AJ211" s="152"/>
      <c r="AK211" s="152"/>
      <c r="BS211" s="120"/>
      <c r="BT211" s="120"/>
      <c r="BU211" s="120"/>
      <c r="BV211" s="120"/>
      <c r="BW211" s="120"/>
      <c r="BX211" s="120"/>
      <c r="BY211" s="120"/>
      <c r="BZ211" s="120"/>
      <c r="CA211" s="120"/>
      <c r="CB211" s="120"/>
      <c r="CC211" s="120"/>
      <c r="CD211" s="120"/>
      <c r="CE211" s="120"/>
    </row>
    <row r="212" ht="18.75" customHeight="1">
      <c r="C212" s="64"/>
      <c r="E212" s="64"/>
      <c r="F212" s="64"/>
      <c r="G212" s="64"/>
      <c r="AH212" s="152"/>
      <c r="AI212" s="152"/>
      <c r="AJ212" s="152"/>
      <c r="AK212" s="152"/>
      <c r="BS212" s="120"/>
      <c r="BT212" s="120"/>
      <c r="BU212" s="120"/>
      <c r="BV212" s="120"/>
      <c r="BW212" s="120"/>
      <c r="BX212" s="120"/>
      <c r="BY212" s="120"/>
      <c r="BZ212" s="120"/>
      <c r="CA212" s="120"/>
      <c r="CB212" s="120"/>
      <c r="CC212" s="120"/>
      <c r="CD212" s="120"/>
      <c r="CE212" s="120"/>
    </row>
    <row r="213" ht="18.75" customHeight="1">
      <c r="C213" s="64"/>
      <c r="E213" s="64"/>
      <c r="F213" s="64"/>
      <c r="G213" s="64"/>
      <c r="AH213" s="152"/>
      <c r="AI213" s="152"/>
      <c r="AJ213" s="152"/>
      <c r="AK213" s="152"/>
      <c r="BS213" s="120"/>
      <c r="BT213" s="120"/>
      <c r="BU213" s="120"/>
      <c r="BV213" s="120"/>
      <c r="BW213" s="120"/>
      <c r="BX213" s="120"/>
      <c r="BY213" s="120"/>
      <c r="BZ213" s="120"/>
      <c r="CA213" s="120"/>
      <c r="CB213" s="120"/>
      <c r="CC213" s="120"/>
      <c r="CD213" s="120"/>
      <c r="CE213" s="120"/>
    </row>
    <row r="214" ht="18.75" customHeight="1">
      <c r="C214" s="64"/>
      <c r="E214" s="64"/>
      <c r="F214" s="64"/>
      <c r="G214" s="64"/>
      <c r="AH214" s="152"/>
      <c r="AI214" s="152"/>
      <c r="AJ214" s="152"/>
      <c r="AK214" s="152"/>
      <c r="BS214" s="120"/>
      <c r="BT214" s="120"/>
      <c r="BU214" s="120"/>
      <c r="BV214" s="120"/>
      <c r="BW214" s="120"/>
      <c r="BX214" s="120"/>
      <c r="BY214" s="120"/>
      <c r="BZ214" s="120"/>
      <c r="CA214" s="120"/>
      <c r="CB214" s="120"/>
      <c r="CC214" s="120"/>
      <c r="CD214" s="120"/>
      <c r="CE214" s="120"/>
    </row>
    <row r="215" ht="18.75" customHeight="1">
      <c r="C215" s="64"/>
      <c r="E215" s="64"/>
      <c r="F215" s="64"/>
      <c r="G215" s="64"/>
      <c r="AH215" s="152"/>
      <c r="AI215" s="152"/>
      <c r="AJ215" s="152"/>
      <c r="AK215" s="152"/>
      <c r="BS215" s="120"/>
      <c r="BT215" s="120"/>
      <c r="BU215" s="120"/>
      <c r="BV215" s="120"/>
      <c r="BW215" s="120"/>
      <c r="BX215" s="120"/>
      <c r="BY215" s="120"/>
      <c r="BZ215" s="120"/>
      <c r="CA215" s="120"/>
      <c r="CB215" s="120"/>
      <c r="CC215" s="120"/>
      <c r="CD215" s="120"/>
      <c r="CE215" s="120"/>
    </row>
    <row r="216" ht="18.75" customHeight="1">
      <c r="C216" s="64"/>
      <c r="E216" s="64"/>
      <c r="F216" s="64"/>
      <c r="G216" s="64"/>
      <c r="AH216" s="152"/>
      <c r="AI216" s="152"/>
      <c r="AJ216" s="152"/>
      <c r="AK216" s="152"/>
      <c r="BS216" s="120"/>
      <c r="BT216" s="120"/>
      <c r="BU216" s="120"/>
      <c r="BV216" s="120"/>
      <c r="BW216" s="120"/>
      <c r="BX216" s="120"/>
      <c r="BY216" s="120"/>
      <c r="BZ216" s="120"/>
      <c r="CA216" s="120"/>
      <c r="CB216" s="120"/>
      <c r="CC216" s="120"/>
      <c r="CD216" s="120"/>
      <c r="CE216" s="120"/>
    </row>
    <row r="217" ht="18.75" customHeight="1">
      <c r="C217" s="64"/>
      <c r="E217" s="64"/>
      <c r="F217" s="64"/>
      <c r="G217" s="64"/>
      <c r="AH217" s="152"/>
      <c r="AI217" s="152"/>
      <c r="AJ217" s="152"/>
      <c r="AK217" s="152"/>
      <c r="BS217" s="120"/>
      <c r="BT217" s="120"/>
      <c r="BU217" s="120"/>
      <c r="BV217" s="120"/>
      <c r="BW217" s="120"/>
      <c r="BX217" s="120"/>
      <c r="BY217" s="120"/>
      <c r="BZ217" s="120"/>
      <c r="CA217" s="120"/>
      <c r="CB217" s="120"/>
      <c r="CC217" s="120"/>
      <c r="CD217" s="120"/>
      <c r="CE217" s="120"/>
    </row>
    <row r="218" ht="18.75" customHeight="1">
      <c r="C218" s="64"/>
      <c r="E218" s="64"/>
      <c r="F218" s="64"/>
      <c r="G218" s="64"/>
      <c r="AH218" s="152"/>
      <c r="AI218" s="152"/>
      <c r="AJ218" s="152"/>
      <c r="AK218" s="152"/>
      <c r="BS218" s="120"/>
      <c r="BT218" s="120"/>
      <c r="BU218" s="120"/>
      <c r="BV218" s="120"/>
      <c r="BW218" s="120"/>
      <c r="BX218" s="120"/>
      <c r="BY218" s="120"/>
      <c r="BZ218" s="120"/>
      <c r="CA218" s="120"/>
      <c r="CB218" s="120"/>
      <c r="CC218" s="120"/>
      <c r="CD218" s="120"/>
      <c r="CE218" s="120"/>
    </row>
    <row r="219" ht="18.75" customHeight="1">
      <c r="C219" s="64"/>
      <c r="E219" s="64"/>
      <c r="F219" s="64"/>
      <c r="G219" s="64"/>
      <c r="AH219" s="152"/>
      <c r="AI219" s="152"/>
      <c r="AJ219" s="152"/>
      <c r="AK219" s="152"/>
      <c r="BS219" s="120"/>
      <c r="BT219" s="120"/>
      <c r="BU219" s="120"/>
      <c r="BV219" s="120"/>
      <c r="BW219" s="120"/>
      <c r="BX219" s="120"/>
      <c r="BY219" s="120"/>
      <c r="BZ219" s="120"/>
      <c r="CA219" s="120"/>
      <c r="CB219" s="120"/>
      <c r="CC219" s="120"/>
      <c r="CD219" s="120"/>
      <c r="CE219" s="120"/>
    </row>
    <row r="220" ht="18.75" customHeight="1">
      <c r="C220" s="64"/>
      <c r="E220" s="64"/>
      <c r="F220" s="64"/>
      <c r="G220" s="64"/>
      <c r="AH220" s="152"/>
      <c r="AI220" s="152"/>
      <c r="AJ220" s="152"/>
      <c r="AK220" s="152"/>
      <c r="BS220" s="120"/>
      <c r="BT220" s="120"/>
      <c r="BU220" s="120"/>
      <c r="BV220" s="120"/>
      <c r="BW220" s="120"/>
      <c r="BX220" s="120"/>
      <c r="BY220" s="120"/>
      <c r="BZ220" s="120"/>
      <c r="CA220" s="120"/>
      <c r="CB220" s="120"/>
      <c r="CC220" s="120"/>
      <c r="CD220" s="120"/>
      <c r="CE220" s="120"/>
    </row>
    <row r="221" ht="18.75" customHeight="1">
      <c r="C221" s="64"/>
      <c r="E221" s="64"/>
      <c r="F221" s="64"/>
      <c r="G221" s="64"/>
      <c r="AH221" s="152"/>
      <c r="AI221" s="152"/>
      <c r="AJ221" s="152"/>
      <c r="AK221" s="152"/>
      <c r="BS221" s="120"/>
      <c r="BT221" s="120"/>
      <c r="BU221" s="120"/>
      <c r="BV221" s="120"/>
      <c r="BW221" s="120"/>
      <c r="BX221" s="120"/>
      <c r="BY221" s="120"/>
      <c r="BZ221" s="120"/>
      <c r="CA221" s="120"/>
      <c r="CB221" s="120"/>
      <c r="CC221" s="120"/>
      <c r="CD221" s="120"/>
      <c r="CE221" s="120"/>
    </row>
    <row r="222" ht="18.75" customHeight="1">
      <c r="C222" s="64"/>
      <c r="E222" s="64"/>
      <c r="F222" s="64"/>
      <c r="G222" s="64"/>
      <c r="AH222" s="152"/>
      <c r="AI222" s="152"/>
      <c r="AJ222" s="152"/>
      <c r="AK222" s="152"/>
      <c r="BS222" s="120"/>
      <c r="BT222" s="120"/>
      <c r="BU222" s="120"/>
      <c r="BV222" s="120"/>
      <c r="BW222" s="120"/>
      <c r="BX222" s="120"/>
      <c r="BY222" s="120"/>
      <c r="BZ222" s="120"/>
      <c r="CA222" s="120"/>
      <c r="CB222" s="120"/>
      <c r="CC222" s="120"/>
      <c r="CD222" s="120"/>
      <c r="CE222" s="120"/>
    </row>
    <row r="223" ht="18.75" customHeight="1">
      <c r="C223" s="64"/>
      <c r="E223" s="64"/>
      <c r="F223" s="64"/>
      <c r="G223" s="64"/>
      <c r="AH223" s="152"/>
      <c r="AI223" s="152"/>
      <c r="AJ223" s="152"/>
      <c r="AK223" s="152"/>
      <c r="BS223" s="120"/>
      <c r="BT223" s="120"/>
      <c r="BU223" s="120"/>
      <c r="BV223" s="120"/>
      <c r="BW223" s="120"/>
      <c r="BX223" s="120"/>
      <c r="BY223" s="120"/>
      <c r="BZ223" s="120"/>
      <c r="CA223" s="120"/>
      <c r="CB223" s="120"/>
      <c r="CC223" s="120"/>
      <c r="CD223" s="120"/>
      <c r="CE223" s="120"/>
    </row>
    <row r="224" ht="18.75" customHeight="1">
      <c r="C224" s="64"/>
      <c r="E224" s="64"/>
      <c r="F224" s="64"/>
      <c r="G224" s="64"/>
      <c r="AH224" s="152"/>
      <c r="AI224" s="152"/>
      <c r="AJ224" s="152"/>
      <c r="AK224" s="152"/>
      <c r="BS224" s="120"/>
      <c r="BT224" s="120"/>
      <c r="BU224" s="120"/>
      <c r="BV224" s="120"/>
      <c r="BW224" s="120"/>
      <c r="BX224" s="120"/>
      <c r="BY224" s="120"/>
      <c r="BZ224" s="120"/>
      <c r="CA224" s="120"/>
      <c r="CB224" s="120"/>
      <c r="CC224" s="120"/>
      <c r="CD224" s="120"/>
      <c r="CE224" s="120"/>
    </row>
    <row r="225" ht="18.75" customHeight="1">
      <c r="C225" s="64"/>
      <c r="E225" s="64"/>
      <c r="F225" s="64"/>
      <c r="G225" s="64"/>
      <c r="AH225" s="152"/>
      <c r="AI225" s="152"/>
      <c r="AJ225" s="152"/>
      <c r="AK225" s="152"/>
      <c r="BS225" s="120"/>
      <c r="BT225" s="120"/>
      <c r="BU225" s="120"/>
      <c r="BV225" s="120"/>
      <c r="BW225" s="120"/>
      <c r="BX225" s="120"/>
      <c r="BY225" s="120"/>
      <c r="BZ225" s="120"/>
      <c r="CA225" s="120"/>
      <c r="CB225" s="120"/>
      <c r="CC225" s="120"/>
      <c r="CD225" s="120"/>
      <c r="CE225" s="120"/>
    </row>
    <row r="226" ht="18.75" customHeight="1">
      <c r="C226" s="64"/>
      <c r="E226" s="64"/>
      <c r="F226" s="64"/>
      <c r="G226" s="64"/>
      <c r="AH226" s="152"/>
      <c r="AI226" s="152"/>
      <c r="AJ226" s="152"/>
      <c r="AK226" s="152"/>
      <c r="BS226" s="120"/>
      <c r="BT226" s="120"/>
      <c r="BU226" s="120"/>
      <c r="BV226" s="120"/>
      <c r="BW226" s="120"/>
      <c r="BX226" s="120"/>
      <c r="BY226" s="120"/>
      <c r="BZ226" s="120"/>
      <c r="CA226" s="120"/>
      <c r="CB226" s="120"/>
      <c r="CC226" s="120"/>
      <c r="CD226" s="120"/>
      <c r="CE226" s="120"/>
    </row>
    <row r="227" ht="18.75" customHeight="1">
      <c r="C227" s="64"/>
      <c r="E227" s="64"/>
      <c r="F227" s="64"/>
      <c r="G227" s="64"/>
      <c r="AH227" s="152"/>
      <c r="AI227" s="152"/>
      <c r="AJ227" s="152"/>
      <c r="AK227" s="152"/>
      <c r="BS227" s="120"/>
      <c r="BT227" s="120"/>
      <c r="BU227" s="120"/>
      <c r="BV227" s="120"/>
      <c r="BW227" s="120"/>
      <c r="BX227" s="120"/>
      <c r="BY227" s="120"/>
      <c r="BZ227" s="120"/>
      <c r="CA227" s="120"/>
      <c r="CB227" s="120"/>
      <c r="CC227" s="120"/>
      <c r="CD227" s="120"/>
      <c r="CE227" s="120"/>
    </row>
    <row r="228" ht="18.75" customHeight="1">
      <c r="C228" s="64"/>
      <c r="E228" s="64"/>
      <c r="F228" s="64"/>
      <c r="G228" s="64"/>
      <c r="AH228" s="152"/>
      <c r="AI228" s="152"/>
      <c r="AJ228" s="152"/>
      <c r="AK228" s="152"/>
      <c r="BS228" s="120"/>
      <c r="BT228" s="120"/>
      <c r="BU228" s="120"/>
      <c r="BV228" s="120"/>
      <c r="BW228" s="120"/>
      <c r="BX228" s="120"/>
      <c r="BY228" s="120"/>
      <c r="BZ228" s="120"/>
      <c r="CA228" s="120"/>
      <c r="CB228" s="120"/>
      <c r="CC228" s="120"/>
      <c r="CD228" s="120"/>
      <c r="CE228" s="120"/>
    </row>
    <row r="229" ht="18.75" customHeight="1">
      <c r="C229" s="64"/>
      <c r="E229" s="64"/>
      <c r="F229" s="64"/>
      <c r="G229" s="64"/>
      <c r="AH229" s="152"/>
      <c r="AI229" s="152"/>
      <c r="AJ229" s="152"/>
      <c r="AK229" s="152"/>
      <c r="BS229" s="120"/>
      <c r="BT229" s="120"/>
      <c r="BU229" s="120"/>
      <c r="BV229" s="120"/>
      <c r="BW229" s="120"/>
      <c r="BX229" s="120"/>
      <c r="BY229" s="120"/>
      <c r="BZ229" s="120"/>
      <c r="CA229" s="120"/>
      <c r="CB229" s="120"/>
      <c r="CC229" s="120"/>
      <c r="CD229" s="120"/>
      <c r="CE229" s="120"/>
    </row>
    <row r="230" ht="18.75" customHeight="1">
      <c r="C230" s="64"/>
      <c r="E230" s="64"/>
      <c r="F230" s="64"/>
      <c r="G230" s="64"/>
      <c r="AH230" s="152"/>
      <c r="AI230" s="152"/>
      <c r="AJ230" s="152"/>
      <c r="AK230" s="152"/>
      <c r="BS230" s="120"/>
      <c r="BT230" s="120"/>
      <c r="BU230" s="120"/>
      <c r="BV230" s="120"/>
      <c r="BW230" s="120"/>
      <c r="BX230" s="120"/>
      <c r="BY230" s="120"/>
      <c r="BZ230" s="120"/>
      <c r="CA230" s="120"/>
      <c r="CB230" s="120"/>
      <c r="CC230" s="120"/>
      <c r="CD230" s="120"/>
      <c r="CE230" s="120"/>
    </row>
    <row r="231" ht="18.75" customHeight="1">
      <c r="C231" s="64"/>
      <c r="E231" s="64"/>
      <c r="F231" s="64"/>
      <c r="G231" s="64"/>
      <c r="AH231" s="152"/>
      <c r="AI231" s="152"/>
      <c r="AJ231" s="152"/>
      <c r="AK231" s="152"/>
      <c r="BS231" s="120"/>
      <c r="BT231" s="120"/>
      <c r="BU231" s="120"/>
      <c r="BV231" s="120"/>
      <c r="BW231" s="120"/>
      <c r="BX231" s="120"/>
      <c r="BY231" s="120"/>
      <c r="BZ231" s="120"/>
      <c r="CA231" s="120"/>
      <c r="CB231" s="120"/>
      <c r="CC231" s="120"/>
      <c r="CD231" s="120"/>
      <c r="CE231" s="120"/>
    </row>
    <row r="232" ht="18.75" customHeight="1">
      <c r="C232" s="64"/>
      <c r="E232" s="64"/>
      <c r="F232" s="64"/>
      <c r="G232" s="64"/>
      <c r="AH232" s="152"/>
      <c r="AI232" s="152"/>
      <c r="AJ232" s="152"/>
      <c r="AK232" s="152"/>
      <c r="BS232" s="120"/>
      <c r="BT232" s="120"/>
      <c r="BU232" s="120"/>
      <c r="BV232" s="120"/>
      <c r="BW232" s="120"/>
      <c r="BX232" s="120"/>
      <c r="BY232" s="120"/>
      <c r="BZ232" s="120"/>
      <c r="CA232" s="120"/>
      <c r="CB232" s="120"/>
      <c r="CC232" s="120"/>
      <c r="CD232" s="120"/>
      <c r="CE232" s="120"/>
    </row>
    <row r="233" ht="18.75" customHeight="1">
      <c r="C233" s="64"/>
      <c r="E233" s="64"/>
      <c r="F233" s="64"/>
      <c r="G233" s="64"/>
      <c r="AH233" s="152"/>
      <c r="AI233" s="152"/>
      <c r="AJ233" s="152"/>
      <c r="AK233" s="152"/>
      <c r="BS233" s="120"/>
      <c r="BT233" s="120"/>
      <c r="BU233" s="120"/>
      <c r="BV233" s="120"/>
      <c r="BW233" s="120"/>
      <c r="BX233" s="120"/>
      <c r="BY233" s="120"/>
      <c r="BZ233" s="120"/>
      <c r="CA233" s="120"/>
      <c r="CB233" s="120"/>
      <c r="CC233" s="120"/>
      <c r="CD233" s="120"/>
      <c r="CE233" s="120"/>
    </row>
    <row r="234" ht="18.75" customHeight="1">
      <c r="C234" s="64"/>
      <c r="E234" s="64"/>
      <c r="F234" s="64"/>
      <c r="G234" s="64"/>
      <c r="AH234" s="152"/>
      <c r="AI234" s="152"/>
      <c r="AJ234" s="152"/>
      <c r="AK234" s="152"/>
      <c r="BS234" s="120"/>
      <c r="BT234" s="120"/>
      <c r="BU234" s="120"/>
      <c r="BV234" s="120"/>
      <c r="BW234" s="120"/>
      <c r="BX234" s="120"/>
      <c r="BY234" s="120"/>
      <c r="BZ234" s="120"/>
      <c r="CA234" s="120"/>
      <c r="CB234" s="120"/>
      <c r="CC234" s="120"/>
      <c r="CD234" s="120"/>
      <c r="CE234" s="120"/>
    </row>
    <row r="235" ht="18.75" customHeight="1">
      <c r="C235" s="64"/>
      <c r="E235" s="64"/>
      <c r="F235" s="64"/>
      <c r="G235" s="64"/>
      <c r="AH235" s="152"/>
      <c r="AI235" s="152"/>
      <c r="AJ235" s="152"/>
      <c r="AK235" s="152"/>
      <c r="BS235" s="120"/>
      <c r="BT235" s="120"/>
      <c r="BU235" s="120"/>
      <c r="BV235" s="120"/>
      <c r="BW235" s="120"/>
      <c r="BX235" s="120"/>
      <c r="BY235" s="120"/>
      <c r="BZ235" s="120"/>
      <c r="CA235" s="120"/>
      <c r="CB235" s="120"/>
      <c r="CC235" s="120"/>
      <c r="CD235" s="120"/>
      <c r="CE235" s="120"/>
    </row>
    <row r="236" ht="18.75" customHeight="1">
      <c r="C236" s="64"/>
      <c r="E236" s="64"/>
      <c r="F236" s="64"/>
      <c r="G236" s="64"/>
      <c r="AH236" s="152"/>
      <c r="AI236" s="152"/>
      <c r="AJ236" s="152"/>
      <c r="AK236" s="152"/>
      <c r="BS236" s="120"/>
      <c r="BT236" s="120"/>
      <c r="BU236" s="120"/>
      <c r="BV236" s="120"/>
      <c r="BW236" s="120"/>
      <c r="BX236" s="120"/>
      <c r="BY236" s="120"/>
      <c r="BZ236" s="120"/>
      <c r="CA236" s="120"/>
      <c r="CB236" s="120"/>
      <c r="CC236" s="120"/>
      <c r="CD236" s="120"/>
      <c r="CE236" s="120"/>
    </row>
    <row r="237" ht="18.75" customHeight="1">
      <c r="C237" s="64"/>
      <c r="E237" s="64"/>
      <c r="F237" s="64"/>
      <c r="G237" s="64"/>
      <c r="AH237" s="152"/>
      <c r="AI237" s="152"/>
      <c r="AJ237" s="152"/>
      <c r="AK237" s="152"/>
      <c r="BS237" s="120"/>
      <c r="BT237" s="120"/>
      <c r="BU237" s="120"/>
      <c r="BV237" s="120"/>
      <c r="BW237" s="120"/>
      <c r="BX237" s="120"/>
      <c r="BY237" s="120"/>
      <c r="BZ237" s="120"/>
      <c r="CA237" s="120"/>
      <c r="CB237" s="120"/>
      <c r="CC237" s="120"/>
      <c r="CD237" s="120"/>
      <c r="CE237" s="120"/>
    </row>
    <row r="238" ht="18.75" customHeight="1">
      <c r="C238" s="64"/>
      <c r="E238" s="64"/>
      <c r="F238" s="64"/>
      <c r="G238" s="64"/>
      <c r="AH238" s="152"/>
      <c r="AI238" s="152"/>
      <c r="AJ238" s="152"/>
      <c r="AK238" s="152"/>
      <c r="BS238" s="120"/>
      <c r="BT238" s="120"/>
      <c r="BU238" s="120"/>
      <c r="BV238" s="120"/>
      <c r="BW238" s="120"/>
      <c r="BX238" s="120"/>
      <c r="BY238" s="120"/>
      <c r="BZ238" s="120"/>
      <c r="CA238" s="120"/>
      <c r="CB238" s="120"/>
      <c r="CC238" s="120"/>
      <c r="CD238" s="120"/>
      <c r="CE238" s="120"/>
    </row>
    <row r="239" ht="18.75" customHeight="1">
      <c r="C239" s="64"/>
      <c r="E239" s="64"/>
      <c r="F239" s="64"/>
      <c r="G239" s="64"/>
      <c r="AH239" s="152"/>
      <c r="AI239" s="152"/>
      <c r="AJ239" s="152"/>
      <c r="AK239" s="152"/>
      <c r="BS239" s="120"/>
      <c r="BT239" s="120"/>
      <c r="BU239" s="120"/>
      <c r="BV239" s="120"/>
      <c r="BW239" s="120"/>
      <c r="BX239" s="120"/>
      <c r="BY239" s="120"/>
      <c r="BZ239" s="120"/>
      <c r="CA239" s="120"/>
      <c r="CB239" s="120"/>
      <c r="CC239" s="120"/>
      <c r="CD239" s="120"/>
      <c r="CE239" s="120"/>
    </row>
    <row r="240" ht="18.75" customHeight="1">
      <c r="C240" s="64"/>
      <c r="E240" s="64"/>
      <c r="F240" s="64"/>
      <c r="G240" s="64"/>
      <c r="AH240" s="152"/>
      <c r="AI240" s="152"/>
      <c r="AJ240" s="152"/>
      <c r="AK240" s="152"/>
      <c r="BS240" s="120"/>
      <c r="BT240" s="120"/>
      <c r="BU240" s="120"/>
      <c r="BV240" s="120"/>
      <c r="BW240" s="120"/>
      <c r="BX240" s="120"/>
      <c r="BY240" s="120"/>
      <c r="BZ240" s="120"/>
      <c r="CA240" s="120"/>
      <c r="CB240" s="120"/>
      <c r="CC240" s="120"/>
      <c r="CD240" s="120"/>
      <c r="CE240" s="120"/>
    </row>
    <row r="241" ht="18.75" customHeight="1">
      <c r="C241" s="64"/>
      <c r="E241" s="64"/>
      <c r="F241" s="64"/>
      <c r="G241" s="64"/>
      <c r="AH241" s="152"/>
      <c r="AI241" s="152"/>
      <c r="AJ241" s="152"/>
      <c r="AK241" s="152"/>
      <c r="BS241" s="120"/>
      <c r="BT241" s="120"/>
      <c r="BU241" s="120"/>
      <c r="BV241" s="120"/>
      <c r="BW241" s="120"/>
      <c r="BX241" s="120"/>
      <c r="BY241" s="120"/>
      <c r="BZ241" s="120"/>
      <c r="CA241" s="120"/>
      <c r="CB241" s="120"/>
      <c r="CC241" s="120"/>
      <c r="CD241" s="120"/>
      <c r="CE241" s="120"/>
    </row>
    <row r="242" ht="18.75" customHeight="1">
      <c r="C242" s="64"/>
      <c r="E242" s="64"/>
      <c r="F242" s="64"/>
      <c r="G242" s="64"/>
      <c r="AH242" s="152"/>
      <c r="AI242" s="152"/>
      <c r="AJ242" s="152"/>
      <c r="AK242" s="152"/>
      <c r="BS242" s="120"/>
      <c r="BT242" s="120"/>
      <c r="BU242" s="120"/>
      <c r="BV242" s="120"/>
      <c r="BW242" s="120"/>
      <c r="BX242" s="120"/>
      <c r="BY242" s="120"/>
      <c r="BZ242" s="120"/>
      <c r="CA242" s="120"/>
      <c r="CB242" s="120"/>
      <c r="CC242" s="120"/>
      <c r="CD242" s="120"/>
      <c r="CE242" s="120"/>
    </row>
    <row r="243" ht="18.75" customHeight="1">
      <c r="C243" s="64"/>
      <c r="E243" s="64"/>
      <c r="F243" s="64"/>
      <c r="G243" s="64"/>
      <c r="AH243" s="152"/>
      <c r="AI243" s="152"/>
      <c r="AJ243" s="152"/>
      <c r="AK243" s="152"/>
      <c r="BS243" s="120"/>
      <c r="BT243" s="120"/>
      <c r="BU243" s="120"/>
      <c r="BV243" s="120"/>
      <c r="BW243" s="120"/>
      <c r="BX243" s="120"/>
      <c r="BY243" s="120"/>
      <c r="BZ243" s="120"/>
      <c r="CA243" s="120"/>
      <c r="CB243" s="120"/>
      <c r="CC243" s="120"/>
      <c r="CD243" s="120"/>
      <c r="CE243" s="120"/>
    </row>
    <row r="244" ht="18.75" customHeight="1">
      <c r="C244" s="64"/>
      <c r="E244" s="64"/>
      <c r="F244" s="64"/>
      <c r="G244" s="64"/>
      <c r="AH244" s="152"/>
      <c r="AI244" s="152"/>
      <c r="AJ244" s="152"/>
      <c r="AK244" s="152"/>
      <c r="BS244" s="120"/>
      <c r="BT244" s="120"/>
      <c r="BU244" s="120"/>
      <c r="BV244" s="120"/>
      <c r="BW244" s="120"/>
      <c r="BX244" s="120"/>
      <c r="BY244" s="120"/>
      <c r="BZ244" s="120"/>
      <c r="CA244" s="120"/>
      <c r="CB244" s="120"/>
      <c r="CC244" s="120"/>
      <c r="CD244" s="120"/>
      <c r="CE244" s="120"/>
    </row>
    <row r="245" ht="18.75" customHeight="1">
      <c r="C245" s="64"/>
      <c r="E245" s="64"/>
      <c r="F245" s="64"/>
      <c r="G245" s="64"/>
      <c r="AH245" s="152"/>
      <c r="AI245" s="152"/>
      <c r="AJ245" s="152"/>
      <c r="AK245" s="152"/>
      <c r="BS245" s="120"/>
      <c r="BT245" s="120"/>
      <c r="BU245" s="120"/>
      <c r="BV245" s="120"/>
      <c r="BW245" s="120"/>
      <c r="BX245" s="120"/>
      <c r="BY245" s="120"/>
      <c r="BZ245" s="120"/>
      <c r="CA245" s="120"/>
      <c r="CB245" s="120"/>
      <c r="CC245" s="120"/>
      <c r="CD245" s="120"/>
      <c r="CE245" s="120"/>
    </row>
    <row r="246" ht="18.75" customHeight="1">
      <c r="C246" s="64"/>
      <c r="E246" s="64"/>
      <c r="F246" s="64"/>
      <c r="G246" s="64"/>
      <c r="AH246" s="152"/>
      <c r="AI246" s="152"/>
      <c r="AJ246" s="152"/>
      <c r="AK246" s="152"/>
      <c r="BS246" s="120"/>
      <c r="BT246" s="120"/>
      <c r="BU246" s="120"/>
      <c r="BV246" s="120"/>
      <c r="BW246" s="120"/>
      <c r="BX246" s="120"/>
      <c r="BY246" s="120"/>
      <c r="BZ246" s="120"/>
      <c r="CA246" s="120"/>
      <c r="CB246" s="120"/>
      <c r="CC246" s="120"/>
      <c r="CD246" s="120"/>
      <c r="CE246" s="120"/>
    </row>
    <row r="247" ht="18.75" customHeight="1">
      <c r="C247" s="64"/>
      <c r="E247" s="64"/>
      <c r="F247" s="64"/>
      <c r="G247" s="64"/>
      <c r="AH247" s="152"/>
      <c r="AI247" s="152"/>
      <c r="AJ247" s="152"/>
      <c r="AK247" s="152"/>
      <c r="BS247" s="120"/>
      <c r="BT247" s="120"/>
      <c r="BU247" s="120"/>
      <c r="BV247" s="120"/>
      <c r="BW247" s="120"/>
      <c r="BX247" s="120"/>
      <c r="BY247" s="120"/>
      <c r="BZ247" s="120"/>
      <c r="CA247" s="120"/>
      <c r="CB247" s="120"/>
      <c r="CC247" s="120"/>
      <c r="CD247" s="120"/>
      <c r="CE247" s="120"/>
    </row>
    <row r="248" ht="18.75" customHeight="1">
      <c r="C248" s="64"/>
      <c r="E248" s="64"/>
      <c r="F248" s="64"/>
      <c r="G248" s="64"/>
      <c r="AH248" s="152"/>
      <c r="AI248" s="152"/>
      <c r="AJ248" s="152"/>
      <c r="AK248" s="152"/>
      <c r="BS248" s="120"/>
      <c r="BT248" s="120"/>
      <c r="BU248" s="120"/>
      <c r="BV248" s="120"/>
      <c r="BW248" s="120"/>
      <c r="BX248" s="120"/>
      <c r="BY248" s="120"/>
      <c r="BZ248" s="120"/>
      <c r="CA248" s="120"/>
      <c r="CB248" s="120"/>
      <c r="CC248" s="120"/>
      <c r="CD248" s="120"/>
      <c r="CE248" s="120"/>
    </row>
    <row r="249" ht="18.75" customHeight="1">
      <c r="C249" s="64"/>
      <c r="E249" s="64"/>
      <c r="F249" s="64"/>
      <c r="G249" s="64"/>
      <c r="AH249" s="152"/>
      <c r="AI249" s="152"/>
      <c r="AJ249" s="152"/>
      <c r="AK249" s="152"/>
      <c r="BS249" s="120"/>
      <c r="BT249" s="120"/>
      <c r="BU249" s="120"/>
      <c r="BV249" s="120"/>
      <c r="BW249" s="120"/>
      <c r="BX249" s="120"/>
      <c r="BY249" s="120"/>
      <c r="BZ249" s="120"/>
      <c r="CA249" s="120"/>
      <c r="CB249" s="120"/>
      <c r="CC249" s="120"/>
      <c r="CD249" s="120"/>
      <c r="CE249" s="120"/>
    </row>
    <row r="250" ht="18.75" customHeight="1">
      <c r="C250" s="64"/>
      <c r="E250" s="64"/>
      <c r="F250" s="64"/>
      <c r="G250" s="64"/>
      <c r="AH250" s="152"/>
      <c r="AI250" s="152"/>
      <c r="AJ250" s="152"/>
      <c r="AK250" s="152"/>
      <c r="BS250" s="120"/>
      <c r="BT250" s="120"/>
      <c r="BU250" s="120"/>
      <c r="BV250" s="120"/>
      <c r="BW250" s="120"/>
      <c r="BX250" s="120"/>
      <c r="BY250" s="120"/>
      <c r="BZ250" s="120"/>
      <c r="CA250" s="120"/>
      <c r="CB250" s="120"/>
      <c r="CC250" s="120"/>
      <c r="CD250" s="120"/>
      <c r="CE250" s="120"/>
    </row>
    <row r="251" ht="18.75" customHeight="1">
      <c r="C251" s="64"/>
      <c r="E251" s="64"/>
      <c r="F251" s="64"/>
      <c r="G251" s="64"/>
      <c r="AH251" s="152"/>
      <c r="AI251" s="152"/>
      <c r="AJ251" s="152"/>
      <c r="AK251" s="152"/>
      <c r="BS251" s="120"/>
      <c r="BT251" s="120"/>
      <c r="BU251" s="120"/>
      <c r="BV251" s="120"/>
      <c r="BW251" s="120"/>
      <c r="BX251" s="120"/>
      <c r="BY251" s="120"/>
      <c r="BZ251" s="120"/>
      <c r="CA251" s="120"/>
      <c r="CB251" s="120"/>
      <c r="CC251" s="120"/>
      <c r="CD251" s="120"/>
      <c r="CE251" s="120"/>
    </row>
    <row r="252" ht="18.75" customHeight="1">
      <c r="C252" s="64"/>
      <c r="E252" s="64"/>
      <c r="F252" s="64"/>
      <c r="G252" s="64"/>
      <c r="AH252" s="152"/>
      <c r="AI252" s="152"/>
      <c r="AJ252" s="152"/>
      <c r="AK252" s="152"/>
      <c r="BS252" s="120"/>
      <c r="BT252" s="120"/>
      <c r="BU252" s="120"/>
      <c r="BV252" s="120"/>
      <c r="BW252" s="120"/>
      <c r="BX252" s="120"/>
      <c r="BY252" s="120"/>
      <c r="BZ252" s="120"/>
      <c r="CA252" s="120"/>
      <c r="CB252" s="120"/>
      <c r="CC252" s="120"/>
      <c r="CD252" s="120"/>
      <c r="CE252" s="120"/>
    </row>
    <row r="253" ht="18.75" customHeight="1">
      <c r="C253" s="64"/>
      <c r="E253" s="64"/>
      <c r="F253" s="64"/>
      <c r="G253" s="64"/>
      <c r="AH253" s="152"/>
      <c r="AI253" s="152"/>
      <c r="AJ253" s="152"/>
      <c r="AK253" s="152"/>
      <c r="BS253" s="120"/>
      <c r="BT253" s="120"/>
      <c r="BU253" s="120"/>
      <c r="BV253" s="120"/>
      <c r="BW253" s="120"/>
      <c r="BX253" s="120"/>
      <c r="BY253" s="120"/>
      <c r="BZ253" s="120"/>
      <c r="CA253" s="120"/>
      <c r="CB253" s="120"/>
      <c r="CC253" s="120"/>
      <c r="CD253" s="120"/>
      <c r="CE253" s="120"/>
    </row>
    <row r="254" ht="18.75" customHeight="1">
      <c r="C254" s="64"/>
      <c r="E254" s="64"/>
      <c r="F254" s="64"/>
      <c r="G254" s="64"/>
      <c r="AH254" s="152"/>
      <c r="AI254" s="152"/>
      <c r="AJ254" s="152"/>
      <c r="AK254" s="152"/>
      <c r="BS254" s="120"/>
      <c r="BT254" s="120"/>
      <c r="BU254" s="120"/>
      <c r="BV254" s="120"/>
      <c r="BW254" s="120"/>
      <c r="BX254" s="120"/>
      <c r="BY254" s="120"/>
      <c r="BZ254" s="120"/>
      <c r="CA254" s="120"/>
      <c r="CB254" s="120"/>
      <c r="CC254" s="120"/>
      <c r="CD254" s="120"/>
      <c r="CE254" s="120"/>
    </row>
    <row r="255" ht="18.75" customHeight="1">
      <c r="C255" s="64"/>
      <c r="E255" s="64"/>
      <c r="F255" s="64"/>
      <c r="G255" s="64"/>
      <c r="AH255" s="152"/>
      <c r="AI255" s="152"/>
      <c r="AJ255" s="152"/>
      <c r="AK255" s="152"/>
      <c r="BS255" s="120"/>
      <c r="BT255" s="120"/>
      <c r="BU255" s="120"/>
      <c r="BV255" s="120"/>
      <c r="BW255" s="120"/>
      <c r="BX255" s="120"/>
      <c r="BY255" s="120"/>
      <c r="BZ255" s="120"/>
      <c r="CA255" s="120"/>
      <c r="CB255" s="120"/>
      <c r="CC255" s="120"/>
      <c r="CD255" s="120"/>
      <c r="CE255" s="120"/>
    </row>
    <row r="256" ht="18.75" customHeight="1">
      <c r="C256" s="64"/>
      <c r="E256" s="64"/>
      <c r="F256" s="64"/>
      <c r="G256" s="64"/>
      <c r="AH256" s="152"/>
      <c r="AI256" s="152"/>
      <c r="AJ256" s="152"/>
      <c r="AK256" s="152"/>
      <c r="BS256" s="120"/>
      <c r="BT256" s="120"/>
      <c r="BU256" s="120"/>
      <c r="BV256" s="120"/>
      <c r="BW256" s="120"/>
      <c r="BX256" s="120"/>
      <c r="BY256" s="120"/>
      <c r="BZ256" s="120"/>
      <c r="CA256" s="120"/>
      <c r="CB256" s="120"/>
      <c r="CC256" s="120"/>
      <c r="CD256" s="120"/>
      <c r="CE256" s="120"/>
    </row>
    <row r="257" ht="18.75" customHeight="1">
      <c r="C257" s="64"/>
      <c r="E257" s="64"/>
      <c r="F257" s="64"/>
      <c r="G257" s="64"/>
      <c r="AH257" s="152"/>
      <c r="AI257" s="152"/>
      <c r="AJ257" s="152"/>
      <c r="AK257" s="152"/>
      <c r="BS257" s="120"/>
      <c r="BT257" s="120"/>
      <c r="BU257" s="120"/>
      <c r="BV257" s="120"/>
      <c r="BW257" s="120"/>
      <c r="BX257" s="120"/>
      <c r="BY257" s="120"/>
      <c r="BZ257" s="120"/>
      <c r="CA257" s="120"/>
      <c r="CB257" s="120"/>
      <c r="CC257" s="120"/>
      <c r="CD257" s="120"/>
      <c r="CE257" s="120"/>
    </row>
    <row r="258" ht="18.75" customHeight="1">
      <c r="C258" s="64"/>
      <c r="E258" s="64"/>
      <c r="F258" s="64"/>
      <c r="G258" s="64"/>
      <c r="AH258" s="152"/>
      <c r="AI258" s="152"/>
      <c r="AJ258" s="152"/>
      <c r="AK258" s="152"/>
      <c r="BS258" s="120"/>
      <c r="BT258" s="120"/>
      <c r="BU258" s="120"/>
      <c r="BV258" s="120"/>
      <c r="BW258" s="120"/>
      <c r="BX258" s="120"/>
      <c r="BY258" s="120"/>
      <c r="BZ258" s="120"/>
      <c r="CA258" s="120"/>
      <c r="CB258" s="120"/>
      <c r="CC258" s="120"/>
      <c r="CD258" s="120"/>
      <c r="CE258" s="120"/>
    </row>
    <row r="259" ht="18.75" customHeight="1">
      <c r="C259" s="64"/>
      <c r="E259" s="64"/>
      <c r="F259" s="64"/>
      <c r="G259" s="64"/>
      <c r="AH259" s="152"/>
      <c r="AI259" s="152"/>
      <c r="AJ259" s="152"/>
      <c r="AK259" s="152"/>
      <c r="BS259" s="120"/>
      <c r="BT259" s="120"/>
      <c r="BU259" s="120"/>
      <c r="BV259" s="120"/>
      <c r="BW259" s="120"/>
      <c r="BX259" s="120"/>
      <c r="BY259" s="120"/>
      <c r="BZ259" s="120"/>
      <c r="CA259" s="120"/>
      <c r="CB259" s="120"/>
      <c r="CC259" s="120"/>
      <c r="CD259" s="120"/>
      <c r="CE259" s="120"/>
    </row>
    <row r="260" ht="18.75" customHeight="1">
      <c r="C260" s="64"/>
      <c r="E260" s="64"/>
      <c r="F260" s="64"/>
      <c r="G260" s="64"/>
      <c r="AH260" s="152"/>
      <c r="AI260" s="152"/>
      <c r="AJ260" s="152"/>
      <c r="AK260" s="152"/>
      <c r="BS260" s="120"/>
      <c r="BT260" s="120"/>
      <c r="BU260" s="120"/>
      <c r="BV260" s="120"/>
      <c r="BW260" s="120"/>
      <c r="BX260" s="120"/>
      <c r="BY260" s="120"/>
      <c r="BZ260" s="120"/>
      <c r="CA260" s="120"/>
      <c r="CB260" s="120"/>
      <c r="CC260" s="120"/>
      <c r="CD260" s="120"/>
      <c r="CE260" s="120"/>
    </row>
    <row r="261" ht="18.75" customHeight="1">
      <c r="C261" s="64"/>
      <c r="E261" s="64"/>
      <c r="F261" s="64"/>
      <c r="G261" s="64"/>
      <c r="AH261" s="152"/>
      <c r="AI261" s="152"/>
      <c r="AJ261" s="152"/>
      <c r="AK261" s="152"/>
      <c r="BS261" s="120"/>
      <c r="BT261" s="120"/>
      <c r="BU261" s="120"/>
      <c r="BV261" s="120"/>
      <c r="BW261" s="120"/>
      <c r="BX261" s="120"/>
      <c r="BY261" s="120"/>
      <c r="BZ261" s="120"/>
      <c r="CA261" s="120"/>
      <c r="CB261" s="120"/>
      <c r="CC261" s="120"/>
      <c r="CD261" s="120"/>
      <c r="CE261" s="120"/>
    </row>
    <row r="262" ht="18.75" customHeight="1">
      <c r="C262" s="64"/>
      <c r="E262" s="64"/>
      <c r="F262" s="64"/>
      <c r="G262" s="64"/>
      <c r="AH262" s="152"/>
      <c r="AI262" s="152"/>
      <c r="AJ262" s="152"/>
      <c r="AK262" s="152"/>
      <c r="BS262" s="120"/>
      <c r="BT262" s="120"/>
      <c r="BU262" s="120"/>
      <c r="BV262" s="120"/>
      <c r="BW262" s="120"/>
      <c r="BX262" s="120"/>
      <c r="BY262" s="120"/>
      <c r="BZ262" s="120"/>
      <c r="CA262" s="120"/>
      <c r="CB262" s="120"/>
      <c r="CC262" s="120"/>
      <c r="CD262" s="120"/>
      <c r="CE262" s="120"/>
    </row>
    <row r="263" ht="18.75" customHeight="1">
      <c r="C263" s="64"/>
      <c r="E263" s="64"/>
      <c r="F263" s="64"/>
      <c r="G263" s="64"/>
      <c r="AH263" s="152"/>
      <c r="AI263" s="152"/>
      <c r="AJ263" s="152"/>
      <c r="AK263" s="152"/>
      <c r="BS263" s="120"/>
      <c r="BT263" s="120"/>
      <c r="BU263" s="120"/>
      <c r="BV263" s="120"/>
      <c r="BW263" s="120"/>
      <c r="BX263" s="120"/>
      <c r="BY263" s="120"/>
      <c r="BZ263" s="120"/>
      <c r="CA263" s="120"/>
      <c r="CB263" s="120"/>
      <c r="CC263" s="120"/>
      <c r="CD263" s="120"/>
      <c r="CE263" s="120"/>
    </row>
    <row r="264" ht="18.75" customHeight="1">
      <c r="C264" s="64"/>
      <c r="E264" s="64"/>
      <c r="F264" s="64"/>
      <c r="G264" s="64"/>
      <c r="AH264" s="152"/>
      <c r="AI264" s="152"/>
      <c r="AJ264" s="152"/>
      <c r="AK264" s="152"/>
      <c r="BS264" s="120"/>
      <c r="BT264" s="120"/>
      <c r="BU264" s="120"/>
      <c r="BV264" s="120"/>
      <c r="BW264" s="120"/>
      <c r="BX264" s="120"/>
      <c r="BY264" s="120"/>
      <c r="BZ264" s="120"/>
      <c r="CA264" s="120"/>
      <c r="CB264" s="120"/>
      <c r="CC264" s="120"/>
      <c r="CD264" s="120"/>
      <c r="CE264" s="120"/>
    </row>
    <row r="265" ht="18.75" customHeight="1">
      <c r="C265" s="64"/>
      <c r="E265" s="64"/>
      <c r="F265" s="64"/>
      <c r="G265" s="64"/>
      <c r="AH265" s="152"/>
      <c r="AI265" s="152"/>
      <c r="AJ265" s="152"/>
      <c r="AK265" s="152"/>
      <c r="BS265" s="120"/>
      <c r="BT265" s="120"/>
      <c r="BU265" s="120"/>
      <c r="BV265" s="120"/>
      <c r="BW265" s="120"/>
      <c r="BX265" s="120"/>
      <c r="BY265" s="120"/>
      <c r="BZ265" s="120"/>
      <c r="CA265" s="120"/>
      <c r="CB265" s="120"/>
      <c r="CC265" s="120"/>
      <c r="CD265" s="120"/>
      <c r="CE265" s="120"/>
    </row>
    <row r="266" ht="18.75" customHeight="1">
      <c r="C266" s="64"/>
      <c r="E266" s="64"/>
      <c r="F266" s="64"/>
      <c r="G266" s="64"/>
      <c r="AH266" s="152"/>
      <c r="AI266" s="152"/>
      <c r="AJ266" s="152"/>
      <c r="AK266" s="152"/>
      <c r="BS266" s="120"/>
      <c r="BT266" s="120"/>
      <c r="BU266" s="120"/>
      <c r="BV266" s="120"/>
      <c r="BW266" s="120"/>
      <c r="BX266" s="120"/>
      <c r="BY266" s="120"/>
      <c r="BZ266" s="120"/>
      <c r="CA266" s="120"/>
      <c r="CB266" s="120"/>
      <c r="CC266" s="120"/>
      <c r="CD266" s="120"/>
      <c r="CE266" s="120"/>
    </row>
    <row r="267" ht="18.75" customHeight="1">
      <c r="C267" s="64"/>
      <c r="E267" s="64"/>
      <c r="F267" s="64"/>
      <c r="G267" s="64"/>
      <c r="AH267" s="152"/>
      <c r="AI267" s="152"/>
      <c r="AJ267" s="152"/>
      <c r="AK267" s="152"/>
      <c r="BS267" s="120"/>
      <c r="BT267" s="120"/>
      <c r="BU267" s="120"/>
      <c r="BV267" s="120"/>
      <c r="BW267" s="120"/>
      <c r="BX267" s="120"/>
      <c r="BY267" s="120"/>
      <c r="BZ267" s="120"/>
      <c r="CA267" s="120"/>
      <c r="CB267" s="120"/>
      <c r="CC267" s="120"/>
      <c r="CD267" s="120"/>
      <c r="CE267" s="120"/>
    </row>
    <row r="268" ht="18.75" customHeight="1">
      <c r="C268" s="64"/>
      <c r="E268" s="64"/>
      <c r="F268" s="64"/>
      <c r="G268" s="64"/>
      <c r="AH268" s="152"/>
      <c r="AI268" s="152"/>
      <c r="AJ268" s="152"/>
      <c r="AK268" s="152"/>
      <c r="BS268" s="120"/>
      <c r="BT268" s="120"/>
      <c r="BU268" s="120"/>
      <c r="BV268" s="120"/>
      <c r="BW268" s="120"/>
      <c r="BX268" s="120"/>
      <c r="BY268" s="120"/>
      <c r="BZ268" s="120"/>
      <c r="CA268" s="120"/>
      <c r="CB268" s="120"/>
      <c r="CC268" s="120"/>
      <c r="CD268" s="120"/>
      <c r="CE268" s="120"/>
    </row>
    <row r="269" ht="18.75" customHeight="1">
      <c r="C269" s="64"/>
      <c r="E269" s="64"/>
      <c r="F269" s="64"/>
      <c r="G269" s="64"/>
      <c r="AH269" s="152"/>
      <c r="AI269" s="152"/>
      <c r="AJ269" s="152"/>
      <c r="AK269" s="152"/>
      <c r="BS269" s="120"/>
      <c r="BT269" s="120"/>
      <c r="BU269" s="120"/>
      <c r="BV269" s="120"/>
      <c r="BW269" s="120"/>
      <c r="BX269" s="120"/>
      <c r="BY269" s="120"/>
      <c r="BZ269" s="120"/>
      <c r="CA269" s="120"/>
      <c r="CB269" s="120"/>
      <c r="CC269" s="120"/>
      <c r="CD269" s="120"/>
      <c r="CE269" s="120"/>
    </row>
    <row r="270" ht="18.75" customHeight="1">
      <c r="C270" s="64"/>
      <c r="E270" s="64"/>
      <c r="F270" s="64"/>
      <c r="G270" s="64"/>
      <c r="AH270" s="152"/>
      <c r="AI270" s="152"/>
      <c r="AJ270" s="152"/>
      <c r="AK270" s="152"/>
      <c r="BS270" s="120"/>
      <c r="BT270" s="120"/>
      <c r="BU270" s="120"/>
      <c r="BV270" s="120"/>
      <c r="BW270" s="120"/>
      <c r="BX270" s="120"/>
      <c r="BY270" s="120"/>
      <c r="BZ270" s="120"/>
      <c r="CA270" s="120"/>
      <c r="CB270" s="120"/>
      <c r="CC270" s="120"/>
      <c r="CD270" s="120"/>
      <c r="CE270" s="120"/>
    </row>
    <row r="271" ht="18.75" customHeight="1">
      <c r="C271" s="64"/>
      <c r="E271" s="64"/>
      <c r="F271" s="64"/>
      <c r="G271" s="64"/>
      <c r="AH271" s="152"/>
      <c r="AI271" s="152"/>
      <c r="AJ271" s="152"/>
      <c r="AK271" s="152"/>
      <c r="BS271" s="120"/>
      <c r="BT271" s="120"/>
      <c r="BU271" s="120"/>
      <c r="BV271" s="120"/>
      <c r="BW271" s="120"/>
      <c r="BX271" s="120"/>
      <c r="BY271" s="120"/>
      <c r="BZ271" s="120"/>
      <c r="CA271" s="120"/>
      <c r="CB271" s="120"/>
      <c r="CC271" s="120"/>
      <c r="CD271" s="120"/>
      <c r="CE271" s="120"/>
    </row>
    <row r="272" ht="18.75" customHeight="1">
      <c r="C272" s="64"/>
      <c r="E272" s="64"/>
      <c r="F272" s="64"/>
      <c r="G272" s="64"/>
      <c r="AH272" s="152"/>
      <c r="AI272" s="152"/>
      <c r="AJ272" s="152"/>
      <c r="AK272" s="152"/>
      <c r="BS272" s="120"/>
      <c r="BT272" s="120"/>
      <c r="BU272" s="120"/>
      <c r="BV272" s="120"/>
      <c r="BW272" s="120"/>
      <c r="BX272" s="120"/>
      <c r="BY272" s="120"/>
      <c r="BZ272" s="120"/>
      <c r="CA272" s="120"/>
      <c r="CB272" s="120"/>
      <c r="CC272" s="120"/>
      <c r="CD272" s="120"/>
      <c r="CE272" s="120"/>
    </row>
    <row r="273" ht="18.75" customHeight="1">
      <c r="C273" s="64"/>
      <c r="E273" s="64"/>
      <c r="F273" s="64"/>
      <c r="G273" s="64"/>
      <c r="AH273" s="152"/>
      <c r="AI273" s="152"/>
      <c r="AJ273" s="152"/>
      <c r="AK273" s="152"/>
      <c r="BS273" s="120"/>
      <c r="BT273" s="120"/>
      <c r="BU273" s="120"/>
      <c r="BV273" s="120"/>
      <c r="BW273" s="120"/>
      <c r="BX273" s="120"/>
      <c r="BY273" s="120"/>
      <c r="BZ273" s="120"/>
      <c r="CA273" s="120"/>
      <c r="CB273" s="120"/>
      <c r="CC273" s="120"/>
      <c r="CD273" s="120"/>
      <c r="CE273" s="120"/>
    </row>
    <row r="274" ht="18.75" customHeight="1">
      <c r="C274" s="64"/>
      <c r="E274" s="64"/>
      <c r="F274" s="64"/>
      <c r="G274" s="64"/>
      <c r="AH274" s="152"/>
      <c r="AI274" s="152"/>
      <c r="AJ274" s="152"/>
      <c r="AK274" s="152"/>
      <c r="BS274" s="120"/>
      <c r="BT274" s="120"/>
      <c r="BU274" s="120"/>
      <c r="BV274" s="120"/>
      <c r="BW274" s="120"/>
      <c r="BX274" s="120"/>
      <c r="BY274" s="120"/>
      <c r="BZ274" s="120"/>
      <c r="CA274" s="120"/>
      <c r="CB274" s="120"/>
      <c r="CC274" s="120"/>
      <c r="CD274" s="120"/>
      <c r="CE274" s="120"/>
    </row>
    <row r="275" ht="18.75" customHeight="1">
      <c r="C275" s="64"/>
      <c r="E275" s="64"/>
      <c r="F275" s="64"/>
      <c r="G275" s="64"/>
      <c r="AH275" s="152"/>
      <c r="AI275" s="152"/>
      <c r="AJ275" s="152"/>
      <c r="AK275" s="152"/>
      <c r="BS275" s="120"/>
      <c r="BT275" s="120"/>
      <c r="BU275" s="120"/>
      <c r="BV275" s="120"/>
      <c r="BW275" s="120"/>
      <c r="BX275" s="120"/>
      <c r="BY275" s="120"/>
      <c r="BZ275" s="120"/>
      <c r="CA275" s="120"/>
      <c r="CB275" s="120"/>
      <c r="CC275" s="120"/>
      <c r="CD275" s="120"/>
      <c r="CE275" s="120"/>
    </row>
    <row r="276" ht="18.75" customHeight="1">
      <c r="C276" s="64"/>
      <c r="E276" s="64"/>
      <c r="F276" s="64"/>
      <c r="G276" s="64"/>
      <c r="AH276" s="152"/>
      <c r="AI276" s="152"/>
      <c r="AJ276" s="152"/>
      <c r="AK276" s="152"/>
      <c r="BS276" s="120"/>
      <c r="BT276" s="120"/>
      <c r="BU276" s="120"/>
      <c r="BV276" s="120"/>
      <c r="BW276" s="120"/>
      <c r="BX276" s="120"/>
      <c r="BY276" s="120"/>
      <c r="BZ276" s="120"/>
      <c r="CA276" s="120"/>
      <c r="CB276" s="120"/>
      <c r="CC276" s="120"/>
      <c r="CD276" s="120"/>
      <c r="CE276" s="120"/>
    </row>
    <row r="277" ht="18.75" customHeight="1">
      <c r="C277" s="64"/>
      <c r="E277" s="64"/>
      <c r="F277" s="64"/>
      <c r="G277" s="64"/>
      <c r="AH277" s="152"/>
      <c r="AI277" s="152"/>
      <c r="AJ277" s="152"/>
      <c r="AK277" s="152"/>
      <c r="BS277" s="120"/>
      <c r="BT277" s="120"/>
      <c r="BU277" s="120"/>
      <c r="BV277" s="120"/>
      <c r="BW277" s="120"/>
      <c r="BX277" s="120"/>
      <c r="BY277" s="120"/>
      <c r="BZ277" s="120"/>
      <c r="CA277" s="120"/>
      <c r="CB277" s="120"/>
      <c r="CC277" s="120"/>
      <c r="CD277" s="120"/>
      <c r="CE277" s="120"/>
    </row>
    <row r="278" ht="18.75" customHeight="1">
      <c r="C278" s="64"/>
      <c r="E278" s="64"/>
      <c r="F278" s="64"/>
      <c r="G278" s="64"/>
      <c r="AH278" s="152"/>
      <c r="AI278" s="152"/>
      <c r="AJ278" s="152"/>
      <c r="AK278" s="152"/>
      <c r="BS278" s="120"/>
      <c r="BT278" s="120"/>
      <c r="BU278" s="120"/>
      <c r="BV278" s="120"/>
      <c r="BW278" s="120"/>
      <c r="BX278" s="120"/>
      <c r="BY278" s="120"/>
      <c r="BZ278" s="120"/>
      <c r="CA278" s="120"/>
      <c r="CB278" s="120"/>
      <c r="CC278" s="120"/>
      <c r="CD278" s="120"/>
      <c r="CE278" s="120"/>
    </row>
    <row r="279" ht="18.75" customHeight="1">
      <c r="C279" s="64"/>
      <c r="E279" s="64"/>
      <c r="F279" s="64"/>
      <c r="G279" s="64"/>
      <c r="AH279" s="152"/>
      <c r="AI279" s="152"/>
      <c r="AJ279" s="152"/>
      <c r="AK279" s="152"/>
      <c r="BS279" s="120"/>
      <c r="BT279" s="120"/>
      <c r="BU279" s="120"/>
      <c r="BV279" s="120"/>
      <c r="BW279" s="120"/>
      <c r="BX279" s="120"/>
      <c r="BY279" s="120"/>
      <c r="BZ279" s="120"/>
      <c r="CA279" s="120"/>
      <c r="CB279" s="120"/>
      <c r="CC279" s="120"/>
      <c r="CD279" s="120"/>
      <c r="CE279" s="120"/>
    </row>
    <row r="280" ht="18.75" customHeight="1">
      <c r="C280" s="64"/>
      <c r="E280" s="64"/>
      <c r="F280" s="64"/>
      <c r="G280" s="64"/>
      <c r="AH280" s="152"/>
      <c r="AI280" s="152"/>
      <c r="AJ280" s="152"/>
      <c r="AK280" s="152"/>
      <c r="BS280" s="120"/>
      <c r="BT280" s="120"/>
      <c r="BU280" s="120"/>
      <c r="BV280" s="120"/>
      <c r="BW280" s="120"/>
      <c r="BX280" s="120"/>
      <c r="BY280" s="120"/>
      <c r="BZ280" s="120"/>
      <c r="CA280" s="120"/>
      <c r="CB280" s="120"/>
      <c r="CC280" s="120"/>
      <c r="CD280" s="120"/>
      <c r="CE280" s="120"/>
    </row>
    <row r="281" ht="18.75" customHeight="1">
      <c r="C281" s="64"/>
      <c r="E281" s="64"/>
      <c r="F281" s="64"/>
      <c r="G281" s="64"/>
      <c r="AH281" s="152"/>
      <c r="AI281" s="152"/>
      <c r="AJ281" s="152"/>
      <c r="AK281" s="152"/>
      <c r="BS281" s="120"/>
      <c r="BT281" s="120"/>
      <c r="BU281" s="120"/>
      <c r="BV281" s="120"/>
      <c r="BW281" s="120"/>
      <c r="BX281" s="120"/>
      <c r="BY281" s="120"/>
      <c r="BZ281" s="120"/>
      <c r="CA281" s="120"/>
      <c r="CB281" s="120"/>
      <c r="CC281" s="120"/>
      <c r="CD281" s="120"/>
      <c r="CE281" s="120"/>
    </row>
    <row r="282" ht="18.75" customHeight="1">
      <c r="C282" s="64"/>
      <c r="E282" s="64"/>
      <c r="F282" s="64"/>
      <c r="G282" s="64"/>
      <c r="AH282" s="152"/>
      <c r="AI282" s="152"/>
      <c r="AJ282" s="152"/>
      <c r="AK282" s="152"/>
      <c r="BS282" s="120"/>
      <c r="BT282" s="120"/>
      <c r="BU282" s="120"/>
      <c r="BV282" s="120"/>
      <c r="BW282" s="120"/>
      <c r="BX282" s="120"/>
      <c r="BY282" s="120"/>
      <c r="BZ282" s="120"/>
      <c r="CA282" s="120"/>
      <c r="CB282" s="120"/>
      <c r="CC282" s="120"/>
      <c r="CD282" s="120"/>
      <c r="CE282" s="120"/>
    </row>
    <row r="283" ht="18.75" customHeight="1">
      <c r="C283" s="64"/>
      <c r="E283" s="64"/>
      <c r="F283" s="64"/>
      <c r="G283" s="64"/>
      <c r="AH283" s="152"/>
      <c r="AI283" s="152"/>
      <c r="AJ283" s="152"/>
      <c r="AK283" s="152"/>
      <c r="BS283" s="120"/>
      <c r="BT283" s="120"/>
      <c r="BU283" s="120"/>
      <c r="BV283" s="120"/>
      <c r="BW283" s="120"/>
      <c r="BX283" s="120"/>
      <c r="BY283" s="120"/>
      <c r="BZ283" s="120"/>
      <c r="CA283" s="120"/>
      <c r="CB283" s="120"/>
      <c r="CC283" s="120"/>
      <c r="CD283" s="120"/>
      <c r="CE283" s="120"/>
    </row>
    <row r="284" ht="18.75" customHeight="1">
      <c r="C284" s="64"/>
      <c r="E284" s="64"/>
      <c r="F284" s="64"/>
      <c r="G284" s="64"/>
      <c r="AH284" s="152"/>
      <c r="AI284" s="152"/>
      <c r="AJ284" s="152"/>
      <c r="AK284" s="152"/>
      <c r="BS284" s="120"/>
      <c r="BT284" s="120"/>
      <c r="BU284" s="120"/>
      <c r="BV284" s="120"/>
      <c r="BW284" s="120"/>
      <c r="BX284" s="120"/>
      <c r="BY284" s="120"/>
      <c r="BZ284" s="120"/>
      <c r="CA284" s="120"/>
      <c r="CB284" s="120"/>
      <c r="CC284" s="120"/>
      <c r="CD284" s="120"/>
      <c r="CE284" s="120"/>
    </row>
    <row r="285" ht="18.75" customHeight="1">
      <c r="C285" s="64"/>
      <c r="E285" s="64"/>
      <c r="F285" s="64"/>
      <c r="G285" s="64"/>
      <c r="AH285" s="152"/>
      <c r="AI285" s="152"/>
      <c r="AJ285" s="152"/>
      <c r="AK285" s="152"/>
      <c r="BS285" s="120"/>
      <c r="BT285" s="120"/>
      <c r="BU285" s="120"/>
      <c r="BV285" s="120"/>
      <c r="BW285" s="120"/>
      <c r="BX285" s="120"/>
      <c r="BY285" s="120"/>
      <c r="BZ285" s="120"/>
      <c r="CA285" s="120"/>
      <c r="CB285" s="120"/>
      <c r="CC285" s="120"/>
      <c r="CD285" s="120"/>
      <c r="CE285" s="120"/>
    </row>
    <row r="286" ht="18.75" customHeight="1">
      <c r="C286" s="64"/>
      <c r="E286" s="64"/>
      <c r="F286" s="64"/>
      <c r="G286" s="64"/>
      <c r="AH286" s="152"/>
      <c r="AI286" s="152"/>
      <c r="AJ286" s="152"/>
      <c r="AK286" s="152"/>
      <c r="BS286" s="120"/>
      <c r="BT286" s="120"/>
      <c r="BU286" s="120"/>
      <c r="BV286" s="120"/>
      <c r="BW286" s="120"/>
      <c r="BX286" s="120"/>
      <c r="BY286" s="120"/>
      <c r="BZ286" s="120"/>
      <c r="CA286" s="120"/>
      <c r="CB286" s="120"/>
      <c r="CC286" s="120"/>
      <c r="CD286" s="120"/>
      <c r="CE286" s="120"/>
    </row>
    <row r="287" ht="18.75" customHeight="1">
      <c r="C287" s="64"/>
      <c r="E287" s="64"/>
      <c r="F287" s="64"/>
      <c r="G287" s="64"/>
      <c r="AH287" s="152"/>
      <c r="AI287" s="152"/>
      <c r="AJ287" s="152"/>
      <c r="AK287" s="152"/>
      <c r="BS287" s="120"/>
      <c r="BT287" s="120"/>
      <c r="BU287" s="120"/>
      <c r="BV287" s="120"/>
      <c r="BW287" s="120"/>
      <c r="BX287" s="120"/>
      <c r="BY287" s="120"/>
      <c r="BZ287" s="120"/>
      <c r="CA287" s="120"/>
      <c r="CB287" s="120"/>
      <c r="CC287" s="120"/>
      <c r="CD287" s="120"/>
      <c r="CE287" s="120"/>
    </row>
    <row r="288" ht="18.75" customHeight="1">
      <c r="C288" s="64"/>
      <c r="E288" s="64"/>
      <c r="F288" s="64"/>
      <c r="G288" s="64"/>
      <c r="AH288" s="152"/>
      <c r="AI288" s="152"/>
      <c r="AJ288" s="152"/>
      <c r="AK288" s="152"/>
      <c r="BS288" s="120"/>
      <c r="BT288" s="120"/>
      <c r="BU288" s="120"/>
      <c r="BV288" s="120"/>
      <c r="BW288" s="120"/>
      <c r="BX288" s="120"/>
      <c r="BY288" s="120"/>
      <c r="BZ288" s="120"/>
      <c r="CA288" s="120"/>
      <c r="CB288" s="120"/>
      <c r="CC288" s="120"/>
      <c r="CD288" s="120"/>
      <c r="CE288" s="120"/>
    </row>
    <row r="289" ht="18.75" customHeight="1">
      <c r="C289" s="64"/>
      <c r="E289" s="64"/>
      <c r="F289" s="64"/>
      <c r="G289" s="64"/>
      <c r="AH289" s="152"/>
      <c r="AI289" s="152"/>
      <c r="AJ289" s="152"/>
      <c r="AK289" s="152"/>
      <c r="BS289" s="120"/>
      <c r="BT289" s="120"/>
      <c r="BU289" s="120"/>
      <c r="BV289" s="120"/>
      <c r="BW289" s="120"/>
      <c r="BX289" s="120"/>
      <c r="BY289" s="120"/>
      <c r="BZ289" s="120"/>
      <c r="CA289" s="120"/>
      <c r="CB289" s="120"/>
      <c r="CC289" s="120"/>
      <c r="CD289" s="120"/>
      <c r="CE289" s="120"/>
    </row>
    <row r="290" ht="18.75" customHeight="1">
      <c r="C290" s="64"/>
      <c r="E290" s="64"/>
      <c r="F290" s="64"/>
      <c r="G290" s="64"/>
      <c r="AH290" s="152"/>
      <c r="AI290" s="152"/>
      <c r="AJ290" s="152"/>
      <c r="AK290" s="152"/>
      <c r="BS290" s="120"/>
      <c r="BT290" s="120"/>
      <c r="BU290" s="120"/>
      <c r="BV290" s="120"/>
      <c r="BW290" s="120"/>
      <c r="BX290" s="120"/>
      <c r="BY290" s="120"/>
      <c r="BZ290" s="120"/>
      <c r="CA290" s="120"/>
      <c r="CB290" s="120"/>
      <c r="CC290" s="120"/>
      <c r="CD290" s="120"/>
      <c r="CE290" s="120"/>
    </row>
    <row r="291" ht="18.75" customHeight="1">
      <c r="C291" s="64"/>
      <c r="E291" s="64"/>
      <c r="F291" s="64"/>
      <c r="G291" s="64"/>
      <c r="AH291" s="152"/>
      <c r="AI291" s="152"/>
      <c r="AJ291" s="152"/>
      <c r="AK291" s="152"/>
      <c r="BS291" s="120"/>
      <c r="BT291" s="120"/>
      <c r="BU291" s="120"/>
      <c r="BV291" s="120"/>
      <c r="BW291" s="120"/>
      <c r="BX291" s="120"/>
      <c r="BY291" s="120"/>
      <c r="BZ291" s="120"/>
      <c r="CA291" s="120"/>
      <c r="CB291" s="120"/>
      <c r="CC291" s="120"/>
      <c r="CD291" s="120"/>
      <c r="CE291" s="120"/>
    </row>
    <row r="292" ht="18.75" customHeight="1">
      <c r="C292" s="64"/>
      <c r="E292" s="64"/>
      <c r="F292" s="64"/>
      <c r="G292" s="64"/>
      <c r="AH292" s="152"/>
      <c r="AI292" s="152"/>
      <c r="AJ292" s="152"/>
      <c r="AK292" s="152"/>
      <c r="BS292" s="120"/>
      <c r="BT292" s="120"/>
      <c r="BU292" s="120"/>
      <c r="BV292" s="120"/>
      <c r="BW292" s="120"/>
      <c r="BX292" s="120"/>
      <c r="BY292" s="120"/>
      <c r="BZ292" s="120"/>
      <c r="CA292" s="120"/>
      <c r="CB292" s="120"/>
      <c r="CC292" s="120"/>
      <c r="CD292" s="120"/>
      <c r="CE292" s="120"/>
    </row>
    <row r="293" ht="18.75" customHeight="1">
      <c r="C293" s="64"/>
      <c r="E293" s="64"/>
      <c r="F293" s="64"/>
      <c r="G293" s="64"/>
      <c r="AH293" s="152"/>
      <c r="AI293" s="152"/>
      <c r="AJ293" s="152"/>
      <c r="AK293" s="152"/>
      <c r="BS293" s="120"/>
      <c r="BT293" s="120"/>
      <c r="BU293" s="120"/>
      <c r="BV293" s="120"/>
      <c r="BW293" s="120"/>
      <c r="BX293" s="120"/>
      <c r="BY293" s="120"/>
      <c r="BZ293" s="120"/>
      <c r="CA293" s="120"/>
      <c r="CB293" s="120"/>
      <c r="CC293" s="120"/>
      <c r="CD293" s="120"/>
      <c r="CE293" s="120"/>
    </row>
    <row r="294" ht="18.75" customHeight="1">
      <c r="C294" s="64"/>
      <c r="E294" s="64"/>
      <c r="F294" s="64"/>
      <c r="G294" s="64"/>
      <c r="AH294" s="152"/>
      <c r="AI294" s="152"/>
      <c r="AJ294" s="152"/>
      <c r="AK294" s="152"/>
      <c r="BS294" s="120"/>
      <c r="BT294" s="120"/>
      <c r="BU294" s="120"/>
      <c r="BV294" s="120"/>
      <c r="BW294" s="120"/>
      <c r="BX294" s="120"/>
      <c r="BY294" s="120"/>
      <c r="BZ294" s="120"/>
      <c r="CA294" s="120"/>
      <c r="CB294" s="120"/>
      <c r="CC294" s="120"/>
      <c r="CD294" s="120"/>
      <c r="CE294" s="120"/>
    </row>
    <row r="295" ht="18.75" customHeight="1">
      <c r="C295" s="64"/>
      <c r="E295" s="64"/>
      <c r="F295" s="64"/>
      <c r="G295" s="64"/>
      <c r="AH295" s="152"/>
      <c r="AI295" s="152"/>
      <c r="AJ295" s="152"/>
      <c r="AK295" s="152"/>
      <c r="BS295" s="120"/>
      <c r="BT295" s="120"/>
      <c r="BU295" s="120"/>
      <c r="BV295" s="120"/>
      <c r="BW295" s="120"/>
      <c r="BX295" s="120"/>
      <c r="BY295" s="120"/>
      <c r="BZ295" s="120"/>
      <c r="CA295" s="120"/>
      <c r="CB295" s="120"/>
      <c r="CC295" s="120"/>
      <c r="CD295" s="120"/>
      <c r="CE295" s="120"/>
    </row>
    <row r="296" ht="18.75" customHeight="1">
      <c r="C296" s="64"/>
      <c r="E296" s="64"/>
      <c r="F296" s="64"/>
      <c r="G296" s="64"/>
      <c r="AH296" s="152"/>
      <c r="AI296" s="152"/>
      <c r="AJ296" s="152"/>
      <c r="AK296" s="152"/>
      <c r="BS296" s="120"/>
      <c r="BT296" s="120"/>
      <c r="BU296" s="120"/>
      <c r="BV296" s="120"/>
      <c r="BW296" s="120"/>
      <c r="BX296" s="120"/>
      <c r="BY296" s="120"/>
      <c r="BZ296" s="120"/>
      <c r="CA296" s="120"/>
      <c r="CB296" s="120"/>
      <c r="CC296" s="120"/>
      <c r="CD296" s="120"/>
      <c r="CE296" s="120"/>
    </row>
    <row r="297" ht="18.75" customHeight="1">
      <c r="C297" s="64"/>
      <c r="E297" s="64"/>
      <c r="F297" s="64"/>
      <c r="G297" s="64"/>
      <c r="AH297" s="152"/>
      <c r="AI297" s="152"/>
      <c r="AJ297" s="152"/>
      <c r="AK297" s="152"/>
      <c r="BS297" s="120"/>
      <c r="BT297" s="120"/>
      <c r="BU297" s="120"/>
      <c r="BV297" s="120"/>
      <c r="BW297" s="120"/>
      <c r="BX297" s="120"/>
      <c r="BY297" s="120"/>
      <c r="BZ297" s="120"/>
      <c r="CA297" s="120"/>
      <c r="CB297" s="120"/>
      <c r="CC297" s="120"/>
      <c r="CD297" s="120"/>
      <c r="CE297" s="120"/>
    </row>
    <row r="298" ht="18.75" customHeight="1">
      <c r="C298" s="64"/>
      <c r="E298" s="64"/>
      <c r="F298" s="64"/>
      <c r="G298" s="64"/>
      <c r="AH298" s="152"/>
      <c r="AI298" s="152"/>
      <c r="AJ298" s="152"/>
      <c r="AK298" s="152"/>
      <c r="BS298" s="120"/>
      <c r="BT298" s="120"/>
      <c r="BU298" s="120"/>
      <c r="BV298" s="120"/>
      <c r="BW298" s="120"/>
      <c r="BX298" s="120"/>
      <c r="BY298" s="120"/>
      <c r="BZ298" s="120"/>
      <c r="CA298" s="120"/>
      <c r="CB298" s="120"/>
      <c r="CC298" s="120"/>
      <c r="CD298" s="120"/>
      <c r="CE298" s="120"/>
    </row>
    <row r="299" ht="18.75" customHeight="1">
      <c r="C299" s="64"/>
      <c r="E299" s="64"/>
      <c r="F299" s="64"/>
      <c r="G299" s="64"/>
      <c r="AH299" s="152"/>
      <c r="AI299" s="152"/>
      <c r="AJ299" s="152"/>
      <c r="AK299" s="152"/>
      <c r="BS299" s="120"/>
      <c r="BT299" s="120"/>
      <c r="BU299" s="120"/>
      <c r="BV299" s="120"/>
      <c r="BW299" s="120"/>
      <c r="BX299" s="120"/>
      <c r="BY299" s="120"/>
      <c r="BZ299" s="120"/>
      <c r="CA299" s="120"/>
      <c r="CB299" s="120"/>
      <c r="CC299" s="120"/>
      <c r="CD299" s="120"/>
      <c r="CE299" s="120"/>
    </row>
    <row r="300" ht="18.75" customHeight="1">
      <c r="C300" s="64"/>
      <c r="E300" s="64"/>
      <c r="F300" s="64"/>
      <c r="G300" s="64"/>
      <c r="AH300" s="152"/>
      <c r="AI300" s="152"/>
      <c r="AJ300" s="152"/>
      <c r="AK300" s="152"/>
      <c r="BS300" s="120"/>
      <c r="BT300" s="120"/>
      <c r="BU300" s="120"/>
      <c r="BV300" s="120"/>
      <c r="BW300" s="120"/>
      <c r="BX300" s="120"/>
      <c r="BY300" s="120"/>
      <c r="BZ300" s="120"/>
      <c r="CA300" s="120"/>
      <c r="CB300" s="120"/>
      <c r="CC300" s="120"/>
      <c r="CD300" s="120"/>
      <c r="CE300" s="120"/>
    </row>
    <row r="301" ht="18.75" customHeight="1">
      <c r="C301" s="64"/>
      <c r="E301" s="64"/>
      <c r="F301" s="64"/>
      <c r="G301" s="64"/>
      <c r="AH301" s="152"/>
      <c r="AI301" s="152"/>
      <c r="AJ301" s="152"/>
      <c r="AK301" s="152"/>
      <c r="BS301" s="120"/>
      <c r="BT301" s="120"/>
      <c r="BU301" s="120"/>
      <c r="BV301" s="120"/>
      <c r="BW301" s="120"/>
      <c r="BX301" s="120"/>
      <c r="BY301" s="120"/>
      <c r="BZ301" s="120"/>
      <c r="CA301" s="120"/>
      <c r="CB301" s="120"/>
      <c r="CC301" s="120"/>
      <c r="CD301" s="120"/>
      <c r="CE301" s="120"/>
    </row>
    <row r="302" ht="18.75" customHeight="1">
      <c r="C302" s="64"/>
      <c r="E302" s="64"/>
      <c r="F302" s="64"/>
      <c r="G302" s="64"/>
      <c r="AH302" s="152"/>
      <c r="AI302" s="152"/>
      <c r="AJ302" s="152"/>
      <c r="AK302" s="152"/>
      <c r="BS302" s="120"/>
      <c r="BT302" s="120"/>
      <c r="BU302" s="120"/>
      <c r="BV302" s="120"/>
      <c r="BW302" s="120"/>
      <c r="BX302" s="120"/>
      <c r="BY302" s="120"/>
      <c r="BZ302" s="120"/>
      <c r="CA302" s="120"/>
      <c r="CB302" s="120"/>
      <c r="CC302" s="120"/>
      <c r="CD302" s="120"/>
      <c r="CE302" s="120"/>
    </row>
    <row r="303" ht="18.75" customHeight="1">
      <c r="C303" s="64"/>
      <c r="E303" s="64"/>
      <c r="F303" s="64"/>
      <c r="G303" s="64"/>
      <c r="AH303" s="152"/>
      <c r="AI303" s="152"/>
      <c r="AJ303" s="152"/>
      <c r="AK303" s="152"/>
      <c r="BS303" s="120"/>
      <c r="BT303" s="120"/>
      <c r="BU303" s="120"/>
      <c r="BV303" s="120"/>
      <c r="BW303" s="120"/>
      <c r="BX303" s="120"/>
      <c r="BY303" s="120"/>
      <c r="BZ303" s="120"/>
      <c r="CA303" s="120"/>
      <c r="CB303" s="120"/>
      <c r="CC303" s="120"/>
      <c r="CD303" s="120"/>
      <c r="CE303" s="120"/>
    </row>
    <row r="304" ht="18.75" customHeight="1">
      <c r="C304" s="64"/>
      <c r="E304" s="64"/>
      <c r="F304" s="64"/>
      <c r="G304" s="64"/>
      <c r="AH304" s="152"/>
      <c r="AI304" s="152"/>
      <c r="AJ304" s="152"/>
      <c r="AK304" s="152"/>
      <c r="BS304" s="120"/>
      <c r="BT304" s="120"/>
      <c r="BU304" s="120"/>
      <c r="BV304" s="120"/>
      <c r="BW304" s="120"/>
      <c r="BX304" s="120"/>
      <c r="BY304" s="120"/>
      <c r="BZ304" s="120"/>
      <c r="CA304" s="120"/>
      <c r="CB304" s="120"/>
      <c r="CC304" s="120"/>
      <c r="CD304" s="120"/>
      <c r="CE304" s="120"/>
    </row>
    <row r="305" ht="18.75" customHeight="1">
      <c r="C305" s="64"/>
      <c r="E305" s="64"/>
      <c r="F305" s="64"/>
      <c r="G305" s="64"/>
      <c r="AH305" s="152"/>
      <c r="AI305" s="152"/>
      <c r="AJ305" s="152"/>
      <c r="AK305" s="152"/>
      <c r="BS305" s="120"/>
      <c r="BT305" s="120"/>
      <c r="BU305" s="120"/>
      <c r="BV305" s="120"/>
      <c r="BW305" s="120"/>
      <c r="BX305" s="120"/>
      <c r="BY305" s="120"/>
      <c r="BZ305" s="120"/>
      <c r="CA305" s="120"/>
      <c r="CB305" s="120"/>
      <c r="CC305" s="120"/>
      <c r="CD305" s="120"/>
      <c r="CE305" s="120"/>
    </row>
    <row r="306" ht="18.75" customHeight="1">
      <c r="C306" s="64"/>
      <c r="E306" s="64"/>
      <c r="F306" s="64"/>
      <c r="G306" s="64"/>
      <c r="AH306" s="152"/>
      <c r="AI306" s="152"/>
      <c r="AJ306" s="152"/>
      <c r="AK306" s="152"/>
      <c r="BS306" s="120"/>
      <c r="BT306" s="120"/>
      <c r="BU306" s="120"/>
      <c r="BV306" s="120"/>
      <c r="BW306" s="120"/>
      <c r="BX306" s="120"/>
      <c r="BY306" s="120"/>
      <c r="BZ306" s="120"/>
      <c r="CA306" s="120"/>
      <c r="CB306" s="120"/>
      <c r="CC306" s="120"/>
      <c r="CD306" s="120"/>
      <c r="CE306" s="120"/>
    </row>
    <row r="307" ht="18.75" customHeight="1">
      <c r="C307" s="64"/>
      <c r="E307" s="64"/>
      <c r="F307" s="64"/>
      <c r="G307" s="64"/>
      <c r="AH307" s="152"/>
      <c r="AI307" s="152"/>
      <c r="AJ307" s="152"/>
      <c r="AK307" s="152"/>
      <c r="BS307" s="120"/>
      <c r="BT307" s="120"/>
      <c r="BU307" s="120"/>
      <c r="BV307" s="120"/>
      <c r="BW307" s="120"/>
      <c r="BX307" s="120"/>
      <c r="BY307" s="120"/>
      <c r="BZ307" s="120"/>
      <c r="CA307" s="120"/>
      <c r="CB307" s="120"/>
      <c r="CC307" s="120"/>
      <c r="CD307" s="120"/>
      <c r="CE307" s="120"/>
    </row>
    <row r="308" ht="18.75" customHeight="1">
      <c r="C308" s="64"/>
      <c r="E308" s="64"/>
      <c r="F308" s="64"/>
      <c r="G308" s="64"/>
      <c r="AH308" s="152"/>
      <c r="AI308" s="152"/>
      <c r="AJ308" s="152"/>
      <c r="AK308" s="152"/>
      <c r="BS308" s="120"/>
      <c r="BT308" s="120"/>
      <c r="BU308" s="120"/>
      <c r="BV308" s="120"/>
      <c r="BW308" s="120"/>
      <c r="BX308" s="120"/>
      <c r="BY308" s="120"/>
      <c r="BZ308" s="120"/>
      <c r="CA308" s="120"/>
      <c r="CB308" s="120"/>
      <c r="CC308" s="120"/>
      <c r="CD308" s="120"/>
      <c r="CE308" s="120"/>
    </row>
    <row r="309" ht="18.75" customHeight="1">
      <c r="C309" s="64"/>
      <c r="E309" s="64"/>
      <c r="F309" s="64"/>
      <c r="G309" s="64"/>
      <c r="AH309" s="152"/>
      <c r="AI309" s="152"/>
      <c r="AJ309" s="152"/>
      <c r="AK309" s="152"/>
      <c r="BS309" s="120"/>
      <c r="BT309" s="120"/>
      <c r="BU309" s="120"/>
      <c r="BV309" s="120"/>
      <c r="BW309" s="120"/>
      <c r="BX309" s="120"/>
      <c r="BY309" s="120"/>
      <c r="BZ309" s="120"/>
      <c r="CA309" s="120"/>
      <c r="CB309" s="120"/>
      <c r="CC309" s="120"/>
      <c r="CD309" s="120"/>
      <c r="CE309" s="120"/>
    </row>
    <row r="310" ht="18.75" customHeight="1">
      <c r="C310" s="64"/>
      <c r="E310" s="64"/>
      <c r="F310" s="64"/>
      <c r="G310" s="64"/>
      <c r="AH310" s="152"/>
      <c r="AI310" s="152"/>
      <c r="AJ310" s="152"/>
      <c r="AK310" s="152"/>
      <c r="BS310" s="120"/>
      <c r="BT310" s="120"/>
      <c r="BU310" s="120"/>
      <c r="BV310" s="120"/>
      <c r="BW310" s="120"/>
      <c r="BX310" s="120"/>
      <c r="BY310" s="120"/>
      <c r="BZ310" s="120"/>
      <c r="CA310" s="120"/>
      <c r="CB310" s="120"/>
      <c r="CC310" s="120"/>
      <c r="CD310" s="120"/>
      <c r="CE310" s="120"/>
    </row>
    <row r="311" ht="18.75" customHeight="1">
      <c r="C311" s="64"/>
      <c r="E311" s="64"/>
      <c r="F311" s="64"/>
      <c r="G311" s="64"/>
      <c r="AH311" s="152"/>
      <c r="AI311" s="152"/>
      <c r="AJ311" s="152"/>
      <c r="AK311" s="152"/>
      <c r="BS311" s="120"/>
      <c r="BT311" s="120"/>
      <c r="BU311" s="120"/>
      <c r="BV311" s="120"/>
      <c r="BW311" s="120"/>
      <c r="BX311" s="120"/>
      <c r="BY311" s="120"/>
      <c r="BZ311" s="120"/>
      <c r="CA311" s="120"/>
      <c r="CB311" s="120"/>
      <c r="CC311" s="120"/>
      <c r="CD311" s="120"/>
      <c r="CE311" s="120"/>
    </row>
    <row r="312" ht="18.75" customHeight="1">
      <c r="C312" s="64"/>
      <c r="E312" s="64"/>
      <c r="F312" s="64"/>
      <c r="G312" s="64"/>
      <c r="AH312" s="152"/>
      <c r="AI312" s="152"/>
      <c r="AJ312" s="152"/>
      <c r="AK312" s="152"/>
      <c r="BS312" s="120"/>
      <c r="BT312" s="120"/>
      <c r="BU312" s="120"/>
      <c r="BV312" s="120"/>
      <c r="BW312" s="120"/>
      <c r="BX312" s="120"/>
      <c r="BY312" s="120"/>
      <c r="BZ312" s="120"/>
      <c r="CA312" s="120"/>
      <c r="CB312" s="120"/>
      <c r="CC312" s="120"/>
      <c r="CD312" s="120"/>
      <c r="CE312" s="120"/>
    </row>
    <row r="313" ht="18.75" customHeight="1">
      <c r="C313" s="64"/>
      <c r="E313" s="64"/>
      <c r="F313" s="64"/>
      <c r="G313" s="64"/>
      <c r="AH313" s="152"/>
      <c r="AI313" s="152"/>
      <c r="AJ313" s="152"/>
      <c r="AK313" s="152"/>
      <c r="BS313" s="120"/>
      <c r="BT313" s="120"/>
      <c r="BU313" s="120"/>
      <c r="BV313" s="120"/>
      <c r="BW313" s="120"/>
      <c r="BX313" s="120"/>
      <c r="BY313" s="120"/>
      <c r="BZ313" s="120"/>
      <c r="CA313" s="120"/>
      <c r="CB313" s="120"/>
      <c r="CC313" s="120"/>
      <c r="CD313" s="120"/>
      <c r="CE313" s="120"/>
    </row>
    <row r="314" ht="18.75" customHeight="1">
      <c r="C314" s="64"/>
      <c r="E314" s="64"/>
      <c r="F314" s="64"/>
      <c r="G314" s="64"/>
      <c r="AH314" s="152"/>
      <c r="AI314" s="152"/>
      <c r="AJ314" s="152"/>
      <c r="AK314" s="152"/>
      <c r="BS314" s="120"/>
      <c r="BT314" s="120"/>
      <c r="BU314" s="120"/>
      <c r="BV314" s="120"/>
      <c r="BW314" s="120"/>
      <c r="BX314" s="120"/>
      <c r="BY314" s="120"/>
      <c r="BZ314" s="120"/>
      <c r="CA314" s="120"/>
      <c r="CB314" s="120"/>
      <c r="CC314" s="120"/>
      <c r="CD314" s="120"/>
      <c r="CE314" s="120"/>
    </row>
    <row r="315" ht="18.75" customHeight="1">
      <c r="C315" s="64"/>
      <c r="E315" s="64"/>
      <c r="F315" s="64"/>
      <c r="G315" s="64"/>
      <c r="AH315" s="152"/>
      <c r="AI315" s="152"/>
      <c r="AJ315" s="152"/>
      <c r="AK315" s="152"/>
      <c r="BS315" s="120"/>
      <c r="BT315" s="120"/>
      <c r="BU315" s="120"/>
      <c r="BV315" s="120"/>
      <c r="BW315" s="120"/>
      <c r="BX315" s="120"/>
      <c r="BY315" s="120"/>
      <c r="BZ315" s="120"/>
      <c r="CA315" s="120"/>
      <c r="CB315" s="120"/>
      <c r="CC315" s="120"/>
      <c r="CD315" s="120"/>
      <c r="CE315" s="120"/>
    </row>
    <row r="316" ht="18.75" customHeight="1">
      <c r="C316" s="64"/>
      <c r="E316" s="64"/>
      <c r="F316" s="64"/>
      <c r="G316" s="64"/>
      <c r="AH316" s="152"/>
      <c r="AI316" s="152"/>
      <c r="AJ316" s="152"/>
      <c r="AK316" s="152"/>
      <c r="BS316" s="120"/>
      <c r="BT316" s="120"/>
      <c r="BU316" s="120"/>
      <c r="BV316" s="120"/>
      <c r="BW316" s="120"/>
      <c r="BX316" s="120"/>
      <c r="BY316" s="120"/>
      <c r="BZ316" s="120"/>
      <c r="CA316" s="120"/>
      <c r="CB316" s="120"/>
      <c r="CC316" s="120"/>
      <c r="CD316" s="120"/>
      <c r="CE316" s="120"/>
    </row>
    <row r="317" ht="18.75" customHeight="1">
      <c r="C317" s="64"/>
      <c r="E317" s="64"/>
      <c r="F317" s="64"/>
      <c r="G317" s="64"/>
      <c r="AH317" s="152"/>
      <c r="AI317" s="152"/>
      <c r="AJ317" s="152"/>
      <c r="AK317" s="152"/>
      <c r="BS317" s="120"/>
      <c r="BT317" s="120"/>
      <c r="BU317" s="120"/>
      <c r="BV317" s="120"/>
      <c r="BW317" s="120"/>
      <c r="BX317" s="120"/>
      <c r="BY317" s="120"/>
      <c r="BZ317" s="120"/>
      <c r="CA317" s="120"/>
      <c r="CB317" s="120"/>
      <c r="CC317" s="120"/>
      <c r="CD317" s="120"/>
      <c r="CE317" s="120"/>
    </row>
    <row r="318" ht="18.75" customHeight="1">
      <c r="C318" s="64"/>
      <c r="E318" s="64"/>
      <c r="F318" s="64"/>
      <c r="G318" s="64"/>
      <c r="AH318" s="152"/>
      <c r="AI318" s="152"/>
      <c r="AJ318" s="152"/>
      <c r="AK318" s="152"/>
      <c r="BS318" s="120"/>
      <c r="BT318" s="120"/>
      <c r="BU318" s="120"/>
      <c r="BV318" s="120"/>
      <c r="BW318" s="120"/>
      <c r="BX318" s="120"/>
      <c r="BY318" s="120"/>
      <c r="BZ318" s="120"/>
      <c r="CA318" s="120"/>
      <c r="CB318" s="120"/>
      <c r="CC318" s="120"/>
      <c r="CD318" s="120"/>
      <c r="CE318" s="120"/>
    </row>
    <row r="319" ht="18.75" customHeight="1">
      <c r="C319" s="64"/>
      <c r="E319" s="64"/>
      <c r="F319" s="64"/>
      <c r="G319" s="64"/>
      <c r="AH319" s="152"/>
      <c r="AI319" s="152"/>
      <c r="AJ319" s="152"/>
      <c r="AK319" s="152"/>
      <c r="BS319" s="120"/>
      <c r="BT319" s="120"/>
      <c r="BU319" s="120"/>
      <c r="BV319" s="120"/>
      <c r="BW319" s="120"/>
      <c r="BX319" s="120"/>
      <c r="BY319" s="120"/>
      <c r="BZ319" s="120"/>
      <c r="CA319" s="120"/>
      <c r="CB319" s="120"/>
      <c r="CC319" s="120"/>
      <c r="CD319" s="120"/>
      <c r="CE319" s="120"/>
    </row>
    <row r="320" ht="18.75" customHeight="1">
      <c r="C320" s="64"/>
      <c r="E320" s="64"/>
      <c r="F320" s="64"/>
      <c r="G320" s="64"/>
      <c r="AH320" s="152"/>
      <c r="AI320" s="152"/>
      <c r="AJ320" s="152"/>
      <c r="AK320" s="152"/>
      <c r="BS320" s="120"/>
      <c r="BT320" s="120"/>
      <c r="BU320" s="120"/>
      <c r="BV320" s="120"/>
      <c r="BW320" s="120"/>
      <c r="BX320" s="120"/>
      <c r="BY320" s="120"/>
      <c r="BZ320" s="120"/>
      <c r="CA320" s="120"/>
      <c r="CB320" s="120"/>
      <c r="CC320" s="120"/>
      <c r="CD320" s="120"/>
      <c r="CE320" s="120"/>
    </row>
    <row r="321" ht="18.75" customHeight="1">
      <c r="C321" s="64"/>
      <c r="E321" s="64"/>
      <c r="F321" s="64"/>
      <c r="G321" s="64"/>
      <c r="AH321" s="152"/>
      <c r="AI321" s="152"/>
      <c r="AJ321" s="152"/>
      <c r="AK321" s="152"/>
      <c r="BS321" s="120"/>
      <c r="BT321" s="120"/>
      <c r="BU321" s="120"/>
      <c r="BV321" s="120"/>
      <c r="BW321" s="120"/>
      <c r="BX321" s="120"/>
      <c r="BY321" s="120"/>
      <c r="BZ321" s="120"/>
      <c r="CA321" s="120"/>
      <c r="CB321" s="120"/>
      <c r="CC321" s="120"/>
      <c r="CD321" s="120"/>
      <c r="CE321" s="120"/>
    </row>
    <row r="322" ht="18.75" customHeight="1">
      <c r="C322" s="64"/>
      <c r="E322" s="64"/>
      <c r="F322" s="64"/>
      <c r="G322" s="64"/>
      <c r="AH322" s="152"/>
      <c r="AI322" s="152"/>
      <c r="AJ322" s="152"/>
      <c r="AK322" s="152"/>
      <c r="BS322" s="120"/>
      <c r="BT322" s="120"/>
      <c r="BU322" s="120"/>
      <c r="BV322" s="120"/>
      <c r="BW322" s="120"/>
      <c r="BX322" s="120"/>
      <c r="BY322" s="120"/>
      <c r="BZ322" s="120"/>
      <c r="CA322" s="120"/>
      <c r="CB322" s="120"/>
      <c r="CC322" s="120"/>
      <c r="CD322" s="120"/>
      <c r="CE322" s="120"/>
    </row>
    <row r="323" ht="18.75" customHeight="1">
      <c r="C323" s="64"/>
      <c r="E323" s="64"/>
      <c r="F323" s="64"/>
      <c r="G323" s="64"/>
      <c r="AH323" s="152"/>
      <c r="AI323" s="152"/>
      <c r="AJ323" s="152"/>
      <c r="AK323" s="152"/>
      <c r="BS323" s="120"/>
      <c r="BT323" s="120"/>
      <c r="BU323" s="120"/>
      <c r="BV323" s="120"/>
      <c r="BW323" s="120"/>
      <c r="BX323" s="120"/>
      <c r="BY323" s="120"/>
      <c r="BZ323" s="120"/>
      <c r="CA323" s="120"/>
      <c r="CB323" s="120"/>
      <c r="CC323" s="120"/>
      <c r="CD323" s="120"/>
      <c r="CE323" s="120"/>
    </row>
    <row r="324" ht="18.75" customHeight="1">
      <c r="C324" s="64"/>
      <c r="E324" s="64"/>
      <c r="F324" s="64"/>
      <c r="G324" s="64"/>
      <c r="AH324" s="152"/>
      <c r="AI324" s="152"/>
      <c r="AJ324" s="152"/>
      <c r="AK324" s="152"/>
      <c r="BS324" s="120"/>
      <c r="BT324" s="120"/>
      <c r="BU324" s="120"/>
      <c r="BV324" s="120"/>
      <c r="BW324" s="120"/>
      <c r="BX324" s="120"/>
      <c r="BY324" s="120"/>
      <c r="BZ324" s="120"/>
      <c r="CA324" s="120"/>
      <c r="CB324" s="120"/>
      <c r="CC324" s="120"/>
      <c r="CD324" s="120"/>
      <c r="CE324" s="120"/>
    </row>
    <row r="325" ht="18.75" customHeight="1">
      <c r="C325" s="64"/>
      <c r="E325" s="64"/>
      <c r="F325" s="64"/>
      <c r="G325" s="64"/>
      <c r="AH325" s="152"/>
      <c r="AI325" s="152"/>
      <c r="AJ325" s="152"/>
      <c r="AK325" s="152"/>
      <c r="BS325" s="120"/>
      <c r="BT325" s="120"/>
      <c r="BU325" s="120"/>
      <c r="BV325" s="120"/>
      <c r="BW325" s="120"/>
      <c r="BX325" s="120"/>
      <c r="BY325" s="120"/>
      <c r="BZ325" s="120"/>
      <c r="CA325" s="120"/>
      <c r="CB325" s="120"/>
      <c r="CC325" s="120"/>
      <c r="CD325" s="120"/>
      <c r="CE325" s="120"/>
    </row>
    <row r="326" ht="18.75" customHeight="1">
      <c r="C326" s="64"/>
      <c r="E326" s="64"/>
      <c r="F326" s="64"/>
      <c r="G326" s="64"/>
      <c r="AH326" s="152"/>
      <c r="AI326" s="152"/>
      <c r="AJ326" s="152"/>
      <c r="AK326" s="152"/>
      <c r="BS326" s="120"/>
      <c r="BT326" s="120"/>
      <c r="BU326" s="120"/>
      <c r="BV326" s="120"/>
      <c r="BW326" s="120"/>
      <c r="BX326" s="120"/>
      <c r="BY326" s="120"/>
      <c r="BZ326" s="120"/>
      <c r="CA326" s="120"/>
      <c r="CB326" s="120"/>
      <c r="CC326" s="120"/>
      <c r="CD326" s="120"/>
      <c r="CE326" s="120"/>
    </row>
    <row r="327" ht="18.75" customHeight="1">
      <c r="C327" s="64"/>
      <c r="E327" s="64"/>
      <c r="F327" s="64"/>
      <c r="G327" s="64"/>
      <c r="AH327" s="152"/>
      <c r="AI327" s="152"/>
      <c r="AJ327" s="152"/>
      <c r="AK327" s="152"/>
      <c r="BS327" s="120"/>
      <c r="BT327" s="120"/>
      <c r="BU327" s="120"/>
      <c r="BV327" s="120"/>
      <c r="BW327" s="120"/>
      <c r="BX327" s="120"/>
      <c r="BY327" s="120"/>
      <c r="BZ327" s="120"/>
      <c r="CA327" s="120"/>
      <c r="CB327" s="120"/>
      <c r="CC327" s="120"/>
      <c r="CD327" s="120"/>
      <c r="CE327" s="120"/>
    </row>
    <row r="328" ht="18.75" customHeight="1">
      <c r="C328" s="64"/>
      <c r="E328" s="64"/>
      <c r="F328" s="64"/>
      <c r="G328" s="64"/>
      <c r="AH328" s="152"/>
      <c r="AI328" s="152"/>
      <c r="AJ328" s="152"/>
      <c r="AK328" s="152"/>
      <c r="BS328" s="120"/>
      <c r="BT328" s="120"/>
      <c r="BU328" s="120"/>
      <c r="BV328" s="120"/>
      <c r="BW328" s="120"/>
      <c r="BX328" s="120"/>
      <c r="BY328" s="120"/>
      <c r="BZ328" s="120"/>
      <c r="CA328" s="120"/>
      <c r="CB328" s="120"/>
      <c r="CC328" s="120"/>
      <c r="CD328" s="120"/>
      <c r="CE328" s="120"/>
    </row>
    <row r="329" ht="18.75" customHeight="1">
      <c r="C329" s="64"/>
      <c r="E329" s="64"/>
      <c r="F329" s="64"/>
      <c r="G329" s="64"/>
      <c r="AH329" s="152"/>
      <c r="AI329" s="152"/>
      <c r="AJ329" s="152"/>
      <c r="AK329" s="152"/>
      <c r="BS329" s="120"/>
      <c r="BT329" s="120"/>
      <c r="BU329" s="120"/>
      <c r="BV329" s="120"/>
      <c r="BW329" s="120"/>
      <c r="BX329" s="120"/>
      <c r="BY329" s="120"/>
      <c r="BZ329" s="120"/>
      <c r="CA329" s="120"/>
      <c r="CB329" s="120"/>
      <c r="CC329" s="120"/>
      <c r="CD329" s="120"/>
      <c r="CE329" s="120"/>
    </row>
    <row r="330" ht="18.75" customHeight="1">
      <c r="C330" s="64"/>
      <c r="E330" s="64"/>
      <c r="F330" s="64"/>
      <c r="G330" s="64"/>
      <c r="AH330" s="152"/>
      <c r="AI330" s="152"/>
      <c r="AJ330" s="152"/>
      <c r="AK330" s="152"/>
      <c r="BS330" s="120"/>
      <c r="BT330" s="120"/>
      <c r="BU330" s="120"/>
      <c r="BV330" s="120"/>
      <c r="BW330" s="120"/>
      <c r="BX330" s="120"/>
      <c r="BY330" s="120"/>
      <c r="BZ330" s="120"/>
      <c r="CA330" s="120"/>
      <c r="CB330" s="120"/>
      <c r="CC330" s="120"/>
      <c r="CD330" s="120"/>
      <c r="CE330" s="120"/>
    </row>
    <row r="331" ht="18.75" customHeight="1">
      <c r="C331" s="64"/>
      <c r="E331" s="64"/>
      <c r="F331" s="64"/>
      <c r="G331" s="64"/>
      <c r="AH331" s="152"/>
      <c r="AI331" s="152"/>
      <c r="AJ331" s="152"/>
      <c r="AK331" s="152"/>
      <c r="BS331" s="120"/>
      <c r="BT331" s="120"/>
      <c r="BU331" s="120"/>
      <c r="BV331" s="120"/>
      <c r="BW331" s="120"/>
      <c r="BX331" s="120"/>
      <c r="BY331" s="120"/>
      <c r="BZ331" s="120"/>
      <c r="CA331" s="120"/>
      <c r="CB331" s="120"/>
      <c r="CC331" s="120"/>
      <c r="CD331" s="120"/>
      <c r="CE331" s="120"/>
    </row>
    <row r="332" ht="18.75" customHeight="1">
      <c r="C332" s="64"/>
      <c r="E332" s="64"/>
      <c r="F332" s="64"/>
      <c r="G332" s="64"/>
      <c r="AH332" s="152"/>
      <c r="AI332" s="152"/>
      <c r="AJ332" s="152"/>
      <c r="AK332" s="152"/>
      <c r="BS332" s="120"/>
      <c r="BT332" s="120"/>
      <c r="BU332" s="120"/>
      <c r="BV332" s="120"/>
      <c r="BW332" s="120"/>
      <c r="BX332" s="120"/>
      <c r="BY332" s="120"/>
      <c r="BZ332" s="120"/>
      <c r="CA332" s="120"/>
      <c r="CB332" s="120"/>
      <c r="CC332" s="120"/>
      <c r="CD332" s="120"/>
      <c r="CE332" s="120"/>
    </row>
    <row r="333" ht="18.75" customHeight="1">
      <c r="C333" s="64"/>
      <c r="E333" s="64"/>
      <c r="F333" s="64"/>
      <c r="G333" s="64"/>
      <c r="AH333" s="152"/>
      <c r="AI333" s="152"/>
      <c r="AJ333" s="152"/>
      <c r="AK333" s="152"/>
      <c r="BS333" s="120"/>
      <c r="BT333" s="120"/>
      <c r="BU333" s="120"/>
      <c r="BV333" s="120"/>
      <c r="BW333" s="120"/>
      <c r="BX333" s="120"/>
      <c r="BY333" s="120"/>
      <c r="BZ333" s="120"/>
      <c r="CA333" s="120"/>
      <c r="CB333" s="120"/>
      <c r="CC333" s="120"/>
      <c r="CD333" s="120"/>
      <c r="CE333" s="120"/>
    </row>
    <row r="334" ht="18.75" customHeight="1">
      <c r="C334" s="64"/>
      <c r="E334" s="64"/>
      <c r="F334" s="64"/>
      <c r="G334" s="64"/>
      <c r="AH334" s="152"/>
      <c r="AI334" s="152"/>
      <c r="AJ334" s="152"/>
      <c r="AK334" s="152"/>
      <c r="BS334" s="120"/>
      <c r="BT334" s="120"/>
      <c r="BU334" s="120"/>
      <c r="BV334" s="120"/>
      <c r="BW334" s="120"/>
      <c r="BX334" s="120"/>
      <c r="BY334" s="120"/>
      <c r="BZ334" s="120"/>
      <c r="CA334" s="120"/>
      <c r="CB334" s="120"/>
      <c r="CC334" s="120"/>
      <c r="CD334" s="120"/>
      <c r="CE334" s="120"/>
    </row>
    <row r="335" ht="18.75" customHeight="1">
      <c r="C335" s="64"/>
      <c r="E335" s="64"/>
      <c r="F335" s="64"/>
      <c r="G335" s="64"/>
      <c r="AH335" s="152"/>
      <c r="AI335" s="152"/>
      <c r="AJ335" s="152"/>
      <c r="AK335" s="152"/>
      <c r="BS335" s="120"/>
      <c r="BT335" s="120"/>
      <c r="BU335" s="120"/>
      <c r="BV335" s="120"/>
      <c r="BW335" s="120"/>
      <c r="BX335" s="120"/>
      <c r="BY335" s="120"/>
      <c r="BZ335" s="120"/>
      <c r="CA335" s="120"/>
      <c r="CB335" s="120"/>
      <c r="CC335" s="120"/>
      <c r="CD335" s="120"/>
      <c r="CE335" s="120"/>
    </row>
    <row r="336" ht="18.75" customHeight="1">
      <c r="C336" s="64"/>
      <c r="E336" s="64"/>
      <c r="F336" s="64"/>
      <c r="G336" s="64"/>
      <c r="AH336" s="152"/>
      <c r="AI336" s="152"/>
      <c r="AJ336" s="152"/>
      <c r="AK336" s="152"/>
      <c r="BS336" s="120"/>
      <c r="BT336" s="120"/>
      <c r="BU336" s="120"/>
      <c r="BV336" s="120"/>
      <c r="BW336" s="120"/>
      <c r="BX336" s="120"/>
      <c r="BY336" s="120"/>
      <c r="BZ336" s="120"/>
      <c r="CA336" s="120"/>
      <c r="CB336" s="120"/>
      <c r="CC336" s="120"/>
      <c r="CD336" s="120"/>
      <c r="CE336" s="120"/>
    </row>
    <row r="337" ht="18.75" customHeight="1">
      <c r="C337" s="64"/>
      <c r="E337" s="64"/>
      <c r="F337" s="64"/>
      <c r="G337" s="64"/>
      <c r="AH337" s="152"/>
      <c r="AI337" s="152"/>
      <c r="AJ337" s="152"/>
      <c r="AK337" s="152"/>
      <c r="BS337" s="120"/>
      <c r="BT337" s="120"/>
      <c r="BU337" s="120"/>
      <c r="BV337" s="120"/>
      <c r="BW337" s="120"/>
      <c r="BX337" s="120"/>
      <c r="BY337" s="120"/>
      <c r="BZ337" s="120"/>
      <c r="CA337" s="120"/>
      <c r="CB337" s="120"/>
      <c r="CC337" s="120"/>
      <c r="CD337" s="120"/>
      <c r="CE337" s="120"/>
    </row>
    <row r="338" ht="18.75" customHeight="1">
      <c r="C338" s="64"/>
      <c r="E338" s="64"/>
      <c r="F338" s="64"/>
      <c r="G338" s="64"/>
      <c r="AH338" s="152"/>
      <c r="AI338" s="152"/>
      <c r="AJ338" s="152"/>
      <c r="AK338" s="152"/>
      <c r="BS338" s="120"/>
      <c r="BT338" s="120"/>
      <c r="BU338" s="120"/>
      <c r="BV338" s="120"/>
      <c r="BW338" s="120"/>
      <c r="BX338" s="120"/>
      <c r="BY338" s="120"/>
      <c r="BZ338" s="120"/>
      <c r="CA338" s="120"/>
      <c r="CB338" s="120"/>
      <c r="CC338" s="120"/>
      <c r="CD338" s="120"/>
      <c r="CE338" s="120"/>
    </row>
    <row r="339" ht="18.75" customHeight="1">
      <c r="C339" s="64"/>
      <c r="E339" s="64"/>
      <c r="F339" s="64"/>
      <c r="G339" s="64"/>
      <c r="AH339" s="152"/>
      <c r="AI339" s="152"/>
      <c r="AJ339" s="152"/>
      <c r="AK339" s="152"/>
      <c r="BS339" s="120"/>
      <c r="BT339" s="120"/>
      <c r="BU339" s="120"/>
      <c r="BV339" s="120"/>
      <c r="BW339" s="120"/>
      <c r="BX339" s="120"/>
      <c r="BY339" s="120"/>
      <c r="BZ339" s="120"/>
      <c r="CA339" s="120"/>
      <c r="CB339" s="120"/>
      <c r="CC339" s="120"/>
      <c r="CD339" s="120"/>
      <c r="CE339" s="120"/>
    </row>
    <row r="340" ht="18.75" customHeight="1">
      <c r="C340" s="64"/>
      <c r="E340" s="64"/>
      <c r="F340" s="64"/>
      <c r="G340" s="64"/>
      <c r="AH340" s="152"/>
      <c r="AI340" s="152"/>
      <c r="AJ340" s="152"/>
      <c r="AK340" s="152"/>
      <c r="BS340" s="120"/>
      <c r="BT340" s="120"/>
      <c r="BU340" s="120"/>
      <c r="BV340" s="120"/>
      <c r="BW340" s="120"/>
      <c r="BX340" s="120"/>
      <c r="BY340" s="120"/>
      <c r="BZ340" s="120"/>
      <c r="CA340" s="120"/>
      <c r="CB340" s="120"/>
      <c r="CC340" s="120"/>
      <c r="CD340" s="120"/>
      <c r="CE340" s="120"/>
    </row>
    <row r="341" ht="18.75" customHeight="1">
      <c r="C341" s="64"/>
      <c r="E341" s="64"/>
      <c r="F341" s="64"/>
      <c r="G341" s="64"/>
      <c r="AH341" s="152"/>
      <c r="AI341" s="152"/>
      <c r="AJ341" s="152"/>
      <c r="AK341" s="152"/>
      <c r="BS341" s="120"/>
      <c r="BT341" s="120"/>
      <c r="BU341" s="120"/>
      <c r="BV341" s="120"/>
      <c r="BW341" s="120"/>
      <c r="BX341" s="120"/>
      <c r="BY341" s="120"/>
      <c r="BZ341" s="120"/>
      <c r="CA341" s="120"/>
      <c r="CB341" s="120"/>
      <c r="CC341" s="120"/>
      <c r="CD341" s="120"/>
      <c r="CE341" s="120"/>
    </row>
    <row r="342" ht="18.75" customHeight="1">
      <c r="C342" s="64"/>
      <c r="E342" s="64"/>
      <c r="F342" s="64"/>
      <c r="G342" s="64"/>
      <c r="AH342" s="152"/>
      <c r="AI342" s="152"/>
      <c r="AJ342" s="152"/>
      <c r="AK342" s="152"/>
      <c r="BS342" s="120"/>
      <c r="BT342" s="120"/>
      <c r="BU342" s="120"/>
      <c r="BV342" s="120"/>
      <c r="BW342" s="120"/>
      <c r="BX342" s="120"/>
      <c r="BY342" s="120"/>
      <c r="BZ342" s="120"/>
      <c r="CA342" s="120"/>
      <c r="CB342" s="120"/>
      <c r="CC342" s="120"/>
      <c r="CD342" s="120"/>
      <c r="CE342" s="120"/>
    </row>
    <row r="343" ht="18.75" customHeight="1">
      <c r="C343" s="64"/>
      <c r="E343" s="64"/>
      <c r="F343" s="64"/>
      <c r="G343" s="64"/>
      <c r="AH343" s="152"/>
      <c r="AI343" s="152"/>
      <c r="AJ343" s="152"/>
      <c r="AK343" s="152"/>
      <c r="BS343" s="120"/>
      <c r="BT343" s="120"/>
      <c r="BU343" s="120"/>
      <c r="BV343" s="120"/>
      <c r="BW343" s="120"/>
      <c r="BX343" s="120"/>
      <c r="BY343" s="120"/>
      <c r="BZ343" s="120"/>
      <c r="CA343" s="120"/>
      <c r="CB343" s="120"/>
      <c r="CC343" s="120"/>
      <c r="CD343" s="120"/>
      <c r="CE343" s="120"/>
    </row>
    <row r="344" ht="18.75" customHeight="1">
      <c r="C344" s="64"/>
      <c r="E344" s="64"/>
      <c r="F344" s="64"/>
      <c r="G344" s="64"/>
      <c r="AH344" s="152"/>
      <c r="AI344" s="152"/>
      <c r="AJ344" s="152"/>
      <c r="AK344" s="152"/>
      <c r="BS344" s="120"/>
      <c r="BT344" s="120"/>
      <c r="BU344" s="120"/>
      <c r="BV344" s="120"/>
      <c r="BW344" s="120"/>
      <c r="BX344" s="120"/>
      <c r="BY344" s="120"/>
      <c r="BZ344" s="120"/>
      <c r="CA344" s="120"/>
      <c r="CB344" s="120"/>
      <c r="CC344" s="120"/>
      <c r="CD344" s="120"/>
      <c r="CE344" s="120"/>
    </row>
    <row r="345" ht="18.75" customHeight="1">
      <c r="C345" s="64"/>
      <c r="E345" s="64"/>
      <c r="F345" s="64"/>
      <c r="G345" s="64"/>
      <c r="AH345" s="152"/>
      <c r="AI345" s="152"/>
      <c r="AJ345" s="152"/>
      <c r="AK345" s="152"/>
      <c r="BS345" s="120"/>
      <c r="BT345" s="120"/>
      <c r="BU345" s="120"/>
      <c r="BV345" s="120"/>
      <c r="BW345" s="120"/>
      <c r="BX345" s="120"/>
      <c r="BY345" s="120"/>
      <c r="BZ345" s="120"/>
      <c r="CA345" s="120"/>
      <c r="CB345" s="120"/>
      <c r="CC345" s="120"/>
      <c r="CD345" s="120"/>
      <c r="CE345" s="120"/>
    </row>
    <row r="346" ht="18.75" customHeight="1">
      <c r="C346" s="64"/>
      <c r="E346" s="64"/>
      <c r="F346" s="64"/>
      <c r="G346" s="64"/>
      <c r="AH346" s="152"/>
      <c r="AI346" s="152"/>
      <c r="AJ346" s="152"/>
      <c r="AK346" s="152"/>
      <c r="BS346" s="120"/>
      <c r="BT346" s="120"/>
      <c r="BU346" s="120"/>
      <c r="BV346" s="120"/>
      <c r="BW346" s="120"/>
      <c r="BX346" s="120"/>
      <c r="BY346" s="120"/>
      <c r="BZ346" s="120"/>
      <c r="CA346" s="120"/>
      <c r="CB346" s="120"/>
      <c r="CC346" s="120"/>
      <c r="CD346" s="120"/>
      <c r="CE346" s="120"/>
    </row>
    <row r="347" ht="18.75" customHeight="1">
      <c r="C347" s="64"/>
      <c r="E347" s="64"/>
      <c r="F347" s="64"/>
      <c r="G347" s="64"/>
      <c r="AH347" s="152"/>
      <c r="AI347" s="152"/>
      <c r="AJ347" s="152"/>
      <c r="AK347" s="152"/>
      <c r="BS347" s="120"/>
      <c r="BT347" s="120"/>
      <c r="BU347" s="120"/>
      <c r="BV347" s="120"/>
      <c r="BW347" s="120"/>
      <c r="BX347" s="120"/>
      <c r="BY347" s="120"/>
      <c r="BZ347" s="120"/>
      <c r="CA347" s="120"/>
      <c r="CB347" s="120"/>
      <c r="CC347" s="120"/>
      <c r="CD347" s="120"/>
      <c r="CE347" s="120"/>
    </row>
    <row r="348" ht="18.75" customHeight="1">
      <c r="C348" s="64"/>
      <c r="E348" s="64"/>
      <c r="F348" s="64"/>
      <c r="G348" s="64"/>
      <c r="AH348" s="152"/>
      <c r="AI348" s="152"/>
      <c r="AJ348" s="152"/>
      <c r="AK348" s="152"/>
      <c r="BS348" s="120"/>
      <c r="BT348" s="120"/>
      <c r="BU348" s="120"/>
      <c r="BV348" s="120"/>
      <c r="BW348" s="120"/>
      <c r="BX348" s="120"/>
      <c r="BY348" s="120"/>
      <c r="BZ348" s="120"/>
      <c r="CA348" s="120"/>
      <c r="CB348" s="120"/>
      <c r="CC348" s="120"/>
      <c r="CD348" s="120"/>
      <c r="CE348" s="120"/>
    </row>
    <row r="349" ht="18.75" customHeight="1">
      <c r="C349" s="64"/>
      <c r="E349" s="64"/>
      <c r="F349" s="64"/>
      <c r="G349" s="64"/>
      <c r="AH349" s="152"/>
      <c r="AI349" s="152"/>
      <c r="AJ349" s="152"/>
      <c r="AK349" s="152"/>
      <c r="BS349" s="120"/>
      <c r="BT349" s="120"/>
      <c r="BU349" s="120"/>
      <c r="BV349" s="120"/>
      <c r="BW349" s="120"/>
      <c r="BX349" s="120"/>
      <c r="BY349" s="120"/>
      <c r="BZ349" s="120"/>
      <c r="CA349" s="120"/>
      <c r="CB349" s="120"/>
      <c r="CC349" s="120"/>
      <c r="CD349" s="120"/>
      <c r="CE349" s="120"/>
    </row>
    <row r="350" ht="18.75" customHeight="1">
      <c r="C350" s="64"/>
      <c r="E350" s="64"/>
      <c r="F350" s="64"/>
      <c r="G350" s="64"/>
      <c r="AH350" s="152"/>
      <c r="AI350" s="152"/>
      <c r="AJ350" s="152"/>
      <c r="AK350" s="152"/>
      <c r="BS350" s="120"/>
      <c r="BT350" s="120"/>
      <c r="BU350" s="120"/>
      <c r="BV350" s="120"/>
      <c r="BW350" s="120"/>
      <c r="BX350" s="120"/>
      <c r="BY350" s="120"/>
      <c r="BZ350" s="120"/>
      <c r="CA350" s="120"/>
      <c r="CB350" s="120"/>
      <c r="CC350" s="120"/>
      <c r="CD350" s="120"/>
      <c r="CE350" s="120"/>
    </row>
    <row r="351" ht="18.75" customHeight="1">
      <c r="C351" s="64"/>
      <c r="E351" s="64"/>
      <c r="F351" s="64"/>
      <c r="G351" s="64"/>
      <c r="AH351" s="152"/>
      <c r="AI351" s="152"/>
      <c r="AJ351" s="152"/>
      <c r="AK351" s="152"/>
      <c r="BS351" s="120"/>
      <c r="BT351" s="120"/>
      <c r="BU351" s="120"/>
      <c r="BV351" s="120"/>
      <c r="BW351" s="120"/>
      <c r="BX351" s="120"/>
      <c r="BY351" s="120"/>
      <c r="BZ351" s="120"/>
      <c r="CA351" s="120"/>
      <c r="CB351" s="120"/>
      <c r="CC351" s="120"/>
      <c r="CD351" s="120"/>
      <c r="CE351" s="120"/>
    </row>
    <row r="352" ht="18.75" customHeight="1">
      <c r="C352" s="64"/>
      <c r="E352" s="64"/>
      <c r="F352" s="64"/>
      <c r="G352" s="64"/>
      <c r="AH352" s="152"/>
      <c r="AI352" s="152"/>
      <c r="AJ352" s="152"/>
      <c r="AK352" s="152"/>
      <c r="BS352" s="120"/>
      <c r="BT352" s="120"/>
      <c r="BU352" s="120"/>
      <c r="BV352" s="120"/>
      <c r="BW352" s="120"/>
      <c r="BX352" s="120"/>
      <c r="BY352" s="120"/>
      <c r="BZ352" s="120"/>
      <c r="CA352" s="120"/>
      <c r="CB352" s="120"/>
      <c r="CC352" s="120"/>
      <c r="CD352" s="120"/>
      <c r="CE352" s="120"/>
    </row>
    <row r="353" ht="18.75" customHeight="1">
      <c r="C353" s="64"/>
      <c r="E353" s="64"/>
      <c r="F353" s="64"/>
      <c r="G353" s="64"/>
      <c r="AH353" s="152"/>
      <c r="AI353" s="152"/>
      <c r="AJ353" s="152"/>
      <c r="AK353" s="152"/>
      <c r="BS353" s="120"/>
      <c r="BT353" s="120"/>
      <c r="BU353" s="120"/>
      <c r="BV353" s="120"/>
      <c r="BW353" s="120"/>
      <c r="BX353" s="120"/>
      <c r="BY353" s="120"/>
      <c r="BZ353" s="120"/>
      <c r="CA353" s="120"/>
      <c r="CB353" s="120"/>
      <c r="CC353" s="120"/>
      <c r="CD353" s="120"/>
      <c r="CE353" s="120"/>
    </row>
    <row r="354" ht="18.75" customHeight="1">
      <c r="C354" s="64"/>
      <c r="E354" s="64"/>
      <c r="F354" s="64"/>
      <c r="G354" s="64"/>
      <c r="AH354" s="152"/>
      <c r="AI354" s="152"/>
      <c r="AJ354" s="152"/>
      <c r="AK354" s="152"/>
      <c r="BS354" s="120"/>
      <c r="BT354" s="120"/>
      <c r="BU354" s="120"/>
      <c r="BV354" s="120"/>
      <c r="BW354" s="120"/>
      <c r="BX354" s="120"/>
      <c r="BY354" s="120"/>
      <c r="BZ354" s="120"/>
      <c r="CA354" s="120"/>
      <c r="CB354" s="120"/>
      <c r="CC354" s="120"/>
      <c r="CD354" s="120"/>
      <c r="CE354" s="120"/>
    </row>
    <row r="355" ht="18.75" customHeight="1">
      <c r="C355" s="64"/>
      <c r="E355" s="64"/>
      <c r="F355" s="64"/>
      <c r="G355" s="64"/>
      <c r="AH355" s="152"/>
      <c r="AI355" s="152"/>
      <c r="AJ355" s="152"/>
      <c r="AK355" s="152"/>
      <c r="BS355" s="120"/>
      <c r="BT355" s="120"/>
      <c r="BU355" s="120"/>
      <c r="BV355" s="120"/>
      <c r="BW355" s="120"/>
      <c r="BX355" s="120"/>
      <c r="BY355" s="120"/>
      <c r="BZ355" s="120"/>
      <c r="CA355" s="120"/>
      <c r="CB355" s="120"/>
      <c r="CC355" s="120"/>
      <c r="CD355" s="120"/>
      <c r="CE355" s="120"/>
    </row>
    <row r="356" ht="18.75" customHeight="1">
      <c r="C356" s="64"/>
      <c r="E356" s="64"/>
      <c r="F356" s="64"/>
      <c r="G356" s="64"/>
      <c r="AH356" s="152"/>
      <c r="AI356" s="152"/>
      <c r="AJ356" s="152"/>
      <c r="AK356" s="152"/>
      <c r="BS356" s="120"/>
      <c r="BT356" s="120"/>
      <c r="BU356" s="120"/>
      <c r="BV356" s="120"/>
      <c r="BW356" s="120"/>
      <c r="BX356" s="120"/>
      <c r="BY356" s="120"/>
      <c r="BZ356" s="120"/>
      <c r="CA356" s="120"/>
      <c r="CB356" s="120"/>
      <c r="CC356" s="120"/>
      <c r="CD356" s="120"/>
      <c r="CE356" s="120"/>
    </row>
    <row r="357" ht="18.75" customHeight="1">
      <c r="C357" s="64"/>
      <c r="E357" s="64"/>
      <c r="F357" s="64"/>
      <c r="G357" s="64"/>
      <c r="AH357" s="152"/>
      <c r="AI357" s="152"/>
      <c r="AJ357" s="152"/>
      <c r="AK357" s="152"/>
      <c r="BS357" s="120"/>
      <c r="BT357" s="120"/>
      <c r="BU357" s="120"/>
      <c r="BV357" s="120"/>
      <c r="BW357" s="120"/>
      <c r="BX357" s="120"/>
      <c r="BY357" s="120"/>
      <c r="BZ357" s="120"/>
      <c r="CA357" s="120"/>
      <c r="CB357" s="120"/>
      <c r="CC357" s="120"/>
      <c r="CD357" s="120"/>
      <c r="CE357" s="120"/>
    </row>
    <row r="358" ht="18.75" customHeight="1">
      <c r="C358" s="64"/>
      <c r="E358" s="64"/>
      <c r="F358" s="64"/>
      <c r="G358" s="64"/>
      <c r="AH358" s="152"/>
      <c r="AI358" s="152"/>
      <c r="AJ358" s="152"/>
      <c r="AK358" s="152"/>
      <c r="BS358" s="120"/>
      <c r="BT358" s="120"/>
      <c r="BU358" s="120"/>
      <c r="BV358" s="120"/>
      <c r="BW358" s="120"/>
      <c r="BX358" s="120"/>
      <c r="BY358" s="120"/>
      <c r="BZ358" s="120"/>
      <c r="CA358" s="120"/>
      <c r="CB358" s="120"/>
      <c r="CC358" s="120"/>
      <c r="CD358" s="120"/>
      <c r="CE358" s="120"/>
    </row>
    <row r="359" ht="18.75" customHeight="1">
      <c r="C359" s="64"/>
      <c r="E359" s="64"/>
      <c r="F359" s="64"/>
      <c r="G359" s="64"/>
      <c r="AH359" s="152"/>
      <c r="AI359" s="152"/>
      <c r="AJ359" s="152"/>
      <c r="AK359" s="152"/>
      <c r="BS359" s="120"/>
      <c r="BT359" s="120"/>
      <c r="BU359" s="120"/>
      <c r="BV359" s="120"/>
      <c r="BW359" s="120"/>
      <c r="BX359" s="120"/>
      <c r="BY359" s="120"/>
      <c r="BZ359" s="120"/>
      <c r="CA359" s="120"/>
      <c r="CB359" s="120"/>
      <c r="CC359" s="120"/>
      <c r="CD359" s="120"/>
      <c r="CE359" s="120"/>
    </row>
    <row r="360" ht="18.75" customHeight="1">
      <c r="C360" s="64"/>
      <c r="E360" s="64"/>
      <c r="F360" s="64"/>
      <c r="G360" s="64"/>
      <c r="AH360" s="152"/>
      <c r="AI360" s="152"/>
      <c r="AJ360" s="152"/>
      <c r="AK360" s="152"/>
      <c r="BS360" s="120"/>
      <c r="BT360" s="120"/>
      <c r="BU360" s="120"/>
      <c r="BV360" s="120"/>
      <c r="BW360" s="120"/>
      <c r="BX360" s="120"/>
      <c r="BY360" s="120"/>
      <c r="BZ360" s="120"/>
      <c r="CA360" s="120"/>
      <c r="CB360" s="120"/>
      <c r="CC360" s="120"/>
      <c r="CD360" s="120"/>
      <c r="CE360" s="120"/>
    </row>
    <row r="361" ht="18.75" customHeight="1">
      <c r="C361" s="64"/>
      <c r="E361" s="64"/>
      <c r="F361" s="64"/>
      <c r="G361" s="64"/>
      <c r="AH361" s="152"/>
      <c r="AI361" s="152"/>
      <c r="AJ361" s="152"/>
      <c r="AK361" s="152"/>
      <c r="BS361" s="120"/>
      <c r="BT361" s="120"/>
      <c r="BU361" s="120"/>
      <c r="BV361" s="120"/>
      <c r="BW361" s="120"/>
      <c r="BX361" s="120"/>
      <c r="BY361" s="120"/>
      <c r="BZ361" s="120"/>
      <c r="CA361" s="120"/>
      <c r="CB361" s="120"/>
      <c r="CC361" s="120"/>
      <c r="CD361" s="120"/>
      <c r="CE361" s="120"/>
    </row>
    <row r="362" ht="18.75" customHeight="1">
      <c r="C362" s="64"/>
      <c r="E362" s="64"/>
      <c r="F362" s="64"/>
      <c r="G362" s="64"/>
      <c r="AH362" s="152"/>
      <c r="AI362" s="152"/>
      <c r="AJ362" s="152"/>
      <c r="AK362" s="152"/>
      <c r="BS362" s="120"/>
      <c r="BT362" s="120"/>
      <c r="BU362" s="120"/>
      <c r="BV362" s="120"/>
      <c r="BW362" s="120"/>
      <c r="BX362" s="120"/>
      <c r="BY362" s="120"/>
      <c r="BZ362" s="120"/>
      <c r="CA362" s="120"/>
      <c r="CB362" s="120"/>
      <c r="CC362" s="120"/>
      <c r="CD362" s="120"/>
      <c r="CE362" s="120"/>
    </row>
    <row r="363" ht="18.75" customHeight="1">
      <c r="C363" s="64"/>
      <c r="E363" s="64"/>
      <c r="F363" s="64"/>
      <c r="G363" s="64"/>
      <c r="AH363" s="152"/>
      <c r="AI363" s="152"/>
      <c r="AJ363" s="152"/>
      <c r="AK363" s="152"/>
      <c r="BS363" s="120"/>
      <c r="BT363" s="120"/>
      <c r="BU363" s="120"/>
      <c r="BV363" s="120"/>
      <c r="BW363" s="120"/>
      <c r="BX363" s="120"/>
      <c r="BY363" s="120"/>
      <c r="BZ363" s="120"/>
      <c r="CA363" s="120"/>
      <c r="CB363" s="120"/>
      <c r="CC363" s="120"/>
      <c r="CD363" s="120"/>
      <c r="CE363" s="120"/>
    </row>
    <row r="364" ht="18.75" customHeight="1">
      <c r="C364" s="64"/>
      <c r="E364" s="64"/>
      <c r="F364" s="64"/>
      <c r="G364" s="64"/>
      <c r="AH364" s="152"/>
      <c r="AI364" s="152"/>
      <c r="AJ364" s="152"/>
      <c r="AK364" s="152"/>
      <c r="BS364" s="120"/>
      <c r="BT364" s="120"/>
      <c r="BU364" s="120"/>
      <c r="BV364" s="120"/>
      <c r="BW364" s="120"/>
      <c r="BX364" s="120"/>
      <c r="BY364" s="120"/>
      <c r="BZ364" s="120"/>
      <c r="CA364" s="120"/>
      <c r="CB364" s="120"/>
      <c r="CC364" s="120"/>
      <c r="CD364" s="120"/>
      <c r="CE364" s="120"/>
    </row>
    <row r="365" ht="18.75" customHeight="1">
      <c r="C365" s="64"/>
      <c r="E365" s="64"/>
      <c r="F365" s="64"/>
      <c r="G365" s="64"/>
      <c r="AH365" s="152"/>
      <c r="AI365" s="152"/>
      <c r="AJ365" s="152"/>
      <c r="AK365" s="152"/>
      <c r="BS365" s="120"/>
      <c r="BT365" s="120"/>
      <c r="BU365" s="120"/>
      <c r="BV365" s="120"/>
      <c r="BW365" s="120"/>
      <c r="BX365" s="120"/>
      <c r="BY365" s="120"/>
      <c r="BZ365" s="120"/>
      <c r="CA365" s="120"/>
      <c r="CB365" s="120"/>
      <c r="CC365" s="120"/>
      <c r="CD365" s="120"/>
      <c r="CE365" s="120"/>
    </row>
    <row r="366" ht="18.75" customHeight="1">
      <c r="C366" s="64"/>
      <c r="E366" s="64"/>
      <c r="F366" s="64"/>
      <c r="G366" s="64"/>
      <c r="AH366" s="152"/>
      <c r="AI366" s="152"/>
      <c r="AJ366" s="152"/>
      <c r="AK366" s="152"/>
      <c r="BS366" s="120"/>
      <c r="BT366" s="120"/>
      <c r="BU366" s="120"/>
      <c r="BV366" s="120"/>
      <c r="BW366" s="120"/>
      <c r="BX366" s="120"/>
      <c r="BY366" s="120"/>
      <c r="BZ366" s="120"/>
      <c r="CA366" s="120"/>
      <c r="CB366" s="120"/>
      <c r="CC366" s="120"/>
      <c r="CD366" s="120"/>
      <c r="CE366" s="120"/>
    </row>
    <row r="367" ht="18.75" customHeight="1">
      <c r="C367" s="64"/>
      <c r="E367" s="64"/>
      <c r="F367" s="64"/>
      <c r="G367" s="64"/>
      <c r="AH367" s="152"/>
      <c r="AI367" s="152"/>
      <c r="AJ367" s="152"/>
      <c r="AK367" s="152"/>
      <c r="BS367" s="120"/>
      <c r="BT367" s="120"/>
      <c r="BU367" s="120"/>
      <c r="BV367" s="120"/>
      <c r="BW367" s="120"/>
      <c r="BX367" s="120"/>
      <c r="BY367" s="120"/>
      <c r="BZ367" s="120"/>
      <c r="CA367" s="120"/>
      <c r="CB367" s="120"/>
      <c r="CC367" s="120"/>
      <c r="CD367" s="120"/>
      <c r="CE367" s="120"/>
    </row>
    <row r="368" ht="18.75" customHeight="1">
      <c r="C368" s="64"/>
      <c r="E368" s="64"/>
      <c r="F368" s="64"/>
      <c r="G368" s="64"/>
      <c r="AH368" s="152"/>
      <c r="AI368" s="152"/>
      <c r="AJ368" s="152"/>
      <c r="AK368" s="152"/>
      <c r="BS368" s="120"/>
      <c r="BT368" s="120"/>
      <c r="BU368" s="120"/>
      <c r="BV368" s="120"/>
      <c r="BW368" s="120"/>
      <c r="BX368" s="120"/>
      <c r="BY368" s="120"/>
      <c r="BZ368" s="120"/>
      <c r="CA368" s="120"/>
      <c r="CB368" s="120"/>
      <c r="CC368" s="120"/>
      <c r="CD368" s="120"/>
      <c r="CE368" s="120"/>
    </row>
    <row r="369" ht="18.75" customHeight="1">
      <c r="C369" s="64"/>
      <c r="E369" s="64"/>
      <c r="F369" s="64"/>
      <c r="G369" s="64"/>
      <c r="AH369" s="152"/>
      <c r="AI369" s="152"/>
      <c r="AJ369" s="152"/>
      <c r="AK369" s="152"/>
      <c r="BS369" s="120"/>
      <c r="BT369" s="120"/>
      <c r="BU369" s="120"/>
      <c r="BV369" s="120"/>
      <c r="BW369" s="120"/>
      <c r="BX369" s="120"/>
      <c r="BY369" s="120"/>
      <c r="BZ369" s="120"/>
      <c r="CA369" s="120"/>
      <c r="CB369" s="120"/>
      <c r="CC369" s="120"/>
      <c r="CD369" s="120"/>
      <c r="CE369" s="120"/>
    </row>
    <row r="370" ht="18.75" customHeight="1">
      <c r="C370" s="64"/>
      <c r="E370" s="64"/>
      <c r="F370" s="64"/>
      <c r="G370" s="64"/>
      <c r="AH370" s="152"/>
      <c r="AI370" s="152"/>
      <c r="AJ370" s="152"/>
      <c r="AK370" s="152"/>
      <c r="BS370" s="120"/>
      <c r="BT370" s="120"/>
      <c r="BU370" s="120"/>
      <c r="BV370" s="120"/>
      <c r="BW370" s="120"/>
      <c r="BX370" s="120"/>
      <c r="BY370" s="120"/>
      <c r="BZ370" s="120"/>
      <c r="CA370" s="120"/>
      <c r="CB370" s="120"/>
      <c r="CC370" s="120"/>
      <c r="CD370" s="120"/>
      <c r="CE370" s="120"/>
    </row>
    <row r="371" ht="18.75" customHeight="1">
      <c r="C371" s="64"/>
      <c r="E371" s="64"/>
      <c r="F371" s="64"/>
      <c r="G371" s="64"/>
      <c r="AH371" s="152"/>
      <c r="AI371" s="152"/>
      <c r="AJ371" s="152"/>
      <c r="AK371" s="152"/>
      <c r="BS371" s="120"/>
      <c r="BT371" s="120"/>
      <c r="BU371" s="120"/>
      <c r="BV371" s="120"/>
      <c r="BW371" s="120"/>
      <c r="BX371" s="120"/>
      <c r="BY371" s="120"/>
      <c r="BZ371" s="120"/>
      <c r="CA371" s="120"/>
      <c r="CB371" s="120"/>
      <c r="CC371" s="120"/>
      <c r="CD371" s="120"/>
      <c r="CE371" s="120"/>
    </row>
    <row r="372" ht="18.75" customHeight="1">
      <c r="C372" s="64"/>
      <c r="E372" s="64"/>
      <c r="F372" s="64"/>
      <c r="G372" s="64"/>
      <c r="AH372" s="152"/>
      <c r="AI372" s="152"/>
      <c r="AJ372" s="152"/>
      <c r="AK372" s="152"/>
      <c r="BS372" s="120"/>
      <c r="BT372" s="120"/>
      <c r="BU372" s="120"/>
      <c r="BV372" s="120"/>
      <c r="BW372" s="120"/>
      <c r="BX372" s="120"/>
      <c r="BY372" s="120"/>
      <c r="BZ372" s="120"/>
      <c r="CA372" s="120"/>
      <c r="CB372" s="120"/>
      <c r="CC372" s="120"/>
      <c r="CD372" s="120"/>
      <c r="CE372" s="120"/>
    </row>
    <row r="373" ht="18.75" customHeight="1">
      <c r="C373" s="64"/>
      <c r="E373" s="64"/>
      <c r="F373" s="64"/>
      <c r="G373" s="64"/>
      <c r="AH373" s="152"/>
      <c r="AI373" s="152"/>
      <c r="AJ373" s="152"/>
      <c r="AK373" s="152"/>
      <c r="BS373" s="120"/>
      <c r="BT373" s="120"/>
      <c r="BU373" s="120"/>
      <c r="BV373" s="120"/>
      <c r="BW373" s="120"/>
      <c r="BX373" s="120"/>
      <c r="BY373" s="120"/>
      <c r="BZ373" s="120"/>
      <c r="CA373" s="120"/>
      <c r="CB373" s="120"/>
      <c r="CC373" s="120"/>
      <c r="CD373" s="120"/>
      <c r="CE373" s="120"/>
    </row>
    <row r="374" ht="18.75" customHeight="1">
      <c r="C374" s="64"/>
      <c r="E374" s="64"/>
      <c r="F374" s="64"/>
      <c r="G374" s="64"/>
      <c r="AH374" s="152"/>
      <c r="AI374" s="152"/>
      <c r="AJ374" s="152"/>
      <c r="AK374" s="152"/>
      <c r="BS374" s="120"/>
      <c r="BT374" s="120"/>
      <c r="BU374" s="120"/>
      <c r="BV374" s="120"/>
      <c r="BW374" s="120"/>
      <c r="BX374" s="120"/>
      <c r="BY374" s="120"/>
      <c r="BZ374" s="120"/>
      <c r="CA374" s="120"/>
      <c r="CB374" s="120"/>
      <c r="CC374" s="120"/>
      <c r="CD374" s="120"/>
      <c r="CE374" s="120"/>
    </row>
    <row r="375" ht="18.75" customHeight="1">
      <c r="C375" s="64"/>
      <c r="E375" s="64"/>
      <c r="F375" s="64"/>
      <c r="G375" s="64"/>
      <c r="AH375" s="152"/>
      <c r="AI375" s="152"/>
      <c r="AJ375" s="152"/>
      <c r="AK375" s="152"/>
      <c r="BS375" s="120"/>
      <c r="BT375" s="120"/>
      <c r="BU375" s="120"/>
      <c r="BV375" s="120"/>
      <c r="BW375" s="120"/>
      <c r="BX375" s="120"/>
      <c r="BY375" s="120"/>
      <c r="BZ375" s="120"/>
      <c r="CA375" s="120"/>
      <c r="CB375" s="120"/>
      <c r="CC375" s="120"/>
      <c r="CD375" s="120"/>
      <c r="CE375" s="120"/>
    </row>
    <row r="376" ht="18.75" customHeight="1">
      <c r="C376" s="64"/>
      <c r="E376" s="64"/>
      <c r="F376" s="64"/>
      <c r="G376" s="64"/>
      <c r="AH376" s="152"/>
      <c r="AI376" s="152"/>
      <c r="AJ376" s="152"/>
      <c r="AK376" s="152"/>
      <c r="BS376" s="120"/>
      <c r="BT376" s="120"/>
      <c r="BU376" s="120"/>
      <c r="BV376" s="120"/>
      <c r="BW376" s="120"/>
      <c r="BX376" s="120"/>
      <c r="BY376" s="120"/>
      <c r="BZ376" s="120"/>
      <c r="CA376" s="120"/>
      <c r="CB376" s="120"/>
      <c r="CC376" s="120"/>
      <c r="CD376" s="120"/>
      <c r="CE376" s="120"/>
    </row>
    <row r="377" ht="18.75" customHeight="1">
      <c r="C377" s="64"/>
      <c r="E377" s="64"/>
      <c r="F377" s="64"/>
      <c r="G377" s="64"/>
      <c r="AH377" s="152"/>
      <c r="AI377" s="152"/>
      <c r="AJ377" s="152"/>
      <c r="AK377" s="152"/>
      <c r="BS377" s="120"/>
      <c r="BT377" s="120"/>
      <c r="BU377" s="120"/>
      <c r="BV377" s="120"/>
      <c r="BW377" s="120"/>
      <c r="BX377" s="120"/>
      <c r="BY377" s="120"/>
      <c r="BZ377" s="120"/>
      <c r="CA377" s="120"/>
      <c r="CB377" s="120"/>
      <c r="CC377" s="120"/>
      <c r="CD377" s="120"/>
      <c r="CE377" s="120"/>
    </row>
    <row r="378" ht="18.75" customHeight="1">
      <c r="C378" s="64"/>
      <c r="E378" s="64"/>
      <c r="F378" s="64"/>
      <c r="G378" s="64"/>
      <c r="AH378" s="152"/>
      <c r="AI378" s="152"/>
      <c r="AJ378" s="152"/>
      <c r="AK378" s="152"/>
      <c r="BS378" s="120"/>
      <c r="BT378" s="120"/>
      <c r="BU378" s="120"/>
      <c r="BV378" s="120"/>
      <c r="BW378" s="120"/>
      <c r="BX378" s="120"/>
      <c r="BY378" s="120"/>
      <c r="BZ378" s="120"/>
      <c r="CA378" s="120"/>
      <c r="CB378" s="120"/>
      <c r="CC378" s="120"/>
      <c r="CD378" s="120"/>
      <c r="CE378" s="120"/>
    </row>
    <row r="379" ht="18.75" customHeight="1">
      <c r="C379" s="64"/>
      <c r="E379" s="64"/>
      <c r="F379" s="64"/>
      <c r="G379" s="64"/>
      <c r="AH379" s="152"/>
      <c r="AI379" s="152"/>
      <c r="AJ379" s="152"/>
      <c r="AK379" s="152"/>
      <c r="BS379" s="120"/>
      <c r="BT379" s="120"/>
      <c r="BU379" s="120"/>
      <c r="BV379" s="120"/>
      <c r="BW379" s="120"/>
      <c r="BX379" s="120"/>
      <c r="BY379" s="120"/>
      <c r="BZ379" s="120"/>
      <c r="CA379" s="120"/>
      <c r="CB379" s="120"/>
      <c r="CC379" s="120"/>
      <c r="CD379" s="120"/>
      <c r="CE379" s="120"/>
    </row>
    <row r="380" ht="18.75" customHeight="1">
      <c r="C380" s="64"/>
      <c r="E380" s="64"/>
      <c r="F380" s="64"/>
      <c r="G380" s="64"/>
      <c r="AH380" s="152"/>
      <c r="AI380" s="152"/>
      <c r="AJ380" s="152"/>
      <c r="AK380" s="152"/>
      <c r="BS380" s="120"/>
      <c r="BT380" s="120"/>
      <c r="BU380" s="120"/>
      <c r="BV380" s="120"/>
      <c r="BW380" s="120"/>
      <c r="BX380" s="120"/>
      <c r="BY380" s="120"/>
      <c r="BZ380" s="120"/>
      <c r="CA380" s="120"/>
      <c r="CB380" s="120"/>
      <c r="CC380" s="120"/>
      <c r="CD380" s="120"/>
      <c r="CE380" s="120"/>
    </row>
    <row r="381" ht="18.75" customHeight="1">
      <c r="C381" s="64"/>
      <c r="E381" s="64"/>
      <c r="F381" s="64"/>
      <c r="G381" s="64"/>
      <c r="AH381" s="152"/>
      <c r="AI381" s="152"/>
      <c r="AJ381" s="152"/>
      <c r="AK381" s="152"/>
      <c r="BS381" s="120"/>
      <c r="BT381" s="120"/>
      <c r="BU381" s="120"/>
      <c r="BV381" s="120"/>
      <c r="BW381" s="120"/>
      <c r="BX381" s="120"/>
      <c r="BY381" s="120"/>
      <c r="BZ381" s="120"/>
      <c r="CA381" s="120"/>
      <c r="CB381" s="120"/>
      <c r="CC381" s="120"/>
      <c r="CD381" s="120"/>
      <c r="CE381" s="120"/>
    </row>
    <row r="382" ht="18.75" customHeight="1">
      <c r="C382" s="64"/>
      <c r="E382" s="64"/>
      <c r="F382" s="64"/>
      <c r="G382" s="64"/>
      <c r="AH382" s="152"/>
      <c r="AI382" s="152"/>
      <c r="AJ382" s="152"/>
      <c r="AK382" s="152"/>
      <c r="BS382" s="120"/>
      <c r="BT382" s="120"/>
      <c r="BU382" s="120"/>
      <c r="BV382" s="120"/>
      <c r="BW382" s="120"/>
      <c r="BX382" s="120"/>
      <c r="BY382" s="120"/>
      <c r="BZ382" s="120"/>
      <c r="CA382" s="120"/>
      <c r="CB382" s="120"/>
      <c r="CC382" s="120"/>
      <c r="CD382" s="120"/>
      <c r="CE382" s="120"/>
    </row>
    <row r="383" ht="18.75" customHeight="1">
      <c r="C383" s="64"/>
      <c r="E383" s="64"/>
      <c r="F383" s="64"/>
      <c r="G383" s="64"/>
      <c r="AH383" s="152"/>
      <c r="AI383" s="152"/>
      <c r="AJ383" s="152"/>
      <c r="AK383" s="152"/>
      <c r="BS383" s="120"/>
      <c r="BT383" s="120"/>
      <c r="BU383" s="120"/>
      <c r="BV383" s="120"/>
      <c r="BW383" s="120"/>
      <c r="BX383" s="120"/>
      <c r="BY383" s="120"/>
      <c r="BZ383" s="120"/>
      <c r="CA383" s="120"/>
      <c r="CB383" s="120"/>
      <c r="CC383" s="120"/>
      <c r="CD383" s="120"/>
      <c r="CE383" s="120"/>
    </row>
    <row r="384" ht="18.75" customHeight="1">
      <c r="C384" s="64"/>
      <c r="E384" s="64"/>
      <c r="F384" s="64"/>
      <c r="G384" s="64"/>
      <c r="AH384" s="152"/>
      <c r="AI384" s="152"/>
      <c r="AJ384" s="152"/>
      <c r="AK384" s="152"/>
      <c r="BS384" s="120"/>
      <c r="BT384" s="120"/>
      <c r="BU384" s="120"/>
      <c r="BV384" s="120"/>
      <c r="BW384" s="120"/>
      <c r="BX384" s="120"/>
      <c r="BY384" s="120"/>
      <c r="BZ384" s="120"/>
      <c r="CA384" s="120"/>
      <c r="CB384" s="120"/>
      <c r="CC384" s="120"/>
      <c r="CD384" s="120"/>
      <c r="CE384" s="120"/>
    </row>
    <row r="385" ht="18.75" customHeight="1">
      <c r="C385" s="64"/>
      <c r="E385" s="64"/>
      <c r="F385" s="64"/>
      <c r="G385" s="64"/>
      <c r="AH385" s="152"/>
      <c r="AI385" s="152"/>
      <c r="AJ385" s="152"/>
      <c r="AK385" s="152"/>
      <c r="BS385" s="120"/>
      <c r="BT385" s="120"/>
      <c r="BU385" s="120"/>
      <c r="BV385" s="120"/>
      <c r="BW385" s="120"/>
      <c r="BX385" s="120"/>
      <c r="BY385" s="120"/>
      <c r="BZ385" s="120"/>
      <c r="CA385" s="120"/>
      <c r="CB385" s="120"/>
      <c r="CC385" s="120"/>
      <c r="CD385" s="120"/>
      <c r="CE385" s="120"/>
    </row>
    <row r="386" ht="18.75" customHeight="1">
      <c r="C386" s="64"/>
      <c r="E386" s="64"/>
      <c r="F386" s="64"/>
      <c r="G386" s="64"/>
      <c r="AH386" s="152"/>
      <c r="AI386" s="152"/>
      <c r="AJ386" s="152"/>
      <c r="AK386" s="152"/>
      <c r="BS386" s="120"/>
      <c r="BT386" s="120"/>
      <c r="BU386" s="120"/>
      <c r="BV386" s="120"/>
      <c r="BW386" s="120"/>
      <c r="BX386" s="120"/>
      <c r="BY386" s="120"/>
      <c r="BZ386" s="120"/>
      <c r="CA386" s="120"/>
      <c r="CB386" s="120"/>
      <c r="CC386" s="120"/>
      <c r="CD386" s="120"/>
      <c r="CE386" s="120"/>
    </row>
    <row r="387" ht="18.75" customHeight="1">
      <c r="C387" s="64"/>
      <c r="E387" s="64"/>
      <c r="F387" s="64"/>
      <c r="G387" s="64"/>
      <c r="AH387" s="152"/>
      <c r="AI387" s="152"/>
      <c r="AJ387" s="152"/>
      <c r="AK387" s="152"/>
      <c r="BS387" s="120"/>
      <c r="BT387" s="120"/>
      <c r="BU387" s="120"/>
      <c r="BV387" s="120"/>
      <c r="BW387" s="120"/>
      <c r="BX387" s="120"/>
      <c r="BY387" s="120"/>
      <c r="BZ387" s="120"/>
      <c r="CA387" s="120"/>
      <c r="CB387" s="120"/>
      <c r="CC387" s="120"/>
      <c r="CD387" s="120"/>
      <c r="CE387" s="120"/>
    </row>
    <row r="388" ht="18.75" customHeight="1">
      <c r="C388" s="64"/>
      <c r="E388" s="64"/>
      <c r="F388" s="64"/>
      <c r="G388" s="64"/>
      <c r="AH388" s="152"/>
      <c r="AI388" s="152"/>
      <c r="AJ388" s="152"/>
      <c r="AK388" s="152"/>
      <c r="BS388" s="120"/>
      <c r="BT388" s="120"/>
      <c r="BU388" s="120"/>
      <c r="BV388" s="120"/>
      <c r="BW388" s="120"/>
      <c r="BX388" s="120"/>
      <c r="BY388" s="120"/>
      <c r="BZ388" s="120"/>
      <c r="CA388" s="120"/>
      <c r="CB388" s="120"/>
      <c r="CC388" s="120"/>
      <c r="CD388" s="120"/>
      <c r="CE388" s="120"/>
    </row>
    <row r="389" ht="18.75" customHeight="1">
      <c r="C389" s="64"/>
      <c r="E389" s="64"/>
      <c r="F389" s="64"/>
      <c r="G389" s="64"/>
      <c r="AH389" s="152"/>
      <c r="AI389" s="152"/>
      <c r="AJ389" s="152"/>
      <c r="AK389" s="152"/>
      <c r="BS389" s="120"/>
      <c r="BT389" s="120"/>
      <c r="BU389" s="120"/>
      <c r="BV389" s="120"/>
      <c r="BW389" s="120"/>
      <c r="BX389" s="120"/>
      <c r="BY389" s="120"/>
      <c r="BZ389" s="120"/>
      <c r="CA389" s="120"/>
      <c r="CB389" s="120"/>
      <c r="CC389" s="120"/>
      <c r="CD389" s="120"/>
      <c r="CE389" s="120"/>
    </row>
    <row r="390" ht="18.75" customHeight="1">
      <c r="C390" s="64"/>
      <c r="E390" s="64"/>
      <c r="F390" s="64"/>
      <c r="G390" s="64"/>
      <c r="AH390" s="152"/>
      <c r="AI390" s="152"/>
      <c r="AJ390" s="152"/>
      <c r="AK390" s="152"/>
      <c r="BS390" s="120"/>
      <c r="BT390" s="120"/>
      <c r="BU390" s="120"/>
      <c r="BV390" s="120"/>
      <c r="BW390" s="120"/>
      <c r="BX390" s="120"/>
      <c r="BY390" s="120"/>
      <c r="BZ390" s="120"/>
      <c r="CA390" s="120"/>
      <c r="CB390" s="120"/>
      <c r="CC390" s="120"/>
      <c r="CD390" s="120"/>
      <c r="CE390" s="120"/>
    </row>
    <row r="391" ht="18.75" customHeight="1">
      <c r="C391" s="64"/>
      <c r="E391" s="64"/>
      <c r="F391" s="64"/>
      <c r="G391" s="64"/>
      <c r="AH391" s="152"/>
      <c r="AI391" s="152"/>
      <c r="AJ391" s="152"/>
      <c r="AK391" s="152"/>
      <c r="BS391" s="120"/>
      <c r="BT391" s="120"/>
      <c r="BU391" s="120"/>
      <c r="BV391" s="120"/>
      <c r="BW391" s="120"/>
      <c r="BX391" s="120"/>
      <c r="BY391" s="120"/>
      <c r="BZ391" s="120"/>
      <c r="CA391" s="120"/>
      <c r="CB391" s="120"/>
      <c r="CC391" s="120"/>
      <c r="CD391" s="120"/>
      <c r="CE391" s="120"/>
    </row>
    <row r="392" ht="18.75" customHeight="1">
      <c r="C392" s="64"/>
      <c r="E392" s="64"/>
      <c r="F392" s="64"/>
      <c r="G392" s="64"/>
      <c r="AH392" s="152"/>
      <c r="AI392" s="152"/>
      <c r="AJ392" s="152"/>
      <c r="AK392" s="152"/>
      <c r="BS392" s="120"/>
      <c r="BT392" s="120"/>
      <c r="BU392" s="120"/>
      <c r="BV392" s="120"/>
      <c r="BW392" s="120"/>
      <c r="BX392" s="120"/>
      <c r="BY392" s="120"/>
      <c r="BZ392" s="120"/>
      <c r="CA392" s="120"/>
      <c r="CB392" s="120"/>
      <c r="CC392" s="120"/>
      <c r="CD392" s="120"/>
      <c r="CE392" s="120"/>
    </row>
    <row r="393" ht="18.75" customHeight="1">
      <c r="C393" s="64"/>
      <c r="E393" s="64"/>
      <c r="F393" s="64"/>
      <c r="G393" s="64"/>
      <c r="AH393" s="152"/>
      <c r="AI393" s="152"/>
      <c r="AJ393" s="152"/>
      <c r="AK393" s="152"/>
      <c r="BS393" s="120"/>
      <c r="BT393" s="120"/>
      <c r="BU393" s="120"/>
      <c r="BV393" s="120"/>
      <c r="BW393" s="120"/>
      <c r="BX393" s="120"/>
      <c r="BY393" s="120"/>
      <c r="BZ393" s="120"/>
      <c r="CA393" s="120"/>
      <c r="CB393" s="120"/>
      <c r="CC393" s="120"/>
      <c r="CD393" s="120"/>
      <c r="CE393" s="120"/>
    </row>
    <row r="394" ht="18.75" customHeight="1">
      <c r="C394" s="64"/>
      <c r="E394" s="64"/>
      <c r="F394" s="64"/>
      <c r="G394" s="64"/>
      <c r="AH394" s="152"/>
      <c r="AI394" s="152"/>
      <c r="AJ394" s="152"/>
      <c r="AK394" s="152"/>
      <c r="BS394" s="120"/>
      <c r="BT394" s="120"/>
      <c r="BU394" s="120"/>
      <c r="BV394" s="120"/>
      <c r="BW394" s="120"/>
      <c r="BX394" s="120"/>
      <c r="BY394" s="120"/>
      <c r="BZ394" s="120"/>
      <c r="CA394" s="120"/>
      <c r="CB394" s="120"/>
      <c r="CC394" s="120"/>
      <c r="CD394" s="120"/>
      <c r="CE394" s="120"/>
    </row>
    <row r="395" ht="18.75" customHeight="1">
      <c r="C395" s="64"/>
      <c r="E395" s="64"/>
      <c r="F395" s="64"/>
      <c r="G395" s="64"/>
      <c r="AH395" s="152"/>
      <c r="AI395" s="152"/>
      <c r="AJ395" s="152"/>
      <c r="AK395" s="152"/>
      <c r="BS395" s="120"/>
      <c r="BT395" s="120"/>
      <c r="BU395" s="120"/>
      <c r="BV395" s="120"/>
      <c r="BW395" s="120"/>
      <c r="BX395" s="120"/>
      <c r="BY395" s="120"/>
      <c r="BZ395" s="120"/>
      <c r="CA395" s="120"/>
      <c r="CB395" s="120"/>
      <c r="CC395" s="120"/>
      <c r="CD395" s="120"/>
      <c r="CE395" s="120"/>
    </row>
    <row r="396" ht="18.75" customHeight="1">
      <c r="C396" s="64"/>
      <c r="E396" s="64"/>
      <c r="F396" s="64"/>
      <c r="G396" s="64"/>
      <c r="AH396" s="152"/>
      <c r="AI396" s="152"/>
      <c r="AJ396" s="152"/>
      <c r="AK396" s="152"/>
      <c r="BS396" s="120"/>
      <c r="BT396" s="120"/>
      <c r="BU396" s="120"/>
      <c r="BV396" s="120"/>
      <c r="BW396" s="120"/>
      <c r="BX396" s="120"/>
      <c r="BY396" s="120"/>
      <c r="BZ396" s="120"/>
      <c r="CA396" s="120"/>
      <c r="CB396" s="120"/>
      <c r="CC396" s="120"/>
      <c r="CD396" s="120"/>
      <c r="CE396" s="120"/>
    </row>
    <row r="397" ht="18.75" customHeight="1">
      <c r="C397" s="64"/>
      <c r="E397" s="64"/>
      <c r="F397" s="64"/>
      <c r="G397" s="64"/>
      <c r="AH397" s="152"/>
      <c r="AI397" s="152"/>
      <c r="AJ397" s="152"/>
      <c r="AK397" s="152"/>
      <c r="BS397" s="120"/>
      <c r="BT397" s="120"/>
      <c r="BU397" s="120"/>
      <c r="BV397" s="120"/>
      <c r="BW397" s="120"/>
      <c r="BX397" s="120"/>
      <c r="BY397" s="120"/>
      <c r="BZ397" s="120"/>
      <c r="CA397" s="120"/>
      <c r="CB397" s="120"/>
      <c r="CC397" s="120"/>
      <c r="CD397" s="120"/>
      <c r="CE397" s="120"/>
    </row>
    <row r="398" ht="18.75" customHeight="1">
      <c r="C398" s="64"/>
      <c r="E398" s="64"/>
      <c r="F398" s="64"/>
      <c r="G398" s="64"/>
      <c r="AH398" s="152"/>
      <c r="AI398" s="152"/>
      <c r="AJ398" s="152"/>
      <c r="AK398" s="152"/>
      <c r="BS398" s="120"/>
      <c r="BT398" s="120"/>
      <c r="BU398" s="120"/>
      <c r="BV398" s="120"/>
      <c r="BW398" s="120"/>
      <c r="BX398" s="120"/>
      <c r="BY398" s="120"/>
      <c r="BZ398" s="120"/>
      <c r="CA398" s="120"/>
      <c r="CB398" s="120"/>
      <c r="CC398" s="120"/>
      <c r="CD398" s="120"/>
      <c r="CE398" s="120"/>
    </row>
    <row r="399" ht="18.75" customHeight="1">
      <c r="C399" s="64"/>
      <c r="E399" s="64"/>
      <c r="F399" s="64"/>
      <c r="G399" s="64"/>
      <c r="AH399" s="152"/>
      <c r="AI399" s="152"/>
      <c r="AJ399" s="152"/>
      <c r="AK399" s="152"/>
      <c r="BS399" s="120"/>
      <c r="BT399" s="120"/>
      <c r="BU399" s="120"/>
      <c r="BV399" s="120"/>
      <c r="BW399" s="120"/>
      <c r="BX399" s="120"/>
      <c r="BY399" s="120"/>
      <c r="BZ399" s="120"/>
      <c r="CA399" s="120"/>
      <c r="CB399" s="120"/>
      <c r="CC399" s="120"/>
      <c r="CD399" s="120"/>
      <c r="CE399" s="120"/>
    </row>
    <row r="400" ht="18.75" customHeight="1">
      <c r="C400" s="64"/>
      <c r="E400" s="64"/>
      <c r="F400" s="64"/>
      <c r="G400" s="64"/>
      <c r="AH400" s="152"/>
      <c r="AI400" s="152"/>
      <c r="AJ400" s="152"/>
      <c r="AK400" s="152"/>
      <c r="BS400" s="120"/>
      <c r="BT400" s="120"/>
      <c r="BU400" s="120"/>
      <c r="BV400" s="120"/>
      <c r="BW400" s="120"/>
      <c r="BX400" s="120"/>
      <c r="BY400" s="120"/>
      <c r="BZ400" s="120"/>
      <c r="CA400" s="120"/>
      <c r="CB400" s="120"/>
      <c r="CC400" s="120"/>
      <c r="CD400" s="120"/>
      <c r="CE400" s="120"/>
    </row>
    <row r="401" ht="18.75" customHeight="1">
      <c r="C401" s="64"/>
      <c r="E401" s="64"/>
      <c r="F401" s="64"/>
      <c r="G401" s="64"/>
      <c r="AH401" s="152"/>
      <c r="AI401" s="152"/>
      <c r="AJ401" s="152"/>
      <c r="AK401" s="152"/>
      <c r="BS401" s="120"/>
      <c r="BT401" s="120"/>
      <c r="BU401" s="120"/>
      <c r="BV401" s="120"/>
      <c r="BW401" s="120"/>
      <c r="BX401" s="120"/>
      <c r="BY401" s="120"/>
      <c r="BZ401" s="120"/>
      <c r="CA401" s="120"/>
      <c r="CB401" s="120"/>
      <c r="CC401" s="120"/>
      <c r="CD401" s="120"/>
      <c r="CE401" s="120"/>
    </row>
    <row r="402" ht="18.75" customHeight="1">
      <c r="C402" s="64"/>
      <c r="E402" s="64"/>
      <c r="F402" s="64"/>
      <c r="G402" s="64"/>
      <c r="AH402" s="152"/>
      <c r="AI402" s="152"/>
      <c r="AJ402" s="152"/>
      <c r="AK402" s="152"/>
      <c r="BS402" s="120"/>
      <c r="BT402" s="120"/>
      <c r="BU402" s="120"/>
      <c r="BV402" s="120"/>
      <c r="BW402" s="120"/>
      <c r="BX402" s="120"/>
      <c r="BY402" s="120"/>
      <c r="BZ402" s="120"/>
      <c r="CA402" s="120"/>
      <c r="CB402" s="120"/>
      <c r="CC402" s="120"/>
      <c r="CD402" s="120"/>
      <c r="CE402" s="120"/>
    </row>
    <row r="403" ht="18.75" customHeight="1">
      <c r="C403" s="64"/>
      <c r="E403" s="64"/>
      <c r="F403" s="64"/>
      <c r="G403" s="64"/>
      <c r="AH403" s="152"/>
      <c r="AI403" s="152"/>
      <c r="AJ403" s="152"/>
      <c r="AK403" s="152"/>
      <c r="BS403" s="120"/>
      <c r="BT403" s="120"/>
      <c r="BU403" s="120"/>
      <c r="BV403" s="120"/>
      <c r="BW403" s="120"/>
      <c r="BX403" s="120"/>
      <c r="BY403" s="120"/>
      <c r="BZ403" s="120"/>
      <c r="CA403" s="120"/>
      <c r="CB403" s="120"/>
      <c r="CC403" s="120"/>
      <c r="CD403" s="120"/>
      <c r="CE403" s="120"/>
    </row>
    <row r="404" ht="18.75" customHeight="1">
      <c r="C404" s="64"/>
      <c r="E404" s="64"/>
      <c r="F404" s="64"/>
      <c r="G404" s="64"/>
      <c r="AH404" s="152"/>
      <c r="AI404" s="152"/>
      <c r="AJ404" s="152"/>
      <c r="AK404" s="152"/>
      <c r="BS404" s="120"/>
      <c r="BT404" s="120"/>
      <c r="BU404" s="120"/>
      <c r="BV404" s="120"/>
      <c r="BW404" s="120"/>
      <c r="BX404" s="120"/>
      <c r="BY404" s="120"/>
      <c r="BZ404" s="120"/>
      <c r="CA404" s="120"/>
      <c r="CB404" s="120"/>
      <c r="CC404" s="120"/>
      <c r="CD404" s="120"/>
      <c r="CE404" s="120"/>
    </row>
    <row r="405" ht="18.75" customHeight="1">
      <c r="C405" s="64"/>
      <c r="E405" s="64"/>
      <c r="F405" s="64"/>
      <c r="G405" s="64"/>
      <c r="AH405" s="152"/>
      <c r="AI405" s="152"/>
      <c r="AJ405" s="152"/>
      <c r="AK405" s="152"/>
      <c r="BS405" s="120"/>
      <c r="BT405" s="120"/>
      <c r="BU405" s="120"/>
      <c r="BV405" s="120"/>
      <c r="BW405" s="120"/>
      <c r="BX405" s="120"/>
      <c r="BY405" s="120"/>
      <c r="BZ405" s="120"/>
      <c r="CA405" s="120"/>
      <c r="CB405" s="120"/>
      <c r="CC405" s="120"/>
      <c r="CD405" s="120"/>
      <c r="CE405" s="120"/>
    </row>
    <row r="406" ht="18.75" customHeight="1">
      <c r="C406" s="64"/>
      <c r="E406" s="64"/>
      <c r="F406" s="64"/>
      <c r="G406" s="64"/>
      <c r="AH406" s="152"/>
      <c r="AI406" s="152"/>
      <c r="AJ406" s="152"/>
      <c r="AK406" s="152"/>
      <c r="BS406" s="120"/>
      <c r="BT406" s="120"/>
      <c r="BU406" s="120"/>
      <c r="BV406" s="120"/>
      <c r="BW406" s="120"/>
      <c r="BX406" s="120"/>
      <c r="BY406" s="120"/>
      <c r="BZ406" s="120"/>
      <c r="CA406" s="120"/>
      <c r="CB406" s="120"/>
      <c r="CC406" s="120"/>
      <c r="CD406" s="120"/>
      <c r="CE406" s="120"/>
    </row>
    <row r="407" ht="18.75" customHeight="1">
      <c r="C407" s="64"/>
      <c r="E407" s="64"/>
      <c r="F407" s="64"/>
      <c r="G407" s="64"/>
      <c r="AH407" s="152"/>
      <c r="AI407" s="152"/>
      <c r="AJ407" s="152"/>
      <c r="AK407" s="152"/>
      <c r="BS407" s="120"/>
      <c r="BT407" s="120"/>
      <c r="BU407" s="120"/>
      <c r="BV407" s="120"/>
      <c r="BW407" s="120"/>
      <c r="BX407" s="120"/>
      <c r="BY407" s="120"/>
      <c r="BZ407" s="120"/>
      <c r="CA407" s="120"/>
      <c r="CB407" s="120"/>
      <c r="CC407" s="120"/>
      <c r="CD407" s="120"/>
      <c r="CE407" s="120"/>
    </row>
    <row r="408" ht="18.75" customHeight="1">
      <c r="C408" s="64"/>
      <c r="E408" s="64"/>
      <c r="F408" s="64"/>
      <c r="G408" s="64"/>
      <c r="AH408" s="152"/>
      <c r="AI408" s="152"/>
      <c r="AJ408" s="152"/>
      <c r="AK408" s="152"/>
      <c r="BS408" s="120"/>
      <c r="BT408" s="120"/>
      <c r="BU408" s="120"/>
      <c r="BV408" s="120"/>
      <c r="BW408" s="120"/>
      <c r="BX408" s="120"/>
      <c r="BY408" s="120"/>
      <c r="BZ408" s="120"/>
      <c r="CA408" s="120"/>
      <c r="CB408" s="120"/>
      <c r="CC408" s="120"/>
      <c r="CD408" s="120"/>
      <c r="CE408" s="120"/>
    </row>
    <row r="409" ht="18.75" customHeight="1">
      <c r="C409" s="64"/>
      <c r="E409" s="64"/>
      <c r="F409" s="64"/>
      <c r="G409" s="64"/>
      <c r="AH409" s="152"/>
      <c r="AI409" s="152"/>
      <c r="AJ409" s="152"/>
      <c r="AK409" s="152"/>
      <c r="BS409" s="120"/>
      <c r="BT409" s="120"/>
      <c r="BU409" s="120"/>
      <c r="BV409" s="120"/>
      <c r="BW409" s="120"/>
      <c r="BX409" s="120"/>
      <c r="BY409" s="120"/>
      <c r="BZ409" s="120"/>
      <c r="CA409" s="120"/>
      <c r="CB409" s="120"/>
      <c r="CC409" s="120"/>
      <c r="CD409" s="120"/>
      <c r="CE409" s="120"/>
    </row>
    <row r="410" ht="18.75" customHeight="1">
      <c r="C410" s="64"/>
      <c r="E410" s="64"/>
      <c r="F410" s="64"/>
      <c r="G410" s="64"/>
      <c r="AH410" s="152"/>
      <c r="AI410" s="152"/>
      <c r="AJ410" s="152"/>
      <c r="AK410" s="152"/>
      <c r="BS410" s="120"/>
      <c r="BT410" s="120"/>
      <c r="BU410" s="120"/>
      <c r="BV410" s="120"/>
      <c r="BW410" s="120"/>
      <c r="BX410" s="120"/>
      <c r="BY410" s="120"/>
      <c r="BZ410" s="120"/>
      <c r="CA410" s="120"/>
      <c r="CB410" s="120"/>
      <c r="CC410" s="120"/>
      <c r="CD410" s="120"/>
      <c r="CE410" s="120"/>
    </row>
    <row r="411" ht="18.75" customHeight="1">
      <c r="C411" s="64"/>
      <c r="E411" s="64"/>
      <c r="F411" s="64"/>
      <c r="G411" s="64"/>
      <c r="AH411" s="152"/>
      <c r="AI411" s="152"/>
      <c r="AJ411" s="152"/>
      <c r="AK411" s="152"/>
      <c r="BS411" s="120"/>
      <c r="BT411" s="120"/>
      <c r="BU411" s="120"/>
      <c r="BV411" s="120"/>
      <c r="BW411" s="120"/>
      <c r="BX411" s="120"/>
      <c r="BY411" s="120"/>
      <c r="BZ411" s="120"/>
      <c r="CA411" s="120"/>
      <c r="CB411" s="120"/>
      <c r="CC411" s="120"/>
      <c r="CD411" s="120"/>
      <c r="CE411" s="120"/>
    </row>
    <row r="412" ht="18.75" customHeight="1">
      <c r="C412" s="64"/>
      <c r="E412" s="64"/>
      <c r="F412" s="64"/>
      <c r="G412" s="64"/>
      <c r="AH412" s="152"/>
      <c r="AI412" s="152"/>
      <c r="AJ412" s="152"/>
      <c r="AK412" s="152"/>
      <c r="BS412" s="120"/>
      <c r="BT412" s="120"/>
      <c r="BU412" s="120"/>
      <c r="BV412" s="120"/>
      <c r="BW412" s="120"/>
      <c r="BX412" s="120"/>
      <c r="BY412" s="120"/>
      <c r="BZ412" s="120"/>
      <c r="CA412" s="120"/>
      <c r="CB412" s="120"/>
      <c r="CC412" s="120"/>
      <c r="CD412" s="120"/>
      <c r="CE412" s="120"/>
    </row>
    <row r="413" ht="18.75" customHeight="1">
      <c r="C413" s="64"/>
      <c r="E413" s="64"/>
      <c r="F413" s="64"/>
      <c r="G413" s="64"/>
      <c r="AH413" s="152"/>
      <c r="AI413" s="152"/>
      <c r="AJ413" s="152"/>
      <c r="AK413" s="152"/>
      <c r="BS413" s="120"/>
      <c r="BT413" s="120"/>
      <c r="BU413" s="120"/>
      <c r="BV413" s="120"/>
      <c r="BW413" s="120"/>
      <c r="BX413" s="120"/>
      <c r="BY413" s="120"/>
      <c r="BZ413" s="120"/>
      <c r="CA413" s="120"/>
      <c r="CB413" s="120"/>
      <c r="CC413" s="120"/>
      <c r="CD413" s="120"/>
      <c r="CE413" s="120"/>
    </row>
    <row r="414" ht="18.75" customHeight="1">
      <c r="C414" s="64"/>
      <c r="E414" s="64"/>
      <c r="F414" s="64"/>
      <c r="G414" s="64"/>
      <c r="AH414" s="152"/>
      <c r="AI414" s="152"/>
      <c r="AJ414" s="152"/>
      <c r="AK414" s="152"/>
      <c r="BS414" s="120"/>
      <c r="BT414" s="120"/>
      <c r="BU414" s="120"/>
      <c r="BV414" s="120"/>
      <c r="BW414" s="120"/>
      <c r="BX414" s="120"/>
      <c r="BY414" s="120"/>
      <c r="BZ414" s="120"/>
      <c r="CA414" s="120"/>
      <c r="CB414" s="120"/>
      <c r="CC414" s="120"/>
      <c r="CD414" s="120"/>
      <c r="CE414" s="120"/>
    </row>
    <row r="415" ht="18.75" customHeight="1">
      <c r="C415" s="64"/>
      <c r="E415" s="64"/>
      <c r="F415" s="64"/>
      <c r="G415" s="64"/>
      <c r="AH415" s="152"/>
      <c r="AI415" s="152"/>
      <c r="AJ415" s="152"/>
      <c r="AK415" s="152"/>
      <c r="BS415" s="120"/>
      <c r="BT415" s="120"/>
      <c r="BU415" s="120"/>
      <c r="BV415" s="120"/>
      <c r="BW415" s="120"/>
      <c r="BX415" s="120"/>
      <c r="BY415" s="120"/>
      <c r="BZ415" s="120"/>
      <c r="CA415" s="120"/>
      <c r="CB415" s="120"/>
      <c r="CC415" s="120"/>
      <c r="CD415" s="120"/>
      <c r="CE415" s="120"/>
    </row>
    <row r="416" ht="18.75" customHeight="1">
      <c r="C416" s="64"/>
      <c r="E416" s="64"/>
      <c r="F416" s="64"/>
      <c r="G416" s="64"/>
      <c r="AH416" s="152"/>
      <c r="AI416" s="152"/>
      <c r="AJ416" s="152"/>
      <c r="AK416" s="152"/>
      <c r="BS416" s="120"/>
      <c r="BT416" s="120"/>
      <c r="BU416" s="120"/>
      <c r="BV416" s="120"/>
      <c r="BW416" s="120"/>
      <c r="BX416" s="120"/>
      <c r="BY416" s="120"/>
      <c r="BZ416" s="120"/>
      <c r="CA416" s="120"/>
      <c r="CB416" s="120"/>
      <c r="CC416" s="120"/>
      <c r="CD416" s="120"/>
      <c r="CE416" s="120"/>
    </row>
    <row r="417" ht="18.75" customHeight="1">
      <c r="C417" s="64"/>
      <c r="E417" s="64"/>
      <c r="F417" s="64"/>
      <c r="G417" s="64"/>
      <c r="AH417" s="152"/>
      <c r="AI417" s="152"/>
      <c r="AJ417" s="152"/>
      <c r="AK417" s="152"/>
      <c r="BS417" s="120"/>
      <c r="BT417" s="120"/>
      <c r="BU417" s="120"/>
      <c r="BV417" s="120"/>
      <c r="BW417" s="120"/>
      <c r="BX417" s="120"/>
      <c r="BY417" s="120"/>
      <c r="BZ417" s="120"/>
      <c r="CA417" s="120"/>
      <c r="CB417" s="120"/>
      <c r="CC417" s="120"/>
      <c r="CD417" s="120"/>
      <c r="CE417" s="120"/>
    </row>
    <row r="418" ht="18.75" customHeight="1">
      <c r="C418" s="64"/>
      <c r="E418" s="64"/>
      <c r="F418" s="64"/>
      <c r="G418" s="64"/>
      <c r="AH418" s="152"/>
      <c r="AI418" s="152"/>
      <c r="AJ418" s="152"/>
      <c r="AK418" s="152"/>
      <c r="BS418" s="120"/>
      <c r="BT418" s="120"/>
      <c r="BU418" s="120"/>
      <c r="BV418" s="120"/>
      <c r="BW418" s="120"/>
      <c r="BX418" s="120"/>
      <c r="BY418" s="120"/>
      <c r="BZ418" s="120"/>
      <c r="CA418" s="120"/>
      <c r="CB418" s="120"/>
      <c r="CC418" s="120"/>
      <c r="CD418" s="120"/>
      <c r="CE418" s="120"/>
    </row>
    <row r="419" ht="18.75" customHeight="1">
      <c r="C419" s="64"/>
      <c r="E419" s="64"/>
      <c r="F419" s="64"/>
      <c r="G419" s="64"/>
      <c r="AH419" s="152"/>
      <c r="AI419" s="152"/>
      <c r="AJ419" s="152"/>
      <c r="AK419" s="152"/>
      <c r="BS419" s="120"/>
      <c r="BT419" s="120"/>
      <c r="BU419" s="120"/>
      <c r="BV419" s="120"/>
      <c r="BW419" s="120"/>
      <c r="BX419" s="120"/>
      <c r="BY419" s="120"/>
      <c r="BZ419" s="120"/>
      <c r="CA419" s="120"/>
      <c r="CB419" s="120"/>
      <c r="CC419" s="120"/>
      <c r="CD419" s="120"/>
      <c r="CE419" s="120"/>
    </row>
    <row r="420" ht="18.75" customHeight="1">
      <c r="C420" s="64"/>
      <c r="E420" s="64"/>
      <c r="F420" s="64"/>
      <c r="G420" s="64"/>
      <c r="AH420" s="152"/>
      <c r="AI420" s="152"/>
      <c r="AJ420" s="152"/>
      <c r="AK420" s="152"/>
      <c r="BS420" s="120"/>
      <c r="BT420" s="120"/>
      <c r="BU420" s="120"/>
      <c r="BV420" s="120"/>
      <c r="BW420" s="120"/>
      <c r="BX420" s="120"/>
      <c r="BY420" s="120"/>
      <c r="BZ420" s="120"/>
      <c r="CA420" s="120"/>
      <c r="CB420" s="120"/>
      <c r="CC420" s="120"/>
      <c r="CD420" s="120"/>
      <c r="CE420" s="120"/>
    </row>
    <row r="421" ht="18.75" customHeight="1">
      <c r="C421" s="64"/>
      <c r="E421" s="64"/>
      <c r="F421" s="64"/>
      <c r="G421" s="64"/>
      <c r="AH421" s="152"/>
      <c r="AI421" s="152"/>
      <c r="AJ421" s="152"/>
      <c r="AK421" s="152"/>
      <c r="BS421" s="120"/>
      <c r="BT421" s="120"/>
      <c r="BU421" s="120"/>
      <c r="BV421" s="120"/>
      <c r="BW421" s="120"/>
      <c r="BX421" s="120"/>
      <c r="BY421" s="120"/>
      <c r="BZ421" s="120"/>
      <c r="CA421" s="120"/>
      <c r="CB421" s="120"/>
      <c r="CC421" s="120"/>
      <c r="CD421" s="120"/>
      <c r="CE421" s="120"/>
    </row>
    <row r="422" ht="18.75" customHeight="1">
      <c r="C422" s="64"/>
      <c r="E422" s="64"/>
      <c r="F422" s="64"/>
      <c r="G422" s="64"/>
      <c r="AH422" s="152"/>
      <c r="AI422" s="152"/>
      <c r="AJ422" s="152"/>
      <c r="AK422" s="152"/>
      <c r="BS422" s="120"/>
      <c r="BT422" s="120"/>
      <c r="BU422" s="120"/>
      <c r="BV422" s="120"/>
      <c r="BW422" s="120"/>
      <c r="BX422" s="120"/>
      <c r="BY422" s="120"/>
      <c r="BZ422" s="120"/>
      <c r="CA422" s="120"/>
      <c r="CB422" s="120"/>
      <c r="CC422" s="120"/>
      <c r="CD422" s="120"/>
      <c r="CE422" s="120"/>
    </row>
    <row r="423" ht="18.75" customHeight="1">
      <c r="C423" s="64"/>
      <c r="E423" s="64"/>
      <c r="F423" s="64"/>
      <c r="G423" s="64"/>
      <c r="AH423" s="152"/>
      <c r="AI423" s="152"/>
      <c r="AJ423" s="152"/>
      <c r="AK423" s="152"/>
      <c r="BS423" s="120"/>
      <c r="BT423" s="120"/>
      <c r="BU423" s="120"/>
      <c r="BV423" s="120"/>
      <c r="BW423" s="120"/>
      <c r="BX423" s="120"/>
      <c r="BY423" s="120"/>
      <c r="BZ423" s="120"/>
      <c r="CA423" s="120"/>
      <c r="CB423" s="120"/>
      <c r="CC423" s="120"/>
      <c r="CD423" s="120"/>
      <c r="CE423" s="120"/>
    </row>
    <row r="424" ht="18.75" customHeight="1">
      <c r="C424" s="64"/>
      <c r="E424" s="64"/>
      <c r="F424" s="64"/>
      <c r="G424" s="64"/>
      <c r="AH424" s="152"/>
      <c r="AI424" s="152"/>
      <c r="AJ424" s="152"/>
      <c r="AK424" s="152"/>
      <c r="BS424" s="120"/>
      <c r="BT424" s="120"/>
      <c r="BU424" s="120"/>
      <c r="BV424" s="120"/>
      <c r="BW424" s="120"/>
      <c r="BX424" s="120"/>
      <c r="BY424" s="120"/>
      <c r="BZ424" s="120"/>
      <c r="CA424" s="120"/>
      <c r="CB424" s="120"/>
      <c r="CC424" s="120"/>
      <c r="CD424" s="120"/>
      <c r="CE424" s="120"/>
    </row>
    <row r="425" ht="18.75" customHeight="1">
      <c r="C425" s="64"/>
      <c r="E425" s="64"/>
      <c r="F425" s="64"/>
      <c r="G425" s="64"/>
      <c r="AH425" s="152"/>
      <c r="AI425" s="152"/>
      <c r="AJ425" s="152"/>
      <c r="AK425" s="152"/>
      <c r="BS425" s="120"/>
      <c r="BT425" s="120"/>
      <c r="BU425" s="120"/>
      <c r="BV425" s="120"/>
      <c r="BW425" s="120"/>
      <c r="BX425" s="120"/>
      <c r="BY425" s="120"/>
      <c r="BZ425" s="120"/>
      <c r="CA425" s="120"/>
      <c r="CB425" s="120"/>
      <c r="CC425" s="120"/>
      <c r="CD425" s="120"/>
      <c r="CE425" s="120"/>
    </row>
    <row r="426" ht="18.75" customHeight="1">
      <c r="C426" s="64"/>
      <c r="E426" s="64"/>
      <c r="F426" s="64"/>
      <c r="G426" s="64"/>
      <c r="AH426" s="152"/>
      <c r="AI426" s="152"/>
      <c r="AJ426" s="152"/>
      <c r="AK426" s="152"/>
      <c r="BS426" s="120"/>
      <c r="BT426" s="120"/>
      <c r="BU426" s="120"/>
      <c r="BV426" s="120"/>
      <c r="BW426" s="120"/>
      <c r="BX426" s="120"/>
      <c r="BY426" s="120"/>
      <c r="BZ426" s="120"/>
      <c r="CA426" s="120"/>
      <c r="CB426" s="120"/>
      <c r="CC426" s="120"/>
      <c r="CD426" s="120"/>
      <c r="CE426" s="120"/>
    </row>
    <row r="427" ht="18.75" customHeight="1">
      <c r="C427" s="64"/>
      <c r="E427" s="64"/>
      <c r="F427" s="64"/>
      <c r="G427" s="64"/>
      <c r="AH427" s="152"/>
      <c r="AI427" s="152"/>
      <c r="AJ427" s="152"/>
      <c r="AK427" s="152"/>
      <c r="BS427" s="120"/>
      <c r="BT427" s="120"/>
      <c r="BU427" s="120"/>
      <c r="BV427" s="120"/>
      <c r="BW427" s="120"/>
      <c r="BX427" s="120"/>
      <c r="BY427" s="120"/>
      <c r="BZ427" s="120"/>
      <c r="CA427" s="120"/>
      <c r="CB427" s="120"/>
      <c r="CC427" s="120"/>
      <c r="CD427" s="120"/>
      <c r="CE427" s="120"/>
    </row>
    <row r="428" ht="18.75" customHeight="1">
      <c r="C428" s="64"/>
      <c r="E428" s="64"/>
      <c r="F428" s="64"/>
      <c r="G428" s="64"/>
      <c r="AH428" s="152"/>
      <c r="AI428" s="152"/>
      <c r="AJ428" s="152"/>
      <c r="AK428" s="152"/>
      <c r="BS428" s="120"/>
      <c r="BT428" s="120"/>
      <c r="BU428" s="120"/>
      <c r="BV428" s="120"/>
      <c r="BW428" s="120"/>
      <c r="BX428" s="120"/>
      <c r="BY428" s="120"/>
      <c r="BZ428" s="120"/>
      <c r="CA428" s="120"/>
      <c r="CB428" s="120"/>
      <c r="CC428" s="120"/>
      <c r="CD428" s="120"/>
      <c r="CE428" s="120"/>
    </row>
    <row r="429" ht="18.75" customHeight="1">
      <c r="C429" s="64"/>
      <c r="E429" s="64"/>
      <c r="F429" s="64"/>
      <c r="G429" s="64"/>
      <c r="AH429" s="152"/>
      <c r="AI429" s="152"/>
      <c r="AJ429" s="152"/>
      <c r="AK429" s="152"/>
      <c r="BS429" s="120"/>
      <c r="BT429" s="120"/>
      <c r="BU429" s="120"/>
      <c r="BV429" s="120"/>
      <c r="BW429" s="120"/>
      <c r="BX429" s="120"/>
      <c r="BY429" s="120"/>
      <c r="BZ429" s="120"/>
      <c r="CA429" s="120"/>
      <c r="CB429" s="120"/>
      <c r="CC429" s="120"/>
      <c r="CD429" s="120"/>
      <c r="CE429" s="120"/>
    </row>
    <row r="430" ht="18.75" customHeight="1">
      <c r="C430" s="64"/>
      <c r="E430" s="64"/>
      <c r="F430" s="64"/>
      <c r="G430" s="64"/>
      <c r="AH430" s="152"/>
      <c r="AI430" s="152"/>
      <c r="AJ430" s="152"/>
      <c r="AK430" s="152"/>
      <c r="BS430" s="120"/>
      <c r="BT430" s="120"/>
      <c r="BU430" s="120"/>
      <c r="BV430" s="120"/>
      <c r="BW430" s="120"/>
      <c r="BX430" s="120"/>
      <c r="BY430" s="120"/>
      <c r="BZ430" s="120"/>
      <c r="CA430" s="120"/>
      <c r="CB430" s="120"/>
      <c r="CC430" s="120"/>
      <c r="CD430" s="120"/>
      <c r="CE430" s="120"/>
    </row>
    <row r="431" ht="18.75" customHeight="1">
      <c r="C431" s="64"/>
      <c r="E431" s="64"/>
      <c r="F431" s="64"/>
      <c r="G431" s="64"/>
      <c r="AH431" s="152"/>
      <c r="AI431" s="152"/>
      <c r="AJ431" s="152"/>
      <c r="AK431" s="152"/>
      <c r="BS431" s="120"/>
      <c r="BT431" s="120"/>
      <c r="BU431" s="120"/>
      <c r="BV431" s="120"/>
      <c r="BW431" s="120"/>
      <c r="BX431" s="120"/>
      <c r="BY431" s="120"/>
      <c r="BZ431" s="120"/>
      <c r="CA431" s="120"/>
      <c r="CB431" s="120"/>
      <c r="CC431" s="120"/>
      <c r="CD431" s="120"/>
      <c r="CE431" s="120"/>
    </row>
    <row r="432" ht="18.75" customHeight="1">
      <c r="C432" s="64"/>
      <c r="E432" s="64"/>
      <c r="F432" s="64"/>
      <c r="G432" s="64"/>
      <c r="AH432" s="152"/>
      <c r="AI432" s="152"/>
      <c r="AJ432" s="152"/>
      <c r="AK432" s="152"/>
      <c r="BS432" s="120"/>
      <c r="BT432" s="120"/>
      <c r="BU432" s="120"/>
      <c r="BV432" s="120"/>
      <c r="BW432" s="120"/>
      <c r="BX432" s="120"/>
      <c r="BY432" s="120"/>
      <c r="BZ432" s="120"/>
      <c r="CA432" s="120"/>
      <c r="CB432" s="120"/>
      <c r="CC432" s="120"/>
      <c r="CD432" s="120"/>
      <c r="CE432" s="120"/>
    </row>
    <row r="433" ht="18.75" customHeight="1">
      <c r="C433" s="64"/>
      <c r="E433" s="64"/>
      <c r="F433" s="64"/>
      <c r="G433" s="64"/>
      <c r="AH433" s="152"/>
      <c r="AI433" s="152"/>
      <c r="AJ433" s="152"/>
      <c r="AK433" s="152"/>
      <c r="BS433" s="120"/>
      <c r="BT433" s="120"/>
      <c r="BU433" s="120"/>
      <c r="BV433" s="120"/>
      <c r="BW433" s="120"/>
      <c r="BX433" s="120"/>
      <c r="BY433" s="120"/>
      <c r="BZ433" s="120"/>
      <c r="CA433" s="120"/>
      <c r="CB433" s="120"/>
      <c r="CC433" s="120"/>
      <c r="CD433" s="120"/>
      <c r="CE433" s="120"/>
    </row>
    <row r="434" ht="18.75" customHeight="1">
      <c r="C434" s="64"/>
      <c r="E434" s="64"/>
      <c r="F434" s="64"/>
      <c r="G434" s="64"/>
      <c r="AH434" s="152"/>
      <c r="AI434" s="152"/>
      <c r="AJ434" s="152"/>
      <c r="AK434" s="152"/>
      <c r="BS434" s="120"/>
      <c r="BT434" s="120"/>
      <c r="BU434" s="120"/>
      <c r="BV434" s="120"/>
      <c r="BW434" s="120"/>
      <c r="BX434" s="120"/>
      <c r="BY434" s="120"/>
      <c r="BZ434" s="120"/>
      <c r="CA434" s="120"/>
      <c r="CB434" s="120"/>
      <c r="CC434" s="120"/>
      <c r="CD434" s="120"/>
      <c r="CE434" s="120"/>
    </row>
    <row r="435" ht="18.75" customHeight="1">
      <c r="C435" s="64"/>
      <c r="E435" s="64"/>
      <c r="F435" s="64"/>
      <c r="G435" s="64"/>
      <c r="AH435" s="152"/>
      <c r="AI435" s="152"/>
      <c r="AJ435" s="152"/>
      <c r="AK435" s="152"/>
      <c r="BS435" s="120"/>
      <c r="BT435" s="120"/>
      <c r="BU435" s="120"/>
      <c r="BV435" s="120"/>
      <c r="BW435" s="120"/>
      <c r="BX435" s="120"/>
      <c r="BY435" s="120"/>
      <c r="BZ435" s="120"/>
      <c r="CA435" s="120"/>
      <c r="CB435" s="120"/>
      <c r="CC435" s="120"/>
      <c r="CD435" s="120"/>
      <c r="CE435" s="120"/>
    </row>
    <row r="436" ht="18.75" customHeight="1">
      <c r="C436" s="64"/>
      <c r="E436" s="64"/>
      <c r="F436" s="64"/>
      <c r="G436" s="64"/>
      <c r="AH436" s="152"/>
      <c r="AI436" s="152"/>
      <c r="AJ436" s="152"/>
      <c r="AK436" s="152"/>
      <c r="BS436" s="120"/>
      <c r="BT436" s="120"/>
      <c r="BU436" s="120"/>
      <c r="BV436" s="120"/>
      <c r="BW436" s="120"/>
      <c r="BX436" s="120"/>
      <c r="BY436" s="120"/>
      <c r="BZ436" s="120"/>
      <c r="CA436" s="120"/>
      <c r="CB436" s="120"/>
      <c r="CC436" s="120"/>
      <c r="CD436" s="120"/>
      <c r="CE436" s="120"/>
    </row>
    <row r="437" ht="18.75" customHeight="1">
      <c r="C437" s="64"/>
      <c r="E437" s="64"/>
      <c r="F437" s="64"/>
      <c r="G437" s="64"/>
      <c r="AH437" s="152"/>
      <c r="AI437" s="152"/>
      <c r="AJ437" s="152"/>
      <c r="AK437" s="152"/>
      <c r="BS437" s="120"/>
      <c r="BT437" s="120"/>
      <c r="BU437" s="120"/>
      <c r="BV437" s="120"/>
      <c r="BW437" s="120"/>
      <c r="BX437" s="120"/>
      <c r="BY437" s="120"/>
      <c r="BZ437" s="120"/>
      <c r="CA437" s="120"/>
      <c r="CB437" s="120"/>
      <c r="CC437" s="120"/>
      <c r="CD437" s="120"/>
      <c r="CE437" s="120"/>
    </row>
    <row r="438" ht="18.75" customHeight="1">
      <c r="C438" s="64"/>
      <c r="E438" s="64"/>
      <c r="F438" s="64"/>
      <c r="G438" s="64"/>
      <c r="AH438" s="152"/>
      <c r="AI438" s="152"/>
      <c r="AJ438" s="152"/>
      <c r="AK438" s="152"/>
      <c r="BS438" s="120"/>
      <c r="BT438" s="120"/>
      <c r="BU438" s="120"/>
      <c r="BV438" s="120"/>
      <c r="BW438" s="120"/>
      <c r="BX438" s="120"/>
      <c r="BY438" s="120"/>
      <c r="BZ438" s="120"/>
      <c r="CA438" s="120"/>
      <c r="CB438" s="120"/>
      <c r="CC438" s="120"/>
      <c r="CD438" s="120"/>
      <c r="CE438" s="120"/>
    </row>
    <row r="439" ht="18.75" customHeight="1">
      <c r="C439" s="64"/>
      <c r="E439" s="64"/>
      <c r="F439" s="64"/>
      <c r="G439" s="64"/>
      <c r="AH439" s="152"/>
      <c r="AI439" s="152"/>
      <c r="AJ439" s="152"/>
      <c r="AK439" s="152"/>
      <c r="BS439" s="120"/>
      <c r="BT439" s="120"/>
      <c r="BU439" s="120"/>
      <c r="BV439" s="120"/>
      <c r="BW439" s="120"/>
      <c r="BX439" s="120"/>
      <c r="BY439" s="120"/>
      <c r="BZ439" s="120"/>
      <c r="CA439" s="120"/>
      <c r="CB439" s="120"/>
      <c r="CC439" s="120"/>
      <c r="CD439" s="120"/>
      <c r="CE439" s="120"/>
    </row>
    <row r="440" ht="18.75" customHeight="1">
      <c r="C440" s="64"/>
      <c r="E440" s="64"/>
      <c r="F440" s="64"/>
      <c r="G440" s="64"/>
      <c r="AH440" s="152"/>
      <c r="AI440" s="152"/>
      <c r="AJ440" s="152"/>
      <c r="AK440" s="152"/>
      <c r="BS440" s="120"/>
      <c r="BT440" s="120"/>
      <c r="BU440" s="120"/>
      <c r="BV440" s="120"/>
      <c r="BW440" s="120"/>
      <c r="BX440" s="120"/>
      <c r="BY440" s="120"/>
      <c r="BZ440" s="120"/>
      <c r="CA440" s="120"/>
      <c r="CB440" s="120"/>
      <c r="CC440" s="120"/>
      <c r="CD440" s="120"/>
      <c r="CE440" s="120"/>
    </row>
    <row r="441" ht="18.75" customHeight="1">
      <c r="C441" s="64"/>
      <c r="E441" s="64"/>
      <c r="F441" s="64"/>
      <c r="G441" s="64"/>
      <c r="AH441" s="152"/>
      <c r="AI441" s="152"/>
      <c r="AJ441" s="152"/>
      <c r="AK441" s="152"/>
      <c r="BS441" s="120"/>
      <c r="BT441" s="120"/>
      <c r="BU441" s="120"/>
      <c r="BV441" s="120"/>
      <c r="BW441" s="120"/>
      <c r="BX441" s="120"/>
      <c r="BY441" s="120"/>
      <c r="BZ441" s="120"/>
      <c r="CA441" s="120"/>
      <c r="CB441" s="120"/>
      <c r="CC441" s="120"/>
      <c r="CD441" s="120"/>
      <c r="CE441" s="120"/>
    </row>
    <row r="442" ht="18.75" customHeight="1">
      <c r="C442" s="64"/>
      <c r="E442" s="64"/>
      <c r="F442" s="64"/>
      <c r="G442" s="64"/>
      <c r="AH442" s="152"/>
      <c r="AI442" s="152"/>
      <c r="AJ442" s="152"/>
      <c r="AK442" s="152"/>
      <c r="BS442" s="120"/>
      <c r="BT442" s="120"/>
      <c r="BU442" s="120"/>
      <c r="BV442" s="120"/>
      <c r="BW442" s="120"/>
      <c r="BX442" s="120"/>
      <c r="BY442" s="120"/>
      <c r="BZ442" s="120"/>
      <c r="CA442" s="120"/>
      <c r="CB442" s="120"/>
      <c r="CC442" s="120"/>
      <c r="CD442" s="120"/>
      <c r="CE442" s="120"/>
    </row>
    <row r="443" ht="18.75" customHeight="1">
      <c r="C443" s="64"/>
      <c r="E443" s="64"/>
      <c r="F443" s="64"/>
      <c r="G443" s="64"/>
      <c r="AH443" s="152"/>
      <c r="AI443" s="152"/>
      <c r="AJ443" s="152"/>
      <c r="AK443" s="152"/>
      <c r="BS443" s="120"/>
      <c r="BT443" s="120"/>
      <c r="BU443" s="120"/>
      <c r="BV443" s="120"/>
      <c r="BW443" s="120"/>
      <c r="BX443" s="120"/>
      <c r="BY443" s="120"/>
      <c r="BZ443" s="120"/>
      <c r="CA443" s="120"/>
      <c r="CB443" s="120"/>
      <c r="CC443" s="120"/>
      <c r="CD443" s="120"/>
      <c r="CE443" s="120"/>
    </row>
    <row r="444" ht="18.75" customHeight="1">
      <c r="C444" s="64"/>
      <c r="E444" s="64"/>
      <c r="F444" s="64"/>
      <c r="G444" s="64"/>
      <c r="AH444" s="152"/>
      <c r="AI444" s="152"/>
      <c r="AJ444" s="152"/>
      <c r="AK444" s="152"/>
      <c r="BS444" s="120"/>
      <c r="BT444" s="120"/>
      <c r="BU444" s="120"/>
      <c r="BV444" s="120"/>
      <c r="BW444" s="120"/>
      <c r="BX444" s="120"/>
      <c r="BY444" s="120"/>
      <c r="BZ444" s="120"/>
      <c r="CA444" s="120"/>
      <c r="CB444" s="120"/>
      <c r="CC444" s="120"/>
      <c r="CD444" s="120"/>
      <c r="CE444" s="120"/>
    </row>
    <row r="445" ht="18.75" customHeight="1">
      <c r="C445" s="64"/>
      <c r="E445" s="64"/>
      <c r="F445" s="64"/>
      <c r="G445" s="64"/>
      <c r="AH445" s="152"/>
      <c r="AI445" s="152"/>
      <c r="AJ445" s="152"/>
      <c r="AK445" s="152"/>
      <c r="BS445" s="120"/>
      <c r="BT445" s="120"/>
      <c r="BU445" s="120"/>
      <c r="BV445" s="120"/>
      <c r="BW445" s="120"/>
      <c r="BX445" s="120"/>
      <c r="BY445" s="120"/>
      <c r="BZ445" s="120"/>
      <c r="CA445" s="120"/>
      <c r="CB445" s="120"/>
      <c r="CC445" s="120"/>
      <c r="CD445" s="120"/>
      <c r="CE445" s="120"/>
    </row>
    <row r="446" ht="18.75" customHeight="1">
      <c r="C446" s="64"/>
      <c r="E446" s="64"/>
      <c r="F446" s="64"/>
      <c r="G446" s="64"/>
      <c r="AH446" s="152"/>
      <c r="AI446" s="152"/>
      <c r="AJ446" s="152"/>
      <c r="AK446" s="152"/>
      <c r="BS446" s="120"/>
      <c r="BT446" s="120"/>
      <c r="BU446" s="120"/>
      <c r="BV446" s="120"/>
      <c r="BW446" s="120"/>
      <c r="BX446" s="120"/>
      <c r="BY446" s="120"/>
      <c r="BZ446" s="120"/>
      <c r="CA446" s="120"/>
      <c r="CB446" s="120"/>
      <c r="CC446" s="120"/>
      <c r="CD446" s="120"/>
      <c r="CE446" s="120"/>
    </row>
    <row r="447" ht="18.75" customHeight="1">
      <c r="C447" s="64"/>
      <c r="E447" s="64"/>
      <c r="F447" s="64"/>
      <c r="G447" s="64"/>
      <c r="AH447" s="152"/>
      <c r="AI447" s="152"/>
      <c r="AJ447" s="152"/>
      <c r="AK447" s="152"/>
      <c r="BS447" s="120"/>
      <c r="BT447" s="120"/>
      <c r="BU447" s="120"/>
      <c r="BV447" s="120"/>
      <c r="BW447" s="120"/>
      <c r="BX447" s="120"/>
      <c r="BY447" s="120"/>
      <c r="BZ447" s="120"/>
      <c r="CA447" s="120"/>
      <c r="CB447" s="120"/>
      <c r="CC447" s="120"/>
      <c r="CD447" s="120"/>
      <c r="CE447" s="120"/>
    </row>
    <row r="448" ht="18.75" customHeight="1">
      <c r="C448" s="64"/>
      <c r="E448" s="64"/>
      <c r="F448" s="64"/>
      <c r="G448" s="64"/>
      <c r="AH448" s="152"/>
      <c r="AI448" s="152"/>
      <c r="AJ448" s="152"/>
      <c r="AK448" s="152"/>
      <c r="BS448" s="120"/>
      <c r="BT448" s="120"/>
      <c r="BU448" s="120"/>
      <c r="BV448" s="120"/>
      <c r="BW448" s="120"/>
      <c r="BX448" s="120"/>
      <c r="BY448" s="120"/>
      <c r="BZ448" s="120"/>
      <c r="CA448" s="120"/>
      <c r="CB448" s="120"/>
      <c r="CC448" s="120"/>
      <c r="CD448" s="120"/>
      <c r="CE448" s="120"/>
    </row>
    <row r="449" ht="18.75" customHeight="1">
      <c r="C449" s="64"/>
      <c r="E449" s="64"/>
      <c r="F449" s="64"/>
      <c r="G449" s="64"/>
      <c r="AH449" s="152"/>
      <c r="AI449" s="152"/>
      <c r="AJ449" s="152"/>
      <c r="AK449" s="152"/>
      <c r="BS449" s="120"/>
      <c r="BT449" s="120"/>
      <c r="BU449" s="120"/>
      <c r="BV449" s="120"/>
      <c r="BW449" s="120"/>
      <c r="BX449" s="120"/>
      <c r="BY449" s="120"/>
      <c r="BZ449" s="120"/>
      <c r="CA449" s="120"/>
      <c r="CB449" s="120"/>
      <c r="CC449" s="120"/>
      <c r="CD449" s="120"/>
      <c r="CE449" s="120"/>
    </row>
    <row r="450" ht="18.75" customHeight="1">
      <c r="C450" s="64"/>
      <c r="E450" s="64"/>
      <c r="F450" s="64"/>
      <c r="G450" s="64"/>
      <c r="AH450" s="152"/>
      <c r="AI450" s="152"/>
      <c r="AJ450" s="152"/>
      <c r="AK450" s="152"/>
      <c r="BS450" s="120"/>
      <c r="BT450" s="120"/>
      <c r="BU450" s="120"/>
      <c r="BV450" s="120"/>
      <c r="BW450" s="120"/>
      <c r="BX450" s="120"/>
      <c r="BY450" s="120"/>
      <c r="BZ450" s="120"/>
      <c r="CA450" s="120"/>
      <c r="CB450" s="120"/>
      <c r="CC450" s="120"/>
      <c r="CD450" s="120"/>
      <c r="CE450" s="120"/>
    </row>
    <row r="451" ht="18.75" customHeight="1">
      <c r="C451" s="64"/>
      <c r="E451" s="64"/>
      <c r="F451" s="64"/>
      <c r="G451" s="64"/>
      <c r="AH451" s="152"/>
      <c r="AI451" s="152"/>
      <c r="AJ451" s="152"/>
      <c r="AK451" s="152"/>
      <c r="BS451" s="120"/>
      <c r="BT451" s="120"/>
      <c r="BU451" s="120"/>
      <c r="BV451" s="120"/>
      <c r="BW451" s="120"/>
      <c r="BX451" s="120"/>
      <c r="BY451" s="120"/>
      <c r="BZ451" s="120"/>
      <c r="CA451" s="120"/>
      <c r="CB451" s="120"/>
      <c r="CC451" s="120"/>
      <c r="CD451" s="120"/>
      <c r="CE451" s="120"/>
    </row>
    <row r="452" ht="18.75" customHeight="1">
      <c r="C452" s="64"/>
      <c r="E452" s="64"/>
      <c r="F452" s="64"/>
      <c r="G452" s="64"/>
      <c r="AH452" s="152"/>
      <c r="AI452" s="152"/>
      <c r="AJ452" s="152"/>
      <c r="AK452" s="152"/>
      <c r="BS452" s="120"/>
      <c r="BT452" s="120"/>
      <c r="BU452" s="120"/>
      <c r="BV452" s="120"/>
      <c r="BW452" s="120"/>
      <c r="BX452" s="120"/>
      <c r="BY452" s="120"/>
      <c r="BZ452" s="120"/>
      <c r="CA452" s="120"/>
      <c r="CB452" s="120"/>
      <c r="CC452" s="120"/>
      <c r="CD452" s="120"/>
      <c r="CE452" s="120"/>
    </row>
    <row r="453" ht="18.75" customHeight="1">
      <c r="C453" s="64"/>
      <c r="E453" s="64"/>
      <c r="F453" s="64"/>
      <c r="G453" s="64"/>
      <c r="AH453" s="152"/>
      <c r="AI453" s="152"/>
      <c r="AJ453" s="152"/>
      <c r="AK453" s="152"/>
      <c r="BS453" s="120"/>
      <c r="BT453" s="120"/>
      <c r="BU453" s="120"/>
      <c r="BV453" s="120"/>
      <c r="BW453" s="120"/>
      <c r="BX453" s="120"/>
      <c r="BY453" s="120"/>
      <c r="BZ453" s="120"/>
      <c r="CA453" s="120"/>
      <c r="CB453" s="120"/>
      <c r="CC453" s="120"/>
      <c r="CD453" s="120"/>
      <c r="CE453" s="120"/>
    </row>
    <row r="454" ht="18.75" customHeight="1">
      <c r="C454" s="64"/>
      <c r="E454" s="64"/>
      <c r="F454" s="64"/>
      <c r="G454" s="64"/>
      <c r="AH454" s="152"/>
      <c r="AI454" s="152"/>
      <c r="AJ454" s="152"/>
      <c r="AK454" s="152"/>
      <c r="BS454" s="120"/>
      <c r="BT454" s="120"/>
      <c r="BU454" s="120"/>
      <c r="BV454" s="120"/>
      <c r="BW454" s="120"/>
      <c r="BX454" s="120"/>
      <c r="BY454" s="120"/>
      <c r="BZ454" s="120"/>
      <c r="CA454" s="120"/>
      <c r="CB454" s="120"/>
      <c r="CC454" s="120"/>
      <c r="CD454" s="120"/>
      <c r="CE454" s="120"/>
    </row>
    <row r="455" ht="18.75" customHeight="1">
      <c r="C455" s="64"/>
      <c r="E455" s="64"/>
      <c r="F455" s="64"/>
      <c r="G455" s="64"/>
      <c r="AH455" s="152"/>
      <c r="AI455" s="152"/>
      <c r="AJ455" s="152"/>
      <c r="AK455" s="152"/>
      <c r="BS455" s="120"/>
      <c r="BT455" s="120"/>
      <c r="BU455" s="120"/>
      <c r="BV455" s="120"/>
      <c r="BW455" s="120"/>
      <c r="BX455" s="120"/>
      <c r="BY455" s="120"/>
      <c r="BZ455" s="120"/>
      <c r="CA455" s="120"/>
      <c r="CB455" s="120"/>
      <c r="CC455" s="120"/>
      <c r="CD455" s="120"/>
      <c r="CE455" s="120"/>
    </row>
    <row r="456" ht="18.75" customHeight="1">
      <c r="C456" s="64"/>
      <c r="E456" s="64"/>
      <c r="F456" s="64"/>
      <c r="G456" s="64"/>
      <c r="AH456" s="152"/>
      <c r="AI456" s="152"/>
      <c r="AJ456" s="152"/>
      <c r="AK456" s="152"/>
      <c r="BS456" s="120"/>
      <c r="BT456" s="120"/>
      <c r="BU456" s="120"/>
      <c r="BV456" s="120"/>
      <c r="BW456" s="120"/>
      <c r="BX456" s="120"/>
      <c r="BY456" s="120"/>
      <c r="BZ456" s="120"/>
      <c r="CA456" s="120"/>
      <c r="CB456" s="120"/>
      <c r="CC456" s="120"/>
      <c r="CD456" s="120"/>
      <c r="CE456" s="120"/>
    </row>
    <row r="457" ht="18.75" customHeight="1">
      <c r="C457" s="64"/>
      <c r="E457" s="64"/>
      <c r="F457" s="64"/>
      <c r="G457" s="64"/>
      <c r="AH457" s="152"/>
      <c r="AI457" s="152"/>
      <c r="AJ457" s="152"/>
      <c r="AK457" s="152"/>
      <c r="BS457" s="120"/>
      <c r="BT457" s="120"/>
      <c r="BU457" s="120"/>
      <c r="BV457" s="120"/>
      <c r="BW457" s="120"/>
      <c r="BX457" s="120"/>
      <c r="BY457" s="120"/>
      <c r="BZ457" s="120"/>
      <c r="CA457" s="120"/>
      <c r="CB457" s="120"/>
      <c r="CC457" s="120"/>
      <c r="CD457" s="120"/>
      <c r="CE457" s="120"/>
    </row>
    <row r="458" ht="18.75" customHeight="1">
      <c r="C458" s="64"/>
      <c r="E458" s="64"/>
      <c r="F458" s="64"/>
      <c r="G458" s="64"/>
      <c r="AH458" s="152"/>
      <c r="AI458" s="152"/>
      <c r="AJ458" s="152"/>
      <c r="AK458" s="152"/>
      <c r="BS458" s="120"/>
      <c r="BT458" s="120"/>
      <c r="BU458" s="120"/>
      <c r="BV458" s="120"/>
      <c r="BW458" s="120"/>
      <c r="BX458" s="120"/>
      <c r="BY458" s="120"/>
      <c r="BZ458" s="120"/>
      <c r="CA458" s="120"/>
      <c r="CB458" s="120"/>
      <c r="CC458" s="120"/>
      <c r="CD458" s="120"/>
      <c r="CE458" s="120"/>
    </row>
    <row r="459" ht="18.75" customHeight="1">
      <c r="C459" s="64"/>
      <c r="E459" s="64"/>
      <c r="F459" s="64"/>
      <c r="G459" s="64"/>
      <c r="AH459" s="152"/>
      <c r="AI459" s="152"/>
      <c r="AJ459" s="152"/>
      <c r="AK459" s="152"/>
      <c r="BS459" s="120"/>
      <c r="BT459" s="120"/>
      <c r="BU459" s="120"/>
      <c r="BV459" s="120"/>
      <c r="BW459" s="120"/>
      <c r="BX459" s="120"/>
      <c r="BY459" s="120"/>
      <c r="BZ459" s="120"/>
      <c r="CA459" s="120"/>
      <c r="CB459" s="120"/>
      <c r="CC459" s="120"/>
      <c r="CD459" s="120"/>
      <c r="CE459" s="120"/>
    </row>
    <row r="460" ht="18.75" customHeight="1">
      <c r="C460" s="64"/>
      <c r="E460" s="64"/>
      <c r="F460" s="64"/>
      <c r="G460" s="64"/>
      <c r="AH460" s="152"/>
      <c r="AI460" s="152"/>
      <c r="AJ460" s="152"/>
      <c r="AK460" s="152"/>
      <c r="BS460" s="120"/>
      <c r="BT460" s="120"/>
      <c r="BU460" s="120"/>
      <c r="BV460" s="120"/>
      <c r="BW460" s="120"/>
      <c r="BX460" s="120"/>
      <c r="BY460" s="120"/>
      <c r="BZ460" s="120"/>
      <c r="CA460" s="120"/>
      <c r="CB460" s="120"/>
      <c r="CC460" s="120"/>
      <c r="CD460" s="120"/>
      <c r="CE460" s="120"/>
    </row>
    <row r="461" ht="18.75" customHeight="1">
      <c r="C461" s="64"/>
      <c r="E461" s="64"/>
      <c r="F461" s="64"/>
      <c r="G461" s="64"/>
      <c r="AH461" s="152"/>
      <c r="AI461" s="152"/>
      <c r="AJ461" s="152"/>
      <c r="AK461" s="152"/>
      <c r="BS461" s="120"/>
      <c r="BT461" s="120"/>
      <c r="BU461" s="120"/>
      <c r="BV461" s="120"/>
      <c r="BW461" s="120"/>
      <c r="BX461" s="120"/>
      <c r="BY461" s="120"/>
      <c r="BZ461" s="120"/>
      <c r="CA461" s="120"/>
      <c r="CB461" s="120"/>
      <c r="CC461" s="120"/>
      <c r="CD461" s="120"/>
      <c r="CE461" s="120"/>
    </row>
    <row r="462" ht="18.75" customHeight="1">
      <c r="C462" s="64"/>
      <c r="E462" s="64"/>
      <c r="F462" s="64"/>
      <c r="G462" s="64"/>
      <c r="AH462" s="152"/>
      <c r="AI462" s="152"/>
      <c r="AJ462" s="152"/>
      <c r="AK462" s="152"/>
      <c r="BS462" s="120"/>
      <c r="BT462" s="120"/>
      <c r="BU462" s="120"/>
      <c r="BV462" s="120"/>
      <c r="BW462" s="120"/>
      <c r="BX462" s="120"/>
      <c r="BY462" s="120"/>
      <c r="BZ462" s="120"/>
      <c r="CA462" s="120"/>
      <c r="CB462" s="120"/>
      <c r="CC462" s="120"/>
      <c r="CD462" s="120"/>
      <c r="CE462" s="120"/>
    </row>
    <row r="463" ht="18.75" customHeight="1">
      <c r="C463" s="64"/>
      <c r="E463" s="64"/>
      <c r="F463" s="64"/>
      <c r="G463" s="64"/>
      <c r="AH463" s="152"/>
      <c r="AI463" s="152"/>
      <c r="AJ463" s="152"/>
      <c r="AK463" s="152"/>
      <c r="BS463" s="120"/>
      <c r="BT463" s="120"/>
      <c r="BU463" s="120"/>
      <c r="BV463" s="120"/>
      <c r="BW463" s="120"/>
      <c r="BX463" s="120"/>
      <c r="BY463" s="120"/>
      <c r="BZ463" s="120"/>
      <c r="CA463" s="120"/>
      <c r="CB463" s="120"/>
      <c r="CC463" s="120"/>
      <c r="CD463" s="120"/>
      <c r="CE463" s="120"/>
    </row>
    <row r="464" ht="18.75" customHeight="1">
      <c r="C464" s="64"/>
      <c r="E464" s="64"/>
      <c r="F464" s="64"/>
      <c r="G464" s="64"/>
      <c r="AH464" s="152"/>
      <c r="AI464" s="152"/>
      <c r="AJ464" s="152"/>
      <c r="AK464" s="152"/>
      <c r="BS464" s="120"/>
      <c r="BT464" s="120"/>
      <c r="BU464" s="120"/>
      <c r="BV464" s="120"/>
      <c r="BW464" s="120"/>
      <c r="BX464" s="120"/>
      <c r="BY464" s="120"/>
      <c r="BZ464" s="120"/>
      <c r="CA464" s="120"/>
      <c r="CB464" s="120"/>
      <c r="CC464" s="120"/>
      <c r="CD464" s="120"/>
      <c r="CE464" s="120"/>
    </row>
    <row r="465" ht="18.75" customHeight="1">
      <c r="C465" s="64"/>
      <c r="E465" s="64"/>
      <c r="F465" s="64"/>
      <c r="G465" s="64"/>
      <c r="AH465" s="152"/>
      <c r="AI465" s="152"/>
      <c r="AJ465" s="152"/>
      <c r="AK465" s="152"/>
      <c r="BS465" s="120"/>
      <c r="BT465" s="120"/>
      <c r="BU465" s="120"/>
      <c r="BV465" s="120"/>
      <c r="BW465" s="120"/>
      <c r="BX465" s="120"/>
      <c r="BY465" s="120"/>
      <c r="BZ465" s="120"/>
      <c r="CA465" s="120"/>
      <c r="CB465" s="120"/>
      <c r="CC465" s="120"/>
      <c r="CD465" s="120"/>
      <c r="CE465" s="120"/>
    </row>
    <row r="466" ht="18.75" customHeight="1">
      <c r="C466" s="64"/>
      <c r="E466" s="64"/>
      <c r="F466" s="64"/>
      <c r="G466" s="64"/>
      <c r="AH466" s="152"/>
      <c r="AI466" s="152"/>
      <c r="AJ466" s="152"/>
      <c r="AK466" s="152"/>
      <c r="BS466" s="120"/>
      <c r="BT466" s="120"/>
      <c r="BU466" s="120"/>
      <c r="BV466" s="120"/>
      <c r="BW466" s="120"/>
      <c r="BX466" s="120"/>
      <c r="BY466" s="120"/>
      <c r="BZ466" s="120"/>
      <c r="CA466" s="120"/>
      <c r="CB466" s="120"/>
      <c r="CC466" s="120"/>
      <c r="CD466" s="120"/>
      <c r="CE466" s="120"/>
    </row>
    <row r="467" ht="18.75" customHeight="1">
      <c r="C467" s="64"/>
      <c r="E467" s="64"/>
      <c r="F467" s="64"/>
      <c r="G467" s="64"/>
      <c r="AH467" s="152"/>
      <c r="AI467" s="152"/>
      <c r="AJ467" s="152"/>
      <c r="AK467" s="152"/>
      <c r="BS467" s="120"/>
      <c r="BT467" s="120"/>
      <c r="BU467" s="120"/>
      <c r="BV467" s="120"/>
      <c r="BW467" s="120"/>
      <c r="BX467" s="120"/>
      <c r="BY467" s="120"/>
      <c r="BZ467" s="120"/>
      <c r="CA467" s="120"/>
      <c r="CB467" s="120"/>
      <c r="CC467" s="120"/>
      <c r="CD467" s="120"/>
      <c r="CE467" s="120"/>
    </row>
    <row r="468" ht="18.75" customHeight="1">
      <c r="C468" s="64"/>
      <c r="E468" s="64"/>
      <c r="F468" s="64"/>
      <c r="G468" s="64"/>
      <c r="AH468" s="152"/>
      <c r="AI468" s="152"/>
      <c r="AJ468" s="152"/>
      <c r="AK468" s="152"/>
      <c r="BS468" s="120"/>
      <c r="BT468" s="120"/>
      <c r="BU468" s="120"/>
      <c r="BV468" s="120"/>
      <c r="BW468" s="120"/>
      <c r="BX468" s="120"/>
      <c r="BY468" s="120"/>
      <c r="BZ468" s="120"/>
      <c r="CA468" s="120"/>
      <c r="CB468" s="120"/>
      <c r="CC468" s="120"/>
      <c r="CD468" s="120"/>
      <c r="CE468" s="120"/>
    </row>
    <row r="469" ht="18.75" customHeight="1">
      <c r="C469" s="64"/>
      <c r="E469" s="64"/>
      <c r="F469" s="64"/>
      <c r="G469" s="64"/>
      <c r="AH469" s="152"/>
      <c r="AI469" s="152"/>
      <c r="AJ469" s="152"/>
      <c r="AK469" s="152"/>
      <c r="BS469" s="120"/>
      <c r="BT469" s="120"/>
      <c r="BU469" s="120"/>
      <c r="BV469" s="120"/>
      <c r="BW469" s="120"/>
      <c r="BX469" s="120"/>
      <c r="BY469" s="120"/>
      <c r="BZ469" s="120"/>
      <c r="CA469" s="120"/>
      <c r="CB469" s="120"/>
      <c r="CC469" s="120"/>
      <c r="CD469" s="120"/>
      <c r="CE469" s="120"/>
    </row>
    <row r="470" ht="18.75" customHeight="1">
      <c r="C470" s="64"/>
      <c r="E470" s="64"/>
      <c r="F470" s="64"/>
      <c r="G470" s="64"/>
      <c r="AH470" s="152"/>
      <c r="AI470" s="152"/>
      <c r="AJ470" s="152"/>
      <c r="AK470" s="152"/>
      <c r="BS470" s="120"/>
      <c r="BT470" s="120"/>
      <c r="BU470" s="120"/>
      <c r="BV470" s="120"/>
      <c r="BW470" s="120"/>
      <c r="BX470" s="120"/>
      <c r="BY470" s="120"/>
      <c r="BZ470" s="120"/>
      <c r="CA470" s="120"/>
      <c r="CB470" s="120"/>
      <c r="CC470" s="120"/>
      <c r="CD470" s="120"/>
      <c r="CE470" s="120"/>
    </row>
    <row r="471" ht="18.75" customHeight="1">
      <c r="C471" s="64"/>
      <c r="E471" s="64"/>
      <c r="F471" s="64"/>
      <c r="G471" s="64"/>
      <c r="AH471" s="152"/>
      <c r="AI471" s="152"/>
      <c r="AJ471" s="152"/>
      <c r="AK471" s="152"/>
      <c r="BS471" s="120"/>
      <c r="BT471" s="120"/>
      <c r="BU471" s="120"/>
      <c r="BV471" s="120"/>
      <c r="BW471" s="120"/>
      <c r="BX471" s="120"/>
      <c r="BY471" s="120"/>
      <c r="BZ471" s="120"/>
      <c r="CA471" s="120"/>
      <c r="CB471" s="120"/>
      <c r="CC471" s="120"/>
      <c r="CD471" s="120"/>
      <c r="CE471" s="120"/>
    </row>
    <row r="472" ht="18.75" customHeight="1">
      <c r="C472" s="64"/>
      <c r="E472" s="64"/>
      <c r="F472" s="64"/>
      <c r="G472" s="64"/>
      <c r="AH472" s="152"/>
      <c r="AI472" s="152"/>
      <c r="AJ472" s="152"/>
      <c r="AK472" s="152"/>
      <c r="BS472" s="120"/>
      <c r="BT472" s="120"/>
      <c r="BU472" s="120"/>
      <c r="BV472" s="120"/>
      <c r="BW472" s="120"/>
      <c r="BX472" s="120"/>
      <c r="BY472" s="120"/>
      <c r="BZ472" s="120"/>
      <c r="CA472" s="120"/>
      <c r="CB472" s="120"/>
      <c r="CC472" s="120"/>
      <c r="CD472" s="120"/>
      <c r="CE472" s="120"/>
    </row>
    <row r="473" ht="18.75" customHeight="1">
      <c r="C473" s="64"/>
      <c r="E473" s="64"/>
      <c r="F473" s="64"/>
      <c r="G473" s="64"/>
      <c r="AH473" s="152"/>
      <c r="AI473" s="152"/>
      <c r="AJ473" s="152"/>
      <c r="AK473" s="152"/>
      <c r="BS473" s="120"/>
      <c r="BT473" s="120"/>
      <c r="BU473" s="120"/>
      <c r="BV473" s="120"/>
      <c r="BW473" s="120"/>
      <c r="BX473" s="120"/>
      <c r="BY473" s="120"/>
      <c r="BZ473" s="120"/>
      <c r="CA473" s="120"/>
      <c r="CB473" s="120"/>
      <c r="CC473" s="120"/>
      <c r="CD473" s="120"/>
      <c r="CE473" s="120"/>
    </row>
    <row r="474" ht="18.75" customHeight="1">
      <c r="C474" s="64"/>
      <c r="E474" s="64"/>
      <c r="F474" s="64"/>
      <c r="G474" s="64"/>
      <c r="AH474" s="152"/>
      <c r="AI474" s="152"/>
      <c r="AJ474" s="152"/>
      <c r="AK474" s="152"/>
      <c r="BS474" s="120"/>
      <c r="BT474" s="120"/>
      <c r="BU474" s="120"/>
      <c r="BV474" s="120"/>
      <c r="BW474" s="120"/>
      <c r="BX474" s="120"/>
      <c r="BY474" s="120"/>
      <c r="BZ474" s="120"/>
      <c r="CA474" s="120"/>
      <c r="CB474" s="120"/>
      <c r="CC474" s="120"/>
      <c r="CD474" s="120"/>
      <c r="CE474" s="120"/>
    </row>
    <row r="475" ht="18.75" customHeight="1">
      <c r="C475" s="64"/>
      <c r="E475" s="64"/>
      <c r="F475" s="64"/>
      <c r="G475" s="64"/>
      <c r="AH475" s="152"/>
      <c r="AI475" s="152"/>
      <c r="AJ475" s="152"/>
      <c r="AK475" s="152"/>
      <c r="BS475" s="120"/>
      <c r="BT475" s="120"/>
      <c r="BU475" s="120"/>
      <c r="BV475" s="120"/>
      <c r="BW475" s="120"/>
      <c r="BX475" s="120"/>
      <c r="BY475" s="120"/>
      <c r="BZ475" s="120"/>
      <c r="CA475" s="120"/>
      <c r="CB475" s="120"/>
      <c r="CC475" s="120"/>
      <c r="CD475" s="120"/>
      <c r="CE475" s="120"/>
    </row>
    <row r="476" ht="18.75" customHeight="1">
      <c r="C476" s="64"/>
      <c r="E476" s="64"/>
      <c r="F476" s="64"/>
      <c r="G476" s="64"/>
      <c r="AH476" s="152"/>
      <c r="AI476" s="152"/>
      <c r="AJ476" s="152"/>
      <c r="AK476" s="152"/>
      <c r="BS476" s="120"/>
      <c r="BT476" s="120"/>
      <c r="BU476" s="120"/>
      <c r="BV476" s="120"/>
      <c r="BW476" s="120"/>
      <c r="BX476" s="120"/>
      <c r="BY476" s="120"/>
      <c r="BZ476" s="120"/>
      <c r="CA476" s="120"/>
      <c r="CB476" s="120"/>
      <c r="CC476" s="120"/>
      <c r="CD476" s="120"/>
      <c r="CE476" s="120"/>
    </row>
    <row r="477" ht="18.75" customHeight="1">
      <c r="C477" s="64"/>
      <c r="E477" s="64"/>
      <c r="F477" s="64"/>
      <c r="G477" s="64"/>
      <c r="AH477" s="152"/>
      <c r="AI477" s="152"/>
      <c r="AJ477" s="152"/>
      <c r="AK477" s="152"/>
      <c r="BS477" s="120"/>
      <c r="BT477" s="120"/>
      <c r="BU477" s="120"/>
      <c r="BV477" s="120"/>
      <c r="BW477" s="120"/>
      <c r="BX477" s="120"/>
      <c r="BY477" s="120"/>
      <c r="BZ477" s="120"/>
      <c r="CA477" s="120"/>
      <c r="CB477" s="120"/>
      <c r="CC477" s="120"/>
      <c r="CD477" s="120"/>
      <c r="CE477" s="120"/>
    </row>
    <row r="478" ht="18.75" customHeight="1">
      <c r="C478" s="64"/>
      <c r="E478" s="64"/>
      <c r="F478" s="64"/>
      <c r="G478" s="64"/>
      <c r="AH478" s="152"/>
      <c r="AI478" s="152"/>
      <c r="AJ478" s="152"/>
      <c r="AK478" s="152"/>
      <c r="BS478" s="120"/>
      <c r="BT478" s="120"/>
      <c r="BU478" s="120"/>
      <c r="BV478" s="120"/>
      <c r="BW478" s="120"/>
      <c r="BX478" s="120"/>
      <c r="BY478" s="120"/>
      <c r="BZ478" s="120"/>
      <c r="CA478" s="120"/>
      <c r="CB478" s="120"/>
      <c r="CC478" s="120"/>
      <c r="CD478" s="120"/>
      <c r="CE478" s="120"/>
    </row>
    <row r="479" ht="18.75" customHeight="1">
      <c r="C479" s="64"/>
      <c r="E479" s="64"/>
      <c r="F479" s="64"/>
      <c r="G479" s="64"/>
      <c r="AH479" s="152"/>
      <c r="AI479" s="152"/>
      <c r="AJ479" s="152"/>
      <c r="AK479" s="152"/>
      <c r="BS479" s="120"/>
      <c r="BT479" s="120"/>
      <c r="BU479" s="120"/>
      <c r="BV479" s="120"/>
      <c r="BW479" s="120"/>
      <c r="BX479" s="120"/>
      <c r="BY479" s="120"/>
      <c r="BZ479" s="120"/>
      <c r="CA479" s="120"/>
      <c r="CB479" s="120"/>
      <c r="CC479" s="120"/>
      <c r="CD479" s="120"/>
      <c r="CE479" s="120"/>
    </row>
    <row r="480" ht="18.75" customHeight="1">
      <c r="C480" s="64"/>
      <c r="E480" s="64"/>
      <c r="F480" s="64"/>
      <c r="G480" s="64"/>
      <c r="AH480" s="152"/>
      <c r="AI480" s="152"/>
      <c r="AJ480" s="152"/>
      <c r="AK480" s="152"/>
      <c r="BS480" s="120"/>
      <c r="BT480" s="120"/>
      <c r="BU480" s="120"/>
      <c r="BV480" s="120"/>
      <c r="BW480" s="120"/>
      <c r="BX480" s="120"/>
      <c r="BY480" s="120"/>
      <c r="BZ480" s="120"/>
      <c r="CA480" s="120"/>
      <c r="CB480" s="120"/>
      <c r="CC480" s="120"/>
      <c r="CD480" s="120"/>
      <c r="CE480" s="120"/>
    </row>
    <row r="481" ht="18.75" customHeight="1">
      <c r="C481" s="64"/>
      <c r="E481" s="64"/>
      <c r="F481" s="64"/>
      <c r="G481" s="64"/>
      <c r="AH481" s="152"/>
      <c r="AI481" s="152"/>
      <c r="AJ481" s="152"/>
      <c r="AK481" s="152"/>
      <c r="BS481" s="120"/>
      <c r="BT481" s="120"/>
      <c r="BU481" s="120"/>
      <c r="BV481" s="120"/>
      <c r="BW481" s="120"/>
      <c r="BX481" s="120"/>
      <c r="BY481" s="120"/>
      <c r="BZ481" s="120"/>
      <c r="CA481" s="120"/>
      <c r="CB481" s="120"/>
      <c r="CC481" s="120"/>
      <c r="CD481" s="120"/>
      <c r="CE481" s="120"/>
    </row>
    <row r="482" ht="18.75" customHeight="1">
      <c r="C482" s="64"/>
      <c r="E482" s="64"/>
      <c r="F482" s="64"/>
      <c r="G482" s="64"/>
      <c r="AH482" s="152"/>
      <c r="AI482" s="152"/>
      <c r="AJ482" s="152"/>
      <c r="AK482" s="152"/>
      <c r="BS482" s="120"/>
      <c r="BT482" s="120"/>
      <c r="BU482" s="120"/>
      <c r="BV482" s="120"/>
      <c r="BW482" s="120"/>
      <c r="BX482" s="120"/>
      <c r="BY482" s="120"/>
      <c r="BZ482" s="120"/>
      <c r="CA482" s="120"/>
      <c r="CB482" s="120"/>
      <c r="CC482" s="120"/>
      <c r="CD482" s="120"/>
      <c r="CE482" s="120"/>
    </row>
    <row r="483" ht="18.75" customHeight="1">
      <c r="C483" s="64"/>
      <c r="E483" s="64"/>
      <c r="F483" s="64"/>
      <c r="G483" s="64"/>
      <c r="AH483" s="152"/>
      <c r="AI483" s="152"/>
      <c r="AJ483" s="152"/>
      <c r="AK483" s="152"/>
      <c r="BS483" s="120"/>
      <c r="BT483" s="120"/>
      <c r="BU483" s="120"/>
      <c r="BV483" s="120"/>
      <c r="BW483" s="120"/>
      <c r="BX483" s="120"/>
      <c r="BY483" s="120"/>
      <c r="BZ483" s="120"/>
      <c r="CA483" s="120"/>
      <c r="CB483" s="120"/>
      <c r="CC483" s="120"/>
      <c r="CD483" s="120"/>
      <c r="CE483" s="120"/>
    </row>
    <row r="484" ht="18.75" customHeight="1">
      <c r="C484" s="64"/>
      <c r="E484" s="64"/>
      <c r="F484" s="64"/>
      <c r="G484" s="64"/>
      <c r="AH484" s="152"/>
      <c r="AI484" s="152"/>
      <c r="AJ484" s="152"/>
      <c r="AK484" s="152"/>
      <c r="BS484" s="120"/>
      <c r="BT484" s="120"/>
      <c r="BU484" s="120"/>
      <c r="BV484" s="120"/>
      <c r="BW484" s="120"/>
      <c r="BX484" s="120"/>
      <c r="BY484" s="120"/>
      <c r="BZ484" s="120"/>
      <c r="CA484" s="120"/>
      <c r="CB484" s="120"/>
      <c r="CC484" s="120"/>
      <c r="CD484" s="120"/>
      <c r="CE484" s="120"/>
    </row>
    <row r="485" ht="18.75" customHeight="1">
      <c r="C485" s="64"/>
      <c r="E485" s="64"/>
      <c r="F485" s="64"/>
      <c r="G485" s="64"/>
      <c r="AH485" s="152"/>
      <c r="AI485" s="152"/>
      <c r="AJ485" s="152"/>
      <c r="AK485" s="152"/>
      <c r="BS485" s="120"/>
      <c r="BT485" s="120"/>
      <c r="BU485" s="120"/>
      <c r="BV485" s="120"/>
      <c r="BW485" s="120"/>
      <c r="BX485" s="120"/>
      <c r="BY485" s="120"/>
      <c r="BZ485" s="120"/>
      <c r="CA485" s="120"/>
      <c r="CB485" s="120"/>
      <c r="CC485" s="120"/>
      <c r="CD485" s="120"/>
      <c r="CE485" s="120"/>
    </row>
    <row r="486" ht="18.75" customHeight="1">
      <c r="C486" s="64"/>
      <c r="E486" s="64"/>
      <c r="F486" s="64"/>
      <c r="G486" s="64"/>
      <c r="AH486" s="152"/>
      <c r="AI486" s="152"/>
      <c r="AJ486" s="152"/>
      <c r="AK486" s="152"/>
      <c r="BS486" s="120"/>
      <c r="BT486" s="120"/>
      <c r="BU486" s="120"/>
      <c r="BV486" s="120"/>
      <c r="BW486" s="120"/>
      <c r="BX486" s="120"/>
      <c r="BY486" s="120"/>
      <c r="BZ486" s="120"/>
      <c r="CA486" s="120"/>
      <c r="CB486" s="120"/>
      <c r="CC486" s="120"/>
      <c r="CD486" s="120"/>
      <c r="CE486" s="120"/>
    </row>
    <row r="487" ht="18.75" customHeight="1">
      <c r="C487" s="64"/>
      <c r="E487" s="64"/>
      <c r="F487" s="64"/>
      <c r="G487" s="64"/>
      <c r="AH487" s="152"/>
      <c r="AI487" s="152"/>
      <c r="AJ487" s="152"/>
      <c r="AK487" s="152"/>
      <c r="BS487" s="120"/>
      <c r="BT487" s="120"/>
      <c r="BU487" s="120"/>
      <c r="BV487" s="120"/>
      <c r="BW487" s="120"/>
      <c r="BX487" s="120"/>
      <c r="BY487" s="120"/>
      <c r="BZ487" s="120"/>
      <c r="CA487" s="120"/>
      <c r="CB487" s="120"/>
      <c r="CC487" s="120"/>
      <c r="CD487" s="120"/>
      <c r="CE487" s="120"/>
    </row>
    <row r="488" ht="18.75" customHeight="1">
      <c r="C488" s="64"/>
      <c r="E488" s="64"/>
      <c r="F488" s="64"/>
      <c r="G488" s="64"/>
      <c r="AH488" s="152"/>
      <c r="AI488" s="152"/>
      <c r="AJ488" s="152"/>
      <c r="AK488" s="152"/>
      <c r="BS488" s="120"/>
      <c r="BT488" s="120"/>
      <c r="BU488" s="120"/>
      <c r="BV488" s="120"/>
      <c r="BW488" s="120"/>
      <c r="BX488" s="120"/>
      <c r="BY488" s="120"/>
      <c r="BZ488" s="120"/>
      <c r="CA488" s="120"/>
      <c r="CB488" s="120"/>
      <c r="CC488" s="120"/>
      <c r="CD488" s="120"/>
      <c r="CE488" s="120"/>
    </row>
    <row r="489" ht="18.75" customHeight="1">
      <c r="C489" s="64"/>
      <c r="E489" s="64"/>
      <c r="F489" s="64"/>
      <c r="G489" s="64"/>
      <c r="AH489" s="152"/>
      <c r="AI489" s="152"/>
      <c r="AJ489" s="152"/>
      <c r="AK489" s="152"/>
      <c r="BS489" s="120"/>
      <c r="BT489" s="120"/>
      <c r="BU489" s="120"/>
      <c r="BV489" s="120"/>
      <c r="BW489" s="120"/>
      <c r="BX489" s="120"/>
      <c r="BY489" s="120"/>
      <c r="BZ489" s="120"/>
      <c r="CA489" s="120"/>
      <c r="CB489" s="120"/>
      <c r="CC489" s="120"/>
      <c r="CD489" s="120"/>
      <c r="CE489" s="120"/>
    </row>
    <row r="490" ht="18.75" customHeight="1">
      <c r="C490" s="64"/>
      <c r="E490" s="64"/>
      <c r="F490" s="64"/>
      <c r="G490" s="64"/>
      <c r="AH490" s="152"/>
      <c r="AI490" s="152"/>
      <c r="AJ490" s="152"/>
      <c r="AK490" s="152"/>
      <c r="BS490" s="120"/>
      <c r="BT490" s="120"/>
      <c r="BU490" s="120"/>
      <c r="BV490" s="120"/>
      <c r="BW490" s="120"/>
      <c r="BX490" s="120"/>
      <c r="BY490" s="120"/>
      <c r="BZ490" s="120"/>
      <c r="CA490" s="120"/>
      <c r="CB490" s="120"/>
      <c r="CC490" s="120"/>
      <c r="CD490" s="120"/>
      <c r="CE490" s="120"/>
    </row>
    <row r="491" ht="18.75" customHeight="1">
      <c r="C491" s="64"/>
      <c r="E491" s="64"/>
      <c r="F491" s="64"/>
      <c r="G491" s="64"/>
      <c r="AH491" s="152"/>
      <c r="AI491" s="152"/>
      <c r="AJ491" s="152"/>
      <c r="AK491" s="152"/>
      <c r="BS491" s="120"/>
      <c r="BT491" s="120"/>
      <c r="BU491" s="120"/>
      <c r="BV491" s="120"/>
      <c r="BW491" s="120"/>
      <c r="BX491" s="120"/>
      <c r="BY491" s="120"/>
      <c r="BZ491" s="120"/>
      <c r="CA491" s="120"/>
      <c r="CB491" s="120"/>
      <c r="CC491" s="120"/>
      <c r="CD491" s="120"/>
      <c r="CE491" s="120"/>
    </row>
    <row r="492" ht="18.75" customHeight="1">
      <c r="C492" s="64"/>
      <c r="E492" s="64"/>
      <c r="F492" s="64"/>
      <c r="G492" s="64"/>
      <c r="AH492" s="152"/>
      <c r="AI492" s="152"/>
      <c r="AJ492" s="152"/>
      <c r="AK492" s="152"/>
      <c r="BS492" s="120"/>
      <c r="BT492" s="120"/>
      <c r="BU492" s="120"/>
      <c r="BV492" s="120"/>
      <c r="BW492" s="120"/>
      <c r="BX492" s="120"/>
      <c r="BY492" s="120"/>
      <c r="BZ492" s="120"/>
      <c r="CA492" s="120"/>
      <c r="CB492" s="120"/>
      <c r="CC492" s="120"/>
      <c r="CD492" s="120"/>
      <c r="CE492" s="120"/>
    </row>
    <row r="493" ht="18.75" customHeight="1">
      <c r="C493" s="64"/>
      <c r="E493" s="64"/>
      <c r="F493" s="64"/>
      <c r="G493" s="64"/>
      <c r="AH493" s="152"/>
      <c r="AI493" s="152"/>
      <c r="AJ493" s="152"/>
      <c r="AK493" s="152"/>
      <c r="BS493" s="120"/>
      <c r="BT493" s="120"/>
      <c r="BU493" s="120"/>
      <c r="BV493" s="120"/>
      <c r="BW493" s="120"/>
      <c r="BX493" s="120"/>
      <c r="BY493" s="120"/>
      <c r="BZ493" s="120"/>
      <c r="CA493" s="120"/>
      <c r="CB493" s="120"/>
      <c r="CC493" s="120"/>
      <c r="CD493" s="120"/>
      <c r="CE493" s="120"/>
    </row>
    <row r="494" ht="18.75" customHeight="1">
      <c r="C494" s="64"/>
      <c r="E494" s="64"/>
      <c r="F494" s="64"/>
      <c r="G494" s="64"/>
      <c r="AH494" s="152"/>
      <c r="AI494" s="152"/>
      <c r="AJ494" s="152"/>
      <c r="AK494" s="152"/>
      <c r="BS494" s="120"/>
      <c r="BT494" s="120"/>
      <c r="BU494" s="120"/>
      <c r="BV494" s="120"/>
      <c r="BW494" s="120"/>
      <c r="BX494" s="120"/>
      <c r="BY494" s="120"/>
      <c r="BZ494" s="120"/>
      <c r="CA494" s="120"/>
      <c r="CB494" s="120"/>
      <c r="CC494" s="120"/>
      <c r="CD494" s="120"/>
      <c r="CE494" s="120"/>
    </row>
    <row r="495" ht="18.75" customHeight="1">
      <c r="C495" s="64"/>
      <c r="E495" s="64"/>
      <c r="F495" s="64"/>
      <c r="G495" s="64"/>
      <c r="AH495" s="152"/>
      <c r="AI495" s="152"/>
      <c r="AJ495" s="152"/>
      <c r="AK495" s="152"/>
      <c r="BS495" s="120"/>
      <c r="BT495" s="120"/>
      <c r="BU495" s="120"/>
      <c r="BV495" s="120"/>
      <c r="BW495" s="120"/>
      <c r="BX495" s="120"/>
      <c r="BY495" s="120"/>
      <c r="BZ495" s="120"/>
      <c r="CA495" s="120"/>
      <c r="CB495" s="120"/>
      <c r="CC495" s="120"/>
      <c r="CD495" s="120"/>
      <c r="CE495" s="120"/>
    </row>
    <row r="496" ht="18.75" customHeight="1">
      <c r="C496" s="64"/>
      <c r="E496" s="64"/>
      <c r="F496" s="64"/>
      <c r="G496" s="64"/>
      <c r="AH496" s="152"/>
      <c r="AI496" s="152"/>
      <c r="AJ496" s="152"/>
      <c r="AK496" s="152"/>
      <c r="BS496" s="120"/>
      <c r="BT496" s="120"/>
      <c r="BU496" s="120"/>
      <c r="BV496" s="120"/>
      <c r="BW496" s="120"/>
      <c r="BX496" s="120"/>
      <c r="BY496" s="120"/>
      <c r="BZ496" s="120"/>
      <c r="CA496" s="120"/>
      <c r="CB496" s="120"/>
      <c r="CC496" s="120"/>
      <c r="CD496" s="120"/>
      <c r="CE496" s="120"/>
    </row>
    <row r="497" ht="18.75" customHeight="1">
      <c r="C497" s="64"/>
      <c r="E497" s="64"/>
      <c r="F497" s="64"/>
      <c r="G497" s="64"/>
      <c r="AH497" s="152"/>
      <c r="AI497" s="152"/>
      <c r="AJ497" s="152"/>
      <c r="AK497" s="152"/>
      <c r="BS497" s="120"/>
      <c r="BT497" s="120"/>
      <c r="BU497" s="120"/>
      <c r="BV497" s="120"/>
      <c r="BW497" s="120"/>
      <c r="BX497" s="120"/>
      <c r="BY497" s="120"/>
      <c r="BZ497" s="120"/>
      <c r="CA497" s="120"/>
      <c r="CB497" s="120"/>
      <c r="CC497" s="120"/>
      <c r="CD497" s="120"/>
      <c r="CE497" s="120"/>
    </row>
    <row r="498" ht="18.75" customHeight="1">
      <c r="C498" s="64"/>
      <c r="E498" s="64"/>
      <c r="F498" s="64"/>
      <c r="G498" s="64"/>
      <c r="AH498" s="152"/>
      <c r="AI498" s="152"/>
      <c r="AJ498" s="152"/>
      <c r="AK498" s="152"/>
      <c r="BS498" s="120"/>
      <c r="BT498" s="120"/>
      <c r="BU498" s="120"/>
      <c r="BV498" s="120"/>
      <c r="BW498" s="120"/>
      <c r="BX498" s="120"/>
      <c r="BY498" s="120"/>
      <c r="BZ498" s="120"/>
      <c r="CA498" s="120"/>
      <c r="CB498" s="120"/>
      <c r="CC498" s="120"/>
      <c r="CD498" s="120"/>
      <c r="CE498" s="120"/>
    </row>
    <row r="499" ht="18.75" customHeight="1">
      <c r="C499" s="64"/>
      <c r="E499" s="64"/>
      <c r="F499" s="64"/>
      <c r="G499" s="64"/>
      <c r="AH499" s="152"/>
      <c r="AI499" s="152"/>
      <c r="AJ499" s="152"/>
      <c r="AK499" s="152"/>
      <c r="BS499" s="120"/>
      <c r="BT499" s="120"/>
      <c r="BU499" s="120"/>
      <c r="BV499" s="120"/>
      <c r="BW499" s="120"/>
      <c r="BX499" s="120"/>
      <c r="BY499" s="120"/>
      <c r="BZ499" s="120"/>
      <c r="CA499" s="120"/>
      <c r="CB499" s="120"/>
      <c r="CC499" s="120"/>
      <c r="CD499" s="120"/>
      <c r="CE499" s="120"/>
    </row>
    <row r="500" ht="18.75" customHeight="1">
      <c r="C500" s="64"/>
      <c r="E500" s="64"/>
      <c r="F500" s="64"/>
      <c r="G500" s="64"/>
      <c r="AH500" s="152"/>
      <c r="AI500" s="152"/>
      <c r="AJ500" s="152"/>
      <c r="AK500" s="152"/>
      <c r="BS500" s="120"/>
      <c r="BT500" s="120"/>
      <c r="BU500" s="120"/>
      <c r="BV500" s="120"/>
      <c r="BW500" s="120"/>
      <c r="BX500" s="120"/>
      <c r="BY500" s="120"/>
      <c r="BZ500" s="120"/>
      <c r="CA500" s="120"/>
      <c r="CB500" s="120"/>
      <c r="CC500" s="120"/>
      <c r="CD500" s="120"/>
      <c r="CE500" s="120"/>
    </row>
    <row r="501" ht="18.75" customHeight="1">
      <c r="C501" s="64"/>
      <c r="E501" s="64"/>
      <c r="F501" s="64"/>
      <c r="G501" s="64"/>
      <c r="AH501" s="152"/>
      <c r="AI501" s="152"/>
      <c r="AJ501" s="152"/>
      <c r="AK501" s="152"/>
      <c r="BS501" s="120"/>
      <c r="BT501" s="120"/>
      <c r="BU501" s="120"/>
      <c r="BV501" s="120"/>
      <c r="BW501" s="120"/>
      <c r="BX501" s="120"/>
      <c r="BY501" s="120"/>
      <c r="BZ501" s="120"/>
      <c r="CA501" s="120"/>
      <c r="CB501" s="120"/>
      <c r="CC501" s="120"/>
      <c r="CD501" s="120"/>
      <c r="CE501" s="120"/>
    </row>
    <row r="502" ht="18.75" customHeight="1">
      <c r="C502" s="64"/>
      <c r="E502" s="64"/>
      <c r="F502" s="64"/>
      <c r="G502" s="64"/>
      <c r="AH502" s="152"/>
      <c r="AI502" s="152"/>
      <c r="AJ502" s="152"/>
      <c r="AK502" s="152"/>
      <c r="BS502" s="120"/>
      <c r="BT502" s="120"/>
      <c r="BU502" s="120"/>
      <c r="BV502" s="120"/>
      <c r="BW502" s="120"/>
      <c r="BX502" s="120"/>
      <c r="BY502" s="120"/>
      <c r="BZ502" s="120"/>
      <c r="CA502" s="120"/>
      <c r="CB502" s="120"/>
      <c r="CC502" s="120"/>
      <c r="CD502" s="120"/>
      <c r="CE502" s="120"/>
    </row>
    <row r="503" ht="18.75" customHeight="1">
      <c r="C503" s="64"/>
      <c r="E503" s="64"/>
      <c r="F503" s="64"/>
      <c r="G503" s="64"/>
      <c r="AH503" s="152"/>
      <c r="AI503" s="152"/>
      <c r="AJ503" s="152"/>
      <c r="AK503" s="152"/>
      <c r="BS503" s="120"/>
      <c r="BT503" s="120"/>
      <c r="BU503" s="120"/>
      <c r="BV503" s="120"/>
      <c r="BW503" s="120"/>
      <c r="BX503" s="120"/>
      <c r="BY503" s="120"/>
      <c r="BZ503" s="120"/>
      <c r="CA503" s="120"/>
      <c r="CB503" s="120"/>
      <c r="CC503" s="120"/>
      <c r="CD503" s="120"/>
      <c r="CE503" s="120"/>
    </row>
    <row r="504" ht="18.75" customHeight="1">
      <c r="C504" s="64"/>
      <c r="E504" s="64"/>
      <c r="F504" s="64"/>
      <c r="G504" s="64"/>
      <c r="AH504" s="152"/>
      <c r="AI504" s="152"/>
      <c r="AJ504" s="152"/>
      <c r="AK504" s="152"/>
      <c r="BS504" s="120"/>
      <c r="BT504" s="120"/>
      <c r="BU504" s="120"/>
      <c r="BV504" s="120"/>
      <c r="BW504" s="120"/>
      <c r="BX504" s="120"/>
      <c r="BY504" s="120"/>
      <c r="BZ504" s="120"/>
      <c r="CA504" s="120"/>
      <c r="CB504" s="120"/>
      <c r="CC504" s="120"/>
      <c r="CD504" s="120"/>
      <c r="CE504" s="120"/>
    </row>
    <row r="505" ht="18.75" customHeight="1">
      <c r="C505" s="64"/>
      <c r="E505" s="64"/>
      <c r="F505" s="64"/>
      <c r="G505" s="64"/>
      <c r="AH505" s="152"/>
      <c r="AI505" s="152"/>
      <c r="AJ505" s="152"/>
      <c r="AK505" s="152"/>
      <c r="BS505" s="120"/>
      <c r="BT505" s="120"/>
      <c r="BU505" s="120"/>
      <c r="BV505" s="120"/>
      <c r="BW505" s="120"/>
      <c r="BX505" s="120"/>
      <c r="BY505" s="120"/>
      <c r="BZ505" s="120"/>
      <c r="CA505" s="120"/>
      <c r="CB505" s="120"/>
      <c r="CC505" s="120"/>
      <c r="CD505" s="120"/>
      <c r="CE505" s="120"/>
    </row>
    <row r="506" ht="18.75" customHeight="1">
      <c r="C506" s="64"/>
      <c r="E506" s="64"/>
      <c r="F506" s="64"/>
      <c r="G506" s="64"/>
      <c r="AH506" s="152"/>
      <c r="AI506" s="152"/>
      <c r="AJ506" s="152"/>
      <c r="AK506" s="152"/>
      <c r="BS506" s="120"/>
      <c r="BT506" s="120"/>
      <c r="BU506" s="120"/>
      <c r="BV506" s="120"/>
      <c r="BW506" s="120"/>
      <c r="BX506" s="120"/>
      <c r="BY506" s="120"/>
      <c r="BZ506" s="120"/>
      <c r="CA506" s="120"/>
      <c r="CB506" s="120"/>
      <c r="CC506" s="120"/>
      <c r="CD506" s="120"/>
      <c r="CE506" s="120"/>
    </row>
    <row r="507" ht="18.75" customHeight="1">
      <c r="C507" s="64"/>
      <c r="E507" s="64"/>
      <c r="F507" s="64"/>
      <c r="G507" s="64"/>
      <c r="AH507" s="152"/>
      <c r="AI507" s="152"/>
      <c r="AJ507" s="152"/>
      <c r="AK507" s="152"/>
      <c r="BS507" s="120"/>
      <c r="BT507" s="120"/>
      <c r="BU507" s="120"/>
      <c r="BV507" s="120"/>
      <c r="BW507" s="120"/>
      <c r="BX507" s="120"/>
      <c r="BY507" s="120"/>
      <c r="BZ507" s="120"/>
      <c r="CA507" s="120"/>
      <c r="CB507" s="120"/>
      <c r="CC507" s="120"/>
      <c r="CD507" s="120"/>
      <c r="CE507" s="120"/>
    </row>
    <row r="508" ht="18.75" customHeight="1">
      <c r="C508" s="64"/>
      <c r="E508" s="64"/>
      <c r="F508" s="64"/>
      <c r="G508" s="64"/>
      <c r="AH508" s="152"/>
      <c r="AI508" s="152"/>
      <c r="AJ508" s="152"/>
      <c r="AK508" s="152"/>
      <c r="BS508" s="120"/>
      <c r="BT508" s="120"/>
      <c r="BU508" s="120"/>
      <c r="BV508" s="120"/>
      <c r="BW508" s="120"/>
      <c r="BX508" s="120"/>
      <c r="BY508" s="120"/>
      <c r="BZ508" s="120"/>
      <c r="CA508" s="120"/>
      <c r="CB508" s="120"/>
      <c r="CC508" s="120"/>
      <c r="CD508" s="120"/>
      <c r="CE508" s="120"/>
    </row>
    <row r="509" ht="18.75" customHeight="1">
      <c r="C509" s="64"/>
      <c r="E509" s="64"/>
      <c r="F509" s="64"/>
      <c r="G509" s="64"/>
      <c r="AH509" s="152"/>
      <c r="AI509" s="152"/>
      <c r="AJ509" s="152"/>
      <c r="AK509" s="152"/>
      <c r="BS509" s="120"/>
      <c r="BT509" s="120"/>
      <c r="BU509" s="120"/>
      <c r="BV509" s="120"/>
      <c r="BW509" s="120"/>
      <c r="BX509" s="120"/>
      <c r="BY509" s="120"/>
      <c r="BZ509" s="120"/>
      <c r="CA509" s="120"/>
      <c r="CB509" s="120"/>
      <c r="CC509" s="120"/>
      <c r="CD509" s="120"/>
      <c r="CE509" s="120"/>
    </row>
    <row r="510" ht="18.75" customHeight="1">
      <c r="C510" s="64"/>
      <c r="E510" s="64"/>
      <c r="F510" s="64"/>
      <c r="G510" s="64"/>
      <c r="AH510" s="152"/>
      <c r="AI510" s="152"/>
      <c r="AJ510" s="152"/>
      <c r="AK510" s="152"/>
      <c r="BS510" s="120"/>
      <c r="BT510" s="120"/>
      <c r="BU510" s="120"/>
      <c r="BV510" s="120"/>
      <c r="BW510" s="120"/>
      <c r="BX510" s="120"/>
      <c r="BY510" s="120"/>
      <c r="BZ510" s="120"/>
      <c r="CA510" s="120"/>
      <c r="CB510" s="120"/>
      <c r="CC510" s="120"/>
      <c r="CD510" s="120"/>
      <c r="CE510" s="120"/>
    </row>
    <row r="511" ht="18.75" customHeight="1">
      <c r="C511" s="64"/>
      <c r="E511" s="64"/>
      <c r="F511" s="64"/>
      <c r="G511" s="64"/>
      <c r="AH511" s="152"/>
      <c r="AI511" s="152"/>
      <c r="AJ511" s="152"/>
      <c r="AK511" s="152"/>
      <c r="BS511" s="120"/>
      <c r="BT511" s="120"/>
      <c r="BU511" s="120"/>
      <c r="BV511" s="120"/>
      <c r="BW511" s="120"/>
      <c r="BX511" s="120"/>
      <c r="BY511" s="120"/>
      <c r="BZ511" s="120"/>
      <c r="CA511" s="120"/>
      <c r="CB511" s="120"/>
      <c r="CC511" s="120"/>
      <c r="CD511" s="120"/>
      <c r="CE511" s="120"/>
    </row>
    <row r="512" ht="18.75" customHeight="1">
      <c r="C512" s="64"/>
      <c r="E512" s="64"/>
      <c r="F512" s="64"/>
      <c r="G512" s="64"/>
      <c r="AH512" s="152"/>
      <c r="AI512" s="152"/>
      <c r="AJ512" s="152"/>
      <c r="AK512" s="152"/>
      <c r="BS512" s="120"/>
      <c r="BT512" s="120"/>
      <c r="BU512" s="120"/>
      <c r="BV512" s="120"/>
      <c r="BW512" s="120"/>
      <c r="BX512" s="120"/>
      <c r="BY512" s="120"/>
      <c r="BZ512" s="120"/>
      <c r="CA512" s="120"/>
      <c r="CB512" s="120"/>
      <c r="CC512" s="120"/>
      <c r="CD512" s="120"/>
      <c r="CE512" s="120"/>
    </row>
    <row r="513" ht="18.75" customHeight="1">
      <c r="C513" s="64"/>
      <c r="E513" s="64"/>
      <c r="F513" s="64"/>
      <c r="G513" s="64"/>
      <c r="AH513" s="152"/>
      <c r="AI513" s="152"/>
      <c r="AJ513" s="152"/>
      <c r="AK513" s="152"/>
      <c r="BS513" s="120"/>
      <c r="BT513" s="120"/>
      <c r="BU513" s="120"/>
      <c r="BV513" s="120"/>
      <c r="BW513" s="120"/>
      <c r="BX513" s="120"/>
      <c r="BY513" s="120"/>
      <c r="BZ513" s="120"/>
      <c r="CA513" s="120"/>
      <c r="CB513" s="120"/>
      <c r="CC513" s="120"/>
      <c r="CD513" s="120"/>
      <c r="CE513" s="120"/>
    </row>
    <row r="514" ht="18.75" customHeight="1">
      <c r="C514" s="64"/>
      <c r="E514" s="64"/>
      <c r="F514" s="64"/>
      <c r="G514" s="64"/>
      <c r="AH514" s="152"/>
      <c r="AI514" s="152"/>
      <c r="AJ514" s="152"/>
      <c r="AK514" s="152"/>
      <c r="BS514" s="120"/>
      <c r="BT514" s="120"/>
      <c r="BU514" s="120"/>
      <c r="BV514" s="120"/>
      <c r="BW514" s="120"/>
      <c r="BX514" s="120"/>
      <c r="BY514" s="120"/>
      <c r="BZ514" s="120"/>
      <c r="CA514" s="120"/>
      <c r="CB514" s="120"/>
      <c r="CC514" s="120"/>
      <c r="CD514" s="120"/>
      <c r="CE514" s="120"/>
    </row>
    <row r="515" ht="18.75" customHeight="1">
      <c r="C515" s="64"/>
      <c r="E515" s="64"/>
      <c r="F515" s="64"/>
      <c r="G515" s="64"/>
      <c r="AH515" s="152"/>
      <c r="AI515" s="152"/>
      <c r="AJ515" s="152"/>
      <c r="AK515" s="152"/>
      <c r="BS515" s="120"/>
      <c r="BT515" s="120"/>
      <c r="BU515" s="120"/>
      <c r="BV515" s="120"/>
      <c r="BW515" s="120"/>
      <c r="BX515" s="120"/>
      <c r="BY515" s="120"/>
      <c r="BZ515" s="120"/>
      <c r="CA515" s="120"/>
      <c r="CB515" s="120"/>
      <c r="CC515" s="120"/>
      <c r="CD515" s="120"/>
      <c r="CE515" s="120"/>
    </row>
    <row r="516" ht="18.75" customHeight="1">
      <c r="C516" s="64"/>
      <c r="E516" s="64"/>
      <c r="F516" s="64"/>
      <c r="G516" s="64"/>
      <c r="AH516" s="152"/>
      <c r="AI516" s="152"/>
      <c r="AJ516" s="152"/>
      <c r="AK516" s="152"/>
      <c r="BS516" s="120"/>
      <c r="BT516" s="120"/>
      <c r="BU516" s="120"/>
      <c r="BV516" s="120"/>
      <c r="BW516" s="120"/>
      <c r="BX516" s="120"/>
      <c r="BY516" s="120"/>
      <c r="BZ516" s="120"/>
      <c r="CA516" s="120"/>
      <c r="CB516" s="120"/>
      <c r="CC516" s="120"/>
      <c r="CD516" s="120"/>
      <c r="CE516" s="120"/>
    </row>
    <row r="517" ht="18.75" customHeight="1">
      <c r="C517" s="64"/>
      <c r="E517" s="64"/>
      <c r="F517" s="64"/>
      <c r="G517" s="64"/>
      <c r="AH517" s="152"/>
      <c r="AI517" s="152"/>
      <c r="AJ517" s="152"/>
      <c r="AK517" s="152"/>
      <c r="BS517" s="120"/>
      <c r="BT517" s="120"/>
      <c r="BU517" s="120"/>
      <c r="BV517" s="120"/>
      <c r="BW517" s="120"/>
      <c r="BX517" s="120"/>
      <c r="BY517" s="120"/>
      <c r="BZ517" s="120"/>
      <c r="CA517" s="120"/>
      <c r="CB517" s="120"/>
      <c r="CC517" s="120"/>
      <c r="CD517" s="120"/>
      <c r="CE517" s="120"/>
    </row>
    <row r="518" ht="18.75" customHeight="1">
      <c r="C518" s="64"/>
      <c r="E518" s="64"/>
      <c r="F518" s="64"/>
      <c r="G518" s="64"/>
      <c r="AH518" s="152"/>
      <c r="AI518" s="152"/>
      <c r="AJ518" s="152"/>
      <c r="AK518" s="152"/>
      <c r="BS518" s="120"/>
      <c r="BT518" s="120"/>
      <c r="BU518" s="120"/>
      <c r="BV518" s="120"/>
      <c r="BW518" s="120"/>
      <c r="BX518" s="120"/>
      <c r="BY518" s="120"/>
      <c r="BZ518" s="120"/>
      <c r="CA518" s="120"/>
      <c r="CB518" s="120"/>
      <c r="CC518" s="120"/>
      <c r="CD518" s="120"/>
      <c r="CE518" s="120"/>
    </row>
    <row r="519" ht="18.75" customHeight="1">
      <c r="C519" s="64"/>
      <c r="E519" s="64"/>
      <c r="F519" s="64"/>
      <c r="G519" s="64"/>
      <c r="AH519" s="152"/>
      <c r="AI519" s="152"/>
      <c r="AJ519" s="152"/>
      <c r="AK519" s="152"/>
      <c r="BS519" s="120"/>
      <c r="BT519" s="120"/>
      <c r="BU519" s="120"/>
      <c r="BV519" s="120"/>
      <c r="BW519" s="120"/>
      <c r="BX519" s="120"/>
      <c r="BY519" s="120"/>
      <c r="BZ519" s="120"/>
      <c r="CA519" s="120"/>
      <c r="CB519" s="120"/>
      <c r="CC519" s="120"/>
      <c r="CD519" s="120"/>
      <c r="CE519" s="120"/>
    </row>
    <row r="520" ht="18.75" customHeight="1">
      <c r="C520" s="64"/>
      <c r="E520" s="64"/>
      <c r="F520" s="64"/>
      <c r="G520" s="64"/>
      <c r="AH520" s="152"/>
      <c r="AI520" s="152"/>
      <c r="AJ520" s="152"/>
      <c r="AK520" s="152"/>
      <c r="BS520" s="120"/>
      <c r="BT520" s="120"/>
      <c r="BU520" s="120"/>
      <c r="BV520" s="120"/>
      <c r="BW520" s="120"/>
      <c r="BX520" s="120"/>
      <c r="BY520" s="120"/>
      <c r="BZ520" s="120"/>
      <c r="CA520" s="120"/>
      <c r="CB520" s="120"/>
      <c r="CC520" s="120"/>
      <c r="CD520" s="120"/>
      <c r="CE520" s="120"/>
    </row>
    <row r="521" ht="18.75" customHeight="1">
      <c r="C521" s="64"/>
      <c r="E521" s="64"/>
      <c r="F521" s="64"/>
      <c r="G521" s="64"/>
      <c r="AH521" s="152"/>
      <c r="AI521" s="152"/>
      <c r="AJ521" s="152"/>
      <c r="AK521" s="152"/>
      <c r="BS521" s="120"/>
      <c r="BT521" s="120"/>
      <c r="BU521" s="120"/>
      <c r="BV521" s="120"/>
      <c r="BW521" s="120"/>
      <c r="BX521" s="120"/>
      <c r="BY521" s="120"/>
      <c r="BZ521" s="120"/>
      <c r="CA521" s="120"/>
      <c r="CB521" s="120"/>
      <c r="CC521" s="120"/>
      <c r="CD521" s="120"/>
      <c r="CE521" s="120"/>
    </row>
    <row r="522" ht="18.75" customHeight="1">
      <c r="C522" s="64"/>
      <c r="E522" s="64"/>
      <c r="F522" s="64"/>
      <c r="G522" s="64"/>
      <c r="AH522" s="152"/>
      <c r="AI522" s="152"/>
      <c r="AJ522" s="152"/>
      <c r="AK522" s="152"/>
      <c r="BS522" s="120"/>
      <c r="BT522" s="120"/>
      <c r="BU522" s="120"/>
      <c r="BV522" s="120"/>
      <c r="BW522" s="120"/>
      <c r="BX522" s="120"/>
      <c r="BY522" s="120"/>
      <c r="BZ522" s="120"/>
      <c r="CA522" s="120"/>
      <c r="CB522" s="120"/>
      <c r="CC522" s="120"/>
      <c r="CD522" s="120"/>
      <c r="CE522" s="120"/>
    </row>
    <row r="523" ht="18.75" customHeight="1">
      <c r="C523" s="64"/>
      <c r="E523" s="64"/>
      <c r="F523" s="64"/>
      <c r="G523" s="64"/>
      <c r="AH523" s="152"/>
      <c r="AI523" s="152"/>
      <c r="AJ523" s="152"/>
      <c r="AK523" s="152"/>
      <c r="BS523" s="120"/>
      <c r="BT523" s="120"/>
      <c r="BU523" s="120"/>
      <c r="BV523" s="120"/>
      <c r="BW523" s="120"/>
      <c r="BX523" s="120"/>
      <c r="BY523" s="120"/>
      <c r="BZ523" s="120"/>
      <c r="CA523" s="120"/>
      <c r="CB523" s="120"/>
      <c r="CC523" s="120"/>
      <c r="CD523" s="120"/>
      <c r="CE523" s="120"/>
    </row>
    <row r="524" ht="18.75" customHeight="1">
      <c r="C524" s="64"/>
      <c r="E524" s="64"/>
      <c r="F524" s="64"/>
      <c r="G524" s="64"/>
      <c r="AH524" s="152"/>
      <c r="AI524" s="152"/>
      <c r="AJ524" s="152"/>
      <c r="AK524" s="152"/>
      <c r="BS524" s="120"/>
      <c r="BT524" s="120"/>
      <c r="BU524" s="120"/>
      <c r="BV524" s="120"/>
      <c r="BW524" s="120"/>
      <c r="BX524" s="120"/>
      <c r="BY524" s="120"/>
      <c r="BZ524" s="120"/>
      <c r="CA524" s="120"/>
      <c r="CB524" s="120"/>
      <c r="CC524" s="120"/>
      <c r="CD524" s="120"/>
      <c r="CE524" s="120"/>
    </row>
    <row r="525" ht="18.75" customHeight="1">
      <c r="C525" s="64"/>
      <c r="E525" s="64"/>
      <c r="F525" s="64"/>
      <c r="G525" s="64"/>
      <c r="AH525" s="152"/>
      <c r="AI525" s="152"/>
      <c r="AJ525" s="152"/>
      <c r="AK525" s="152"/>
      <c r="BS525" s="120"/>
      <c r="BT525" s="120"/>
      <c r="BU525" s="120"/>
      <c r="BV525" s="120"/>
      <c r="BW525" s="120"/>
      <c r="BX525" s="120"/>
      <c r="BY525" s="120"/>
      <c r="BZ525" s="120"/>
      <c r="CA525" s="120"/>
      <c r="CB525" s="120"/>
      <c r="CC525" s="120"/>
      <c r="CD525" s="120"/>
      <c r="CE525" s="120"/>
    </row>
    <row r="526" ht="18.75" customHeight="1">
      <c r="C526" s="64"/>
      <c r="E526" s="64"/>
      <c r="F526" s="64"/>
      <c r="G526" s="64"/>
      <c r="AH526" s="152"/>
      <c r="AI526" s="152"/>
      <c r="AJ526" s="152"/>
      <c r="AK526" s="152"/>
      <c r="BS526" s="120"/>
      <c r="BT526" s="120"/>
      <c r="BU526" s="120"/>
      <c r="BV526" s="120"/>
      <c r="BW526" s="120"/>
      <c r="BX526" s="120"/>
      <c r="BY526" s="120"/>
      <c r="BZ526" s="120"/>
      <c r="CA526" s="120"/>
      <c r="CB526" s="120"/>
      <c r="CC526" s="120"/>
      <c r="CD526" s="120"/>
      <c r="CE526" s="120"/>
    </row>
    <row r="527" ht="18.75" customHeight="1">
      <c r="C527" s="64"/>
      <c r="E527" s="64"/>
      <c r="F527" s="64"/>
      <c r="G527" s="64"/>
      <c r="AH527" s="152"/>
      <c r="AI527" s="152"/>
      <c r="AJ527" s="152"/>
      <c r="AK527" s="152"/>
      <c r="BS527" s="120"/>
      <c r="BT527" s="120"/>
      <c r="BU527" s="120"/>
      <c r="BV527" s="120"/>
      <c r="BW527" s="120"/>
      <c r="BX527" s="120"/>
      <c r="BY527" s="120"/>
      <c r="BZ527" s="120"/>
      <c r="CA527" s="120"/>
      <c r="CB527" s="120"/>
      <c r="CC527" s="120"/>
      <c r="CD527" s="120"/>
      <c r="CE527" s="120"/>
    </row>
    <row r="528" ht="18.75" customHeight="1">
      <c r="C528" s="64"/>
      <c r="E528" s="64"/>
      <c r="F528" s="64"/>
      <c r="G528" s="64"/>
      <c r="AH528" s="152"/>
      <c r="AI528" s="152"/>
      <c r="AJ528" s="152"/>
      <c r="AK528" s="152"/>
      <c r="BS528" s="120"/>
      <c r="BT528" s="120"/>
      <c r="BU528" s="120"/>
      <c r="BV528" s="120"/>
      <c r="BW528" s="120"/>
      <c r="BX528" s="120"/>
      <c r="BY528" s="120"/>
      <c r="BZ528" s="120"/>
      <c r="CA528" s="120"/>
      <c r="CB528" s="120"/>
      <c r="CC528" s="120"/>
      <c r="CD528" s="120"/>
      <c r="CE528" s="120"/>
    </row>
    <row r="529" ht="18.75" customHeight="1">
      <c r="C529" s="64"/>
      <c r="E529" s="64"/>
      <c r="F529" s="64"/>
      <c r="G529" s="64"/>
      <c r="AH529" s="152"/>
      <c r="AI529" s="152"/>
      <c r="AJ529" s="152"/>
      <c r="AK529" s="152"/>
      <c r="BS529" s="120"/>
      <c r="BT529" s="120"/>
      <c r="BU529" s="120"/>
      <c r="BV529" s="120"/>
      <c r="BW529" s="120"/>
      <c r="BX529" s="120"/>
      <c r="BY529" s="120"/>
      <c r="BZ529" s="120"/>
      <c r="CA529" s="120"/>
      <c r="CB529" s="120"/>
      <c r="CC529" s="120"/>
      <c r="CD529" s="120"/>
      <c r="CE529" s="120"/>
    </row>
    <row r="530" ht="18.75" customHeight="1">
      <c r="C530" s="64"/>
      <c r="E530" s="64"/>
      <c r="F530" s="64"/>
      <c r="G530" s="64"/>
      <c r="AH530" s="152"/>
      <c r="AI530" s="152"/>
      <c r="AJ530" s="152"/>
      <c r="AK530" s="152"/>
      <c r="BS530" s="120"/>
      <c r="BT530" s="120"/>
      <c r="BU530" s="120"/>
      <c r="BV530" s="120"/>
      <c r="BW530" s="120"/>
      <c r="BX530" s="120"/>
      <c r="BY530" s="120"/>
      <c r="BZ530" s="120"/>
      <c r="CA530" s="120"/>
      <c r="CB530" s="120"/>
      <c r="CC530" s="120"/>
      <c r="CD530" s="120"/>
      <c r="CE530" s="120"/>
    </row>
    <row r="531" ht="18.75" customHeight="1">
      <c r="C531" s="64"/>
      <c r="E531" s="64"/>
      <c r="F531" s="64"/>
      <c r="G531" s="64"/>
      <c r="AH531" s="152"/>
      <c r="AI531" s="152"/>
      <c r="AJ531" s="152"/>
      <c r="AK531" s="152"/>
      <c r="BS531" s="120"/>
      <c r="BT531" s="120"/>
      <c r="BU531" s="120"/>
      <c r="BV531" s="120"/>
      <c r="BW531" s="120"/>
      <c r="BX531" s="120"/>
      <c r="BY531" s="120"/>
      <c r="BZ531" s="120"/>
      <c r="CA531" s="120"/>
      <c r="CB531" s="120"/>
      <c r="CC531" s="120"/>
      <c r="CD531" s="120"/>
      <c r="CE531" s="120"/>
    </row>
    <row r="532" ht="18.75" customHeight="1">
      <c r="C532" s="64"/>
      <c r="E532" s="64"/>
      <c r="F532" s="64"/>
      <c r="G532" s="64"/>
      <c r="AH532" s="152"/>
      <c r="AI532" s="152"/>
      <c r="AJ532" s="152"/>
      <c r="AK532" s="152"/>
      <c r="BS532" s="120"/>
      <c r="BT532" s="120"/>
      <c r="BU532" s="120"/>
      <c r="BV532" s="120"/>
      <c r="BW532" s="120"/>
      <c r="BX532" s="120"/>
      <c r="BY532" s="120"/>
      <c r="BZ532" s="120"/>
      <c r="CA532" s="120"/>
      <c r="CB532" s="120"/>
      <c r="CC532" s="120"/>
      <c r="CD532" s="120"/>
      <c r="CE532" s="120"/>
    </row>
    <row r="533" ht="18.75" customHeight="1">
      <c r="C533" s="64"/>
      <c r="E533" s="64"/>
      <c r="F533" s="64"/>
      <c r="G533" s="64"/>
      <c r="AH533" s="152"/>
      <c r="AI533" s="152"/>
      <c r="AJ533" s="152"/>
      <c r="AK533" s="152"/>
      <c r="BS533" s="120"/>
      <c r="BT533" s="120"/>
      <c r="BU533" s="120"/>
      <c r="BV533" s="120"/>
      <c r="BW533" s="120"/>
      <c r="BX533" s="120"/>
      <c r="BY533" s="120"/>
      <c r="BZ533" s="120"/>
      <c r="CA533" s="120"/>
      <c r="CB533" s="120"/>
      <c r="CC533" s="120"/>
      <c r="CD533" s="120"/>
      <c r="CE533" s="120"/>
    </row>
    <row r="534" ht="18.75" customHeight="1">
      <c r="C534" s="64"/>
      <c r="E534" s="64"/>
      <c r="F534" s="64"/>
      <c r="G534" s="64"/>
      <c r="AH534" s="152"/>
      <c r="AI534" s="152"/>
      <c r="AJ534" s="152"/>
      <c r="AK534" s="152"/>
      <c r="BS534" s="120"/>
      <c r="BT534" s="120"/>
      <c r="BU534" s="120"/>
      <c r="BV534" s="120"/>
      <c r="BW534" s="120"/>
      <c r="BX534" s="120"/>
      <c r="BY534" s="120"/>
      <c r="BZ534" s="120"/>
      <c r="CA534" s="120"/>
      <c r="CB534" s="120"/>
      <c r="CC534" s="120"/>
      <c r="CD534" s="120"/>
      <c r="CE534" s="120"/>
    </row>
    <row r="535" ht="18.75" customHeight="1">
      <c r="C535" s="64"/>
      <c r="E535" s="64"/>
      <c r="F535" s="64"/>
      <c r="G535" s="64"/>
      <c r="AH535" s="152"/>
      <c r="AI535" s="152"/>
      <c r="AJ535" s="152"/>
      <c r="AK535" s="152"/>
      <c r="BS535" s="120"/>
      <c r="BT535" s="120"/>
      <c r="BU535" s="120"/>
      <c r="BV535" s="120"/>
      <c r="BW535" s="120"/>
      <c r="BX535" s="120"/>
      <c r="BY535" s="120"/>
      <c r="BZ535" s="120"/>
      <c r="CA535" s="120"/>
      <c r="CB535" s="120"/>
      <c r="CC535" s="120"/>
      <c r="CD535" s="120"/>
      <c r="CE535" s="120"/>
    </row>
    <row r="536" ht="18.75" customHeight="1">
      <c r="C536" s="64"/>
      <c r="E536" s="64"/>
      <c r="F536" s="64"/>
      <c r="G536" s="64"/>
      <c r="AH536" s="152"/>
      <c r="AI536" s="152"/>
      <c r="AJ536" s="152"/>
      <c r="AK536" s="152"/>
      <c r="BS536" s="120"/>
      <c r="BT536" s="120"/>
      <c r="BU536" s="120"/>
      <c r="BV536" s="120"/>
      <c r="BW536" s="120"/>
      <c r="BX536" s="120"/>
      <c r="BY536" s="120"/>
      <c r="BZ536" s="120"/>
      <c r="CA536" s="120"/>
      <c r="CB536" s="120"/>
      <c r="CC536" s="120"/>
      <c r="CD536" s="120"/>
      <c r="CE536" s="120"/>
    </row>
    <row r="537" ht="18.75" customHeight="1">
      <c r="C537" s="64"/>
      <c r="E537" s="64"/>
      <c r="F537" s="64"/>
      <c r="G537" s="64"/>
      <c r="AH537" s="152"/>
      <c r="AI537" s="152"/>
      <c r="AJ537" s="152"/>
      <c r="AK537" s="152"/>
      <c r="BS537" s="120"/>
      <c r="BT537" s="120"/>
      <c r="BU537" s="120"/>
      <c r="BV537" s="120"/>
      <c r="BW537" s="120"/>
      <c r="BX537" s="120"/>
      <c r="BY537" s="120"/>
      <c r="BZ537" s="120"/>
      <c r="CA537" s="120"/>
      <c r="CB537" s="120"/>
      <c r="CC537" s="120"/>
      <c r="CD537" s="120"/>
      <c r="CE537" s="120"/>
    </row>
    <row r="538" ht="18.75" customHeight="1">
      <c r="C538" s="64"/>
      <c r="E538" s="64"/>
      <c r="F538" s="64"/>
      <c r="G538" s="64"/>
      <c r="AH538" s="152"/>
      <c r="AI538" s="152"/>
      <c r="AJ538" s="152"/>
      <c r="AK538" s="152"/>
      <c r="BS538" s="120"/>
      <c r="BT538" s="120"/>
      <c r="BU538" s="120"/>
      <c r="BV538" s="120"/>
      <c r="BW538" s="120"/>
      <c r="BX538" s="120"/>
      <c r="BY538" s="120"/>
      <c r="BZ538" s="120"/>
      <c r="CA538" s="120"/>
      <c r="CB538" s="120"/>
      <c r="CC538" s="120"/>
      <c r="CD538" s="120"/>
      <c r="CE538" s="120"/>
    </row>
    <row r="539" ht="18.75" customHeight="1">
      <c r="C539" s="64"/>
      <c r="E539" s="64"/>
      <c r="F539" s="64"/>
      <c r="G539" s="64"/>
      <c r="AH539" s="152"/>
      <c r="AI539" s="152"/>
      <c r="AJ539" s="152"/>
      <c r="AK539" s="152"/>
      <c r="BS539" s="120"/>
      <c r="BT539" s="120"/>
      <c r="BU539" s="120"/>
      <c r="BV539" s="120"/>
      <c r="BW539" s="120"/>
      <c r="BX539" s="120"/>
      <c r="BY539" s="120"/>
      <c r="BZ539" s="120"/>
      <c r="CA539" s="120"/>
      <c r="CB539" s="120"/>
      <c r="CC539" s="120"/>
      <c r="CD539" s="120"/>
      <c r="CE539" s="120"/>
    </row>
    <row r="540" ht="18.75" customHeight="1">
      <c r="C540" s="64"/>
      <c r="E540" s="64"/>
      <c r="F540" s="64"/>
      <c r="G540" s="64"/>
      <c r="AH540" s="152"/>
      <c r="AI540" s="152"/>
      <c r="AJ540" s="152"/>
      <c r="AK540" s="152"/>
      <c r="BS540" s="120"/>
      <c r="BT540" s="120"/>
      <c r="BU540" s="120"/>
      <c r="BV540" s="120"/>
      <c r="BW540" s="120"/>
      <c r="BX540" s="120"/>
      <c r="BY540" s="120"/>
      <c r="BZ540" s="120"/>
      <c r="CA540" s="120"/>
      <c r="CB540" s="120"/>
      <c r="CC540" s="120"/>
      <c r="CD540" s="120"/>
      <c r="CE540" s="120"/>
    </row>
    <row r="541" ht="18.75" customHeight="1">
      <c r="C541" s="64"/>
      <c r="E541" s="64"/>
      <c r="F541" s="64"/>
      <c r="G541" s="64"/>
      <c r="AH541" s="152"/>
      <c r="AI541" s="152"/>
      <c r="AJ541" s="152"/>
      <c r="AK541" s="152"/>
      <c r="BS541" s="120"/>
      <c r="BT541" s="120"/>
      <c r="BU541" s="120"/>
      <c r="BV541" s="120"/>
      <c r="BW541" s="120"/>
      <c r="BX541" s="120"/>
      <c r="BY541" s="120"/>
      <c r="BZ541" s="120"/>
      <c r="CA541" s="120"/>
      <c r="CB541" s="120"/>
      <c r="CC541" s="120"/>
      <c r="CD541" s="120"/>
      <c r="CE541" s="120"/>
    </row>
    <row r="542" ht="18.75" customHeight="1">
      <c r="C542" s="64"/>
      <c r="E542" s="64"/>
      <c r="F542" s="64"/>
      <c r="G542" s="64"/>
      <c r="AH542" s="152"/>
      <c r="AI542" s="152"/>
      <c r="AJ542" s="152"/>
      <c r="AK542" s="152"/>
      <c r="BS542" s="120"/>
      <c r="BT542" s="120"/>
      <c r="BU542" s="120"/>
      <c r="BV542" s="120"/>
      <c r="BW542" s="120"/>
      <c r="BX542" s="120"/>
      <c r="BY542" s="120"/>
      <c r="BZ542" s="120"/>
      <c r="CA542" s="120"/>
      <c r="CB542" s="120"/>
      <c r="CC542" s="120"/>
      <c r="CD542" s="120"/>
      <c r="CE542" s="120"/>
    </row>
    <row r="543" ht="18.75" customHeight="1">
      <c r="C543" s="64"/>
      <c r="E543" s="64"/>
      <c r="F543" s="64"/>
      <c r="G543" s="64"/>
      <c r="AH543" s="152"/>
      <c r="AI543" s="152"/>
      <c r="AJ543" s="152"/>
      <c r="AK543" s="152"/>
      <c r="BS543" s="120"/>
      <c r="BT543" s="120"/>
      <c r="BU543" s="120"/>
      <c r="BV543" s="120"/>
      <c r="BW543" s="120"/>
      <c r="BX543" s="120"/>
      <c r="BY543" s="120"/>
      <c r="BZ543" s="120"/>
      <c r="CA543" s="120"/>
      <c r="CB543" s="120"/>
      <c r="CC543" s="120"/>
      <c r="CD543" s="120"/>
      <c r="CE543" s="120"/>
    </row>
    <row r="544" ht="18.75" customHeight="1">
      <c r="C544" s="64"/>
      <c r="E544" s="64"/>
      <c r="F544" s="64"/>
      <c r="G544" s="64"/>
      <c r="AH544" s="152"/>
      <c r="AI544" s="152"/>
      <c r="AJ544" s="152"/>
      <c r="AK544" s="152"/>
      <c r="BS544" s="120"/>
      <c r="BT544" s="120"/>
      <c r="BU544" s="120"/>
      <c r="BV544" s="120"/>
      <c r="BW544" s="120"/>
      <c r="BX544" s="120"/>
      <c r="BY544" s="120"/>
      <c r="BZ544" s="120"/>
      <c r="CA544" s="120"/>
      <c r="CB544" s="120"/>
      <c r="CC544" s="120"/>
      <c r="CD544" s="120"/>
      <c r="CE544" s="120"/>
    </row>
    <row r="545" ht="18.75" customHeight="1">
      <c r="C545" s="64"/>
      <c r="E545" s="64"/>
      <c r="F545" s="64"/>
      <c r="G545" s="64"/>
      <c r="AH545" s="152"/>
      <c r="AI545" s="152"/>
      <c r="AJ545" s="152"/>
      <c r="AK545" s="152"/>
      <c r="BS545" s="120"/>
      <c r="BT545" s="120"/>
      <c r="BU545" s="120"/>
      <c r="BV545" s="120"/>
      <c r="BW545" s="120"/>
      <c r="BX545" s="120"/>
      <c r="BY545" s="120"/>
      <c r="BZ545" s="120"/>
      <c r="CA545" s="120"/>
      <c r="CB545" s="120"/>
      <c r="CC545" s="120"/>
      <c r="CD545" s="120"/>
      <c r="CE545" s="120"/>
    </row>
    <row r="546" ht="18.75" customHeight="1">
      <c r="C546" s="64"/>
      <c r="E546" s="64"/>
      <c r="F546" s="64"/>
      <c r="G546" s="64"/>
      <c r="AH546" s="152"/>
      <c r="AI546" s="152"/>
      <c r="AJ546" s="152"/>
      <c r="AK546" s="152"/>
      <c r="BS546" s="120"/>
      <c r="BT546" s="120"/>
      <c r="BU546" s="120"/>
      <c r="BV546" s="120"/>
      <c r="BW546" s="120"/>
      <c r="BX546" s="120"/>
      <c r="BY546" s="120"/>
      <c r="BZ546" s="120"/>
      <c r="CA546" s="120"/>
      <c r="CB546" s="120"/>
      <c r="CC546" s="120"/>
      <c r="CD546" s="120"/>
      <c r="CE546" s="120"/>
    </row>
    <row r="547" ht="18.75" customHeight="1">
      <c r="C547" s="64"/>
      <c r="E547" s="64"/>
      <c r="F547" s="64"/>
      <c r="G547" s="64"/>
      <c r="AH547" s="152"/>
      <c r="AI547" s="152"/>
      <c r="AJ547" s="152"/>
      <c r="AK547" s="152"/>
      <c r="BS547" s="120"/>
      <c r="BT547" s="120"/>
      <c r="BU547" s="120"/>
      <c r="BV547" s="120"/>
      <c r="BW547" s="120"/>
      <c r="BX547" s="120"/>
      <c r="BY547" s="120"/>
      <c r="BZ547" s="120"/>
      <c r="CA547" s="120"/>
      <c r="CB547" s="120"/>
      <c r="CC547" s="120"/>
      <c r="CD547" s="120"/>
      <c r="CE547" s="120"/>
    </row>
    <row r="548" ht="18.75" customHeight="1">
      <c r="C548" s="64"/>
      <c r="E548" s="64"/>
      <c r="F548" s="64"/>
      <c r="G548" s="64"/>
      <c r="AH548" s="152"/>
      <c r="AI548" s="152"/>
      <c r="AJ548" s="152"/>
      <c r="AK548" s="152"/>
      <c r="BS548" s="120"/>
      <c r="BT548" s="120"/>
      <c r="BU548" s="120"/>
      <c r="BV548" s="120"/>
      <c r="BW548" s="120"/>
      <c r="BX548" s="120"/>
      <c r="BY548" s="120"/>
      <c r="BZ548" s="120"/>
      <c r="CA548" s="120"/>
      <c r="CB548" s="120"/>
      <c r="CC548" s="120"/>
      <c r="CD548" s="120"/>
      <c r="CE548" s="120"/>
    </row>
    <row r="549" ht="18.75" customHeight="1">
      <c r="C549" s="64"/>
      <c r="E549" s="64"/>
      <c r="F549" s="64"/>
      <c r="G549" s="64"/>
      <c r="AH549" s="152"/>
      <c r="AI549" s="152"/>
      <c r="AJ549" s="152"/>
      <c r="AK549" s="152"/>
      <c r="BS549" s="120"/>
      <c r="BT549" s="120"/>
      <c r="BU549" s="120"/>
      <c r="BV549" s="120"/>
      <c r="BW549" s="120"/>
      <c r="BX549" s="120"/>
      <c r="BY549" s="120"/>
      <c r="BZ549" s="120"/>
      <c r="CA549" s="120"/>
      <c r="CB549" s="120"/>
      <c r="CC549" s="120"/>
      <c r="CD549" s="120"/>
      <c r="CE549" s="120"/>
    </row>
    <row r="550" ht="18.75" customHeight="1">
      <c r="C550" s="64"/>
      <c r="E550" s="64"/>
      <c r="F550" s="64"/>
      <c r="G550" s="64"/>
      <c r="AH550" s="152"/>
      <c r="AI550" s="152"/>
      <c r="AJ550" s="152"/>
      <c r="AK550" s="152"/>
      <c r="BS550" s="120"/>
      <c r="BT550" s="120"/>
      <c r="BU550" s="120"/>
      <c r="BV550" s="120"/>
      <c r="BW550" s="120"/>
      <c r="BX550" s="120"/>
      <c r="BY550" s="120"/>
      <c r="BZ550" s="120"/>
      <c r="CA550" s="120"/>
      <c r="CB550" s="120"/>
      <c r="CC550" s="120"/>
      <c r="CD550" s="120"/>
      <c r="CE550" s="120"/>
    </row>
    <row r="551" ht="18.75" customHeight="1">
      <c r="C551" s="64"/>
      <c r="E551" s="64"/>
      <c r="F551" s="64"/>
      <c r="G551" s="64"/>
      <c r="AH551" s="152"/>
      <c r="AI551" s="152"/>
      <c r="AJ551" s="152"/>
      <c r="AK551" s="152"/>
      <c r="BS551" s="120"/>
      <c r="BT551" s="120"/>
      <c r="BU551" s="120"/>
      <c r="BV551" s="120"/>
      <c r="BW551" s="120"/>
      <c r="BX551" s="120"/>
      <c r="BY551" s="120"/>
      <c r="BZ551" s="120"/>
      <c r="CA551" s="120"/>
      <c r="CB551" s="120"/>
      <c r="CC551" s="120"/>
      <c r="CD551" s="120"/>
      <c r="CE551" s="120"/>
    </row>
    <row r="552" ht="18.75" customHeight="1">
      <c r="C552" s="64"/>
      <c r="E552" s="64"/>
      <c r="F552" s="64"/>
      <c r="G552" s="64"/>
      <c r="AH552" s="152"/>
      <c r="AI552" s="152"/>
      <c r="AJ552" s="152"/>
      <c r="AK552" s="152"/>
      <c r="BS552" s="120"/>
      <c r="BT552" s="120"/>
      <c r="BU552" s="120"/>
      <c r="BV552" s="120"/>
      <c r="BW552" s="120"/>
      <c r="BX552" s="120"/>
      <c r="BY552" s="120"/>
      <c r="BZ552" s="120"/>
      <c r="CA552" s="120"/>
      <c r="CB552" s="120"/>
      <c r="CC552" s="120"/>
      <c r="CD552" s="120"/>
      <c r="CE552" s="120"/>
    </row>
    <row r="553" ht="18.75" customHeight="1">
      <c r="C553" s="64"/>
      <c r="E553" s="64"/>
      <c r="F553" s="64"/>
      <c r="G553" s="64"/>
      <c r="AH553" s="152"/>
      <c r="AI553" s="152"/>
      <c r="AJ553" s="152"/>
      <c r="AK553" s="152"/>
      <c r="BS553" s="120"/>
      <c r="BT553" s="120"/>
      <c r="BU553" s="120"/>
      <c r="BV553" s="120"/>
      <c r="BW553" s="120"/>
      <c r="BX553" s="120"/>
      <c r="BY553" s="120"/>
      <c r="BZ553" s="120"/>
      <c r="CA553" s="120"/>
      <c r="CB553" s="120"/>
      <c r="CC553" s="120"/>
      <c r="CD553" s="120"/>
      <c r="CE553" s="120"/>
    </row>
    <row r="554" ht="18.75" customHeight="1">
      <c r="C554" s="64"/>
      <c r="E554" s="64"/>
      <c r="F554" s="64"/>
      <c r="G554" s="64"/>
      <c r="AH554" s="152"/>
      <c r="AI554" s="152"/>
      <c r="AJ554" s="152"/>
      <c r="AK554" s="152"/>
      <c r="BS554" s="120"/>
      <c r="BT554" s="120"/>
      <c r="BU554" s="120"/>
      <c r="BV554" s="120"/>
      <c r="BW554" s="120"/>
      <c r="BX554" s="120"/>
      <c r="BY554" s="120"/>
      <c r="BZ554" s="120"/>
      <c r="CA554" s="120"/>
      <c r="CB554" s="120"/>
      <c r="CC554" s="120"/>
      <c r="CD554" s="120"/>
      <c r="CE554" s="120"/>
    </row>
    <row r="555" ht="18.75" customHeight="1">
      <c r="C555" s="64"/>
      <c r="E555" s="64"/>
      <c r="F555" s="64"/>
      <c r="G555" s="64"/>
      <c r="AH555" s="152"/>
      <c r="AI555" s="152"/>
      <c r="AJ555" s="152"/>
      <c r="AK555" s="152"/>
      <c r="BS555" s="120"/>
      <c r="BT555" s="120"/>
      <c r="BU555" s="120"/>
      <c r="BV555" s="120"/>
      <c r="BW555" s="120"/>
      <c r="BX555" s="120"/>
      <c r="BY555" s="120"/>
      <c r="BZ555" s="120"/>
      <c r="CA555" s="120"/>
      <c r="CB555" s="120"/>
      <c r="CC555" s="120"/>
      <c r="CD555" s="120"/>
      <c r="CE555" s="120"/>
    </row>
    <row r="556" ht="18.75" customHeight="1">
      <c r="C556" s="64"/>
      <c r="E556" s="64"/>
      <c r="F556" s="64"/>
      <c r="G556" s="64"/>
      <c r="AH556" s="152"/>
      <c r="AI556" s="152"/>
      <c r="AJ556" s="152"/>
      <c r="AK556" s="152"/>
      <c r="BS556" s="120"/>
      <c r="BT556" s="120"/>
      <c r="BU556" s="120"/>
      <c r="BV556" s="120"/>
      <c r="BW556" s="120"/>
      <c r="BX556" s="120"/>
      <c r="BY556" s="120"/>
      <c r="BZ556" s="120"/>
      <c r="CA556" s="120"/>
      <c r="CB556" s="120"/>
      <c r="CC556" s="120"/>
      <c r="CD556" s="120"/>
      <c r="CE556" s="120"/>
    </row>
    <row r="557" ht="18.75" customHeight="1">
      <c r="C557" s="64"/>
      <c r="E557" s="64"/>
      <c r="F557" s="64"/>
      <c r="G557" s="64"/>
      <c r="AH557" s="152"/>
      <c r="AI557" s="152"/>
      <c r="AJ557" s="152"/>
      <c r="AK557" s="152"/>
      <c r="BS557" s="120"/>
      <c r="BT557" s="120"/>
      <c r="BU557" s="120"/>
      <c r="BV557" s="120"/>
      <c r="BW557" s="120"/>
      <c r="BX557" s="120"/>
      <c r="BY557" s="120"/>
      <c r="BZ557" s="120"/>
      <c r="CA557" s="120"/>
      <c r="CB557" s="120"/>
      <c r="CC557" s="120"/>
      <c r="CD557" s="120"/>
      <c r="CE557" s="120"/>
    </row>
    <row r="558" ht="18.75" customHeight="1">
      <c r="C558" s="64"/>
      <c r="E558" s="64"/>
      <c r="F558" s="64"/>
      <c r="G558" s="64"/>
      <c r="AH558" s="152"/>
      <c r="AI558" s="152"/>
      <c r="AJ558" s="152"/>
      <c r="AK558" s="152"/>
      <c r="BS558" s="120"/>
      <c r="BT558" s="120"/>
      <c r="BU558" s="120"/>
      <c r="BV558" s="120"/>
      <c r="BW558" s="120"/>
      <c r="BX558" s="120"/>
      <c r="BY558" s="120"/>
      <c r="BZ558" s="120"/>
      <c r="CA558" s="120"/>
      <c r="CB558" s="120"/>
      <c r="CC558" s="120"/>
      <c r="CD558" s="120"/>
      <c r="CE558" s="120"/>
    </row>
    <row r="559" ht="18.75" customHeight="1">
      <c r="C559" s="64"/>
      <c r="E559" s="64"/>
      <c r="F559" s="64"/>
      <c r="G559" s="64"/>
      <c r="AH559" s="152"/>
      <c r="AI559" s="152"/>
      <c r="AJ559" s="152"/>
      <c r="AK559" s="152"/>
      <c r="BS559" s="120"/>
      <c r="BT559" s="120"/>
      <c r="BU559" s="120"/>
      <c r="BV559" s="120"/>
      <c r="BW559" s="120"/>
      <c r="BX559" s="120"/>
      <c r="BY559" s="120"/>
      <c r="BZ559" s="120"/>
      <c r="CA559" s="120"/>
      <c r="CB559" s="120"/>
      <c r="CC559" s="120"/>
      <c r="CD559" s="120"/>
      <c r="CE559" s="120"/>
    </row>
    <row r="560" ht="18.75" customHeight="1">
      <c r="C560" s="64"/>
      <c r="E560" s="64"/>
      <c r="F560" s="64"/>
      <c r="G560" s="64"/>
      <c r="AH560" s="152"/>
      <c r="AI560" s="152"/>
      <c r="AJ560" s="152"/>
      <c r="AK560" s="152"/>
      <c r="BS560" s="120"/>
      <c r="BT560" s="120"/>
      <c r="BU560" s="120"/>
      <c r="BV560" s="120"/>
      <c r="BW560" s="120"/>
      <c r="BX560" s="120"/>
      <c r="BY560" s="120"/>
      <c r="BZ560" s="120"/>
      <c r="CA560" s="120"/>
      <c r="CB560" s="120"/>
      <c r="CC560" s="120"/>
      <c r="CD560" s="120"/>
      <c r="CE560" s="120"/>
    </row>
    <row r="561" ht="18.75" customHeight="1">
      <c r="C561" s="64"/>
      <c r="E561" s="64"/>
      <c r="F561" s="64"/>
      <c r="G561" s="64"/>
      <c r="AH561" s="152"/>
      <c r="AI561" s="152"/>
      <c r="AJ561" s="152"/>
      <c r="AK561" s="152"/>
      <c r="BS561" s="120"/>
      <c r="BT561" s="120"/>
      <c r="BU561" s="120"/>
      <c r="BV561" s="120"/>
      <c r="BW561" s="120"/>
      <c r="BX561" s="120"/>
      <c r="BY561" s="120"/>
      <c r="BZ561" s="120"/>
      <c r="CA561" s="120"/>
      <c r="CB561" s="120"/>
      <c r="CC561" s="120"/>
      <c r="CD561" s="120"/>
      <c r="CE561" s="120"/>
    </row>
    <row r="562" ht="18.75" customHeight="1">
      <c r="C562" s="64"/>
      <c r="E562" s="64"/>
      <c r="F562" s="64"/>
      <c r="G562" s="64"/>
      <c r="AH562" s="152"/>
      <c r="AI562" s="152"/>
      <c r="AJ562" s="152"/>
      <c r="AK562" s="152"/>
      <c r="BS562" s="120"/>
      <c r="BT562" s="120"/>
      <c r="BU562" s="120"/>
      <c r="BV562" s="120"/>
      <c r="BW562" s="120"/>
      <c r="BX562" s="120"/>
      <c r="BY562" s="120"/>
      <c r="BZ562" s="120"/>
      <c r="CA562" s="120"/>
      <c r="CB562" s="120"/>
      <c r="CC562" s="120"/>
      <c r="CD562" s="120"/>
      <c r="CE562" s="120"/>
    </row>
    <row r="563" ht="18.75" customHeight="1">
      <c r="C563" s="64"/>
      <c r="E563" s="64"/>
      <c r="F563" s="64"/>
      <c r="G563" s="64"/>
      <c r="AH563" s="152"/>
      <c r="AI563" s="152"/>
      <c r="AJ563" s="152"/>
      <c r="AK563" s="152"/>
      <c r="BS563" s="120"/>
      <c r="BT563" s="120"/>
      <c r="BU563" s="120"/>
      <c r="BV563" s="120"/>
      <c r="BW563" s="120"/>
      <c r="BX563" s="120"/>
      <c r="BY563" s="120"/>
      <c r="BZ563" s="120"/>
      <c r="CA563" s="120"/>
      <c r="CB563" s="120"/>
      <c r="CC563" s="120"/>
      <c r="CD563" s="120"/>
      <c r="CE563" s="120"/>
    </row>
    <row r="564" ht="18.75" customHeight="1">
      <c r="C564" s="64"/>
      <c r="E564" s="64"/>
      <c r="F564" s="64"/>
      <c r="G564" s="64"/>
      <c r="AH564" s="152"/>
      <c r="AI564" s="152"/>
      <c r="AJ564" s="152"/>
      <c r="AK564" s="152"/>
      <c r="BS564" s="120"/>
      <c r="BT564" s="120"/>
      <c r="BU564" s="120"/>
      <c r="BV564" s="120"/>
      <c r="BW564" s="120"/>
      <c r="BX564" s="120"/>
      <c r="BY564" s="120"/>
      <c r="BZ564" s="120"/>
      <c r="CA564" s="120"/>
      <c r="CB564" s="120"/>
      <c r="CC564" s="120"/>
      <c r="CD564" s="120"/>
      <c r="CE564" s="120"/>
    </row>
    <row r="565" ht="18.75" customHeight="1">
      <c r="C565" s="64"/>
      <c r="E565" s="64"/>
      <c r="F565" s="64"/>
      <c r="G565" s="64"/>
      <c r="AH565" s="152"/>
      <c r="AI565" s="152"/>
      <c r="AJ565" s="152"/>
      <c r="AK565" s="152"/>
      <c r="BS565" s="120"/>
      <c r="BT565" s="120"/>
      <c r="BU565" s="120"/>
      <c r="BV565" s="120"/>
      <c r="BW565" s="120"/>
      <c r="BX565" s="120"/>
      <c r="BY565" s="120"/>
      <c r="BZ565" s="120"/>
      <c r="CA565" s="120"/>
      <c r="CB565" s="120"/>
      <c r="CC565" s="120"/>
      <c r="CD565" s="120"/>
      <c r="CE565" s="120"/>
    </row>
    <row r="566" ht="18.75" customHeight="1">
      <c r="C566" s="64"/>
      <c r="E566" s="64"/>
      <c r="F566" s="64"/>
      <c r="G566" s="64"/>
      <c r="AH566" s="152"/>
      <c r="AI566" s="152"/>
      <c r="AJ566" s="152"/>
      <c r="AK566" s="152"/>
      <c r="BS566" s="120"/>
      <c r="BT566" s="120"/>
      <c r="BU566" s="120"/>
      <c r="BV566" s="120"/>
      <c r="BW566" s="120"/>
      <c r="BX566" s="120"/>
      <c r="BY566" s="120"/>
      <c r="BZ566" s="120"/>
      <c r="CA566" s="120"/>
      <c r="CB566" s="120"/>
      <c r="CC566" s="120"/>
      <c r="CD566" s="120"/>
      <c r="CE566" s="120"/>
    </row>
    <row r="567" ht="18.75" customHeight="1">
      <c r="C567" s="64"/>
      <c r="E567" s="64"/>
      <c r="F567" s="64"/>
      <c r="G567" s="64"/>
      <c r="AH567" s="152"/>
      <c r="AI567" s="152"/>
      <c r="AJ567" s="152"/>
      <c r="AK567" s="152"/>
      <c r="BS567" s="120"/>
      <c r="BT567" s="120"/>
      <c r="BU567" s="120"/>
      <c r="BV567" s="120"/>
      <c r="BW567" s="120"/>
      <c r="BX567" s="120"/>
      <c r="BY567" s="120"/>
      <c r="BZ567" s="120"/>
      <c r="CA567" s="120"/>
      <c r="CB567" s="120"/>
      <c r="CC567" s="120"/>
      <c r="CD567" s="120"/>
      <c r="CE567" s="120"/>
    </row>
    <row r="568" ht="18.75" customHeight="1">
      <c r="C568" s="64"/>
      <c r="E568" s="64"/>
      <c r="F568" s="64"/>
      <c r="G568" s="64"/>
      <c r="AH568" s="152"/>
      <c r="AI568" s="152"/>
      <c r="AJ568" s="152"/>
      <c r="AK568" s="152"/>
      <c r="BS568" s="120"/>
      <c r="BT568" s="120"/>
      <c r="BU568" s="120"/>
      <c r="BV568" s="120"/>
      <c r="BW568" s="120"/>
      <c r="BX568" s="120"/>
      <c r="BY568" s="120"/>
      <c r="BZ568" s="120"/>
      <c r="CA568" s="120"/>
      <c r="CB568" s="120"/>
      <c r="CC568" s="120"/>
      <c r="CD568" s="120"/>
      <c r="CE568" s="120"/>
    </row>
    <row r="569" ht="18.75" customHeight="1">
      <c r="C569" s="64"/>
      <c r="E569" s="64"/>
      <c r="F569" s="64"/>
      <c r="G569" s="64"/>
      <c r="AH569" s="152"/>
      <c r="AI569" s="152"/>
      <c r="AJ569" s="152"/>
      <c r="AK569" s="152"/>
      <c r="BS569" s="120"/>
      <c r="BT569" s="120"/>
      <c r="BU569" s="120"/>
      <c r="BV569" s="120"/>
      <c r="BW569" s="120"/>
      <c r="BX569" s="120"/>
      <c r="BY569" s="120"/>
      <c r="BZ569" s="120"/>
      <c r="CA569" s="120"/>
      <c r="CB569" s="120"/>
      <c r="CC569" s="120"/>
      <c r="CD569" s="120"/>
      <c r="CE569" s="120"/>
    </row>
    <row r="570" ht="18.75" customHeight="1">
      <c r="C570" s="64"/>
      <c r="E570" s="64"/>
      <c r="F570" s="64"/>
      <c r="G570" s="64"/>
      <c r="AH570" s="152"/>
      <c r="AI570" s="152"/>
      <c r="AJ570" s="152"/>
      <c r="AK570" s="152"/>
      <c r="BS570" s="120"/>
      <c r="BT570" s="120"/>
      <c r="BU570" s="120"/>
      <c r="BV570" s="120"/>
      <c r="BW570" s="120"/>
      <c r="BX570" s="120"/>
      <c r="BY570" s="120"/>
      <c r="BZ570" s="120"/>
      <c r="CA570" s="120"/>
      <c r="CB570" s="120"/>
      <c r="CC570" s="120"/>
      <c r="CD570" s="120"/>
      <c r="CE570" s="120"/>
    </row>
    <row r="571" ht="18.75" customHeight="1">
      <c r="C571" s="64"/>
      <c r="E571" s="64"/>
      <c r="F571" s="64"/>
      <c r="G571" s="64"/>
      <c r="AH571" s="152"/>
      <c r="AI571" s="152"/>
      <c r="AJ571" s="152"/>
      <c r="AK571" s="152"/>
      <c r="BS571" s="120"/>
      <c r="BT571" s="120"/>
      <c r="BU571" s="120"/>
      <c r="BV571" s="120"/>
      <c r="BW571" s="120"/>
      <c r="BX571" s="120"/>
      <c r="BY571" s="120"/>
      <c r="BZ571" s="120"/>
      <c r="CA571" s="120"/>
      <c r="CB571" s="120"/>
      <c r="CC571" s="120"/>
      <c r="CD571" s="120"/>
      <c r="CE571" s="120"/>
    </row>
    <row r="572" ht="18.75" customHeight="1">
      <c r="C572" s="64"/>
      <c r="E572" s="64"/>
      <c r="F572" s="64"/>
      <c r="G572" s="64"/>
      <c r="AH572" s="152"/>
      <c r="AI572" s="152"/>
      <c r="AJ572" s="152"/>
      <c r="AK572" s="152"/>
      <c r="BS572" s="120"/>
      <c r="BT572" s="120"/>
      <c r="BU572" s="120"/>
      <c r="BV572" s="120"/>
      <c r="BW572" s="120"/>
      <c r="BX572" s="120"/>
      <c r="BY572" s="120"/>
      <c r="BZ572" s="120"/>
      <c r="CA572" s="120"/>
      <c r="CB572" s="120"/>
      <c r="CC572" s="120"/>
      <c r="CD572" s="120"/>
      <c r="CE572" s="120"/>
    </row>
    <row r="573" ht="18.75" customHeight="1">
      <c r="C573" s="64"/>
      <c r="E573" s="64"/>
      <c r="F573" s="64"/>
      <c r="G573" s="64"/>
      <c r="AH573" s="152"/>
      <c r="AI573" s="152"/>
      <c r="AJ573" s="152"/>
      <c r="AK573" s="152"/>
      <c r="BS573" s="120"/>
      <c r="BT573" s="120"/>
      <c r="BU573" s="120"/>
      <c r="BV573" s="120"/>
      <c r="BW573" s="120"/>
      <c r="BX573" s="120"/>
      <c r="BY573" s="120"/>
      <c r="BZ573" s="120"/>
      <c r="CA573" s="120"/>
      <c r="CB573" s="120"/>
      <c r="CC573" s="120"/>
      <c r="CD573" s="120"/>
      <c r="CE573" s="120"/>
    </row>
    <row r="574" ht="18.75" customHeight="1">
      <c r="C574" s="64"/>
      <c r="E574" s="64"/>
      <c r="F574" s="64"/>
      <c r="G574" s="64"/>
      <c r="AH574" s="152"/>
      <c r="AI574" s="152"/>
      <c r="AJ574" s="152"/>
      <c r="AK574" s="152"/>
      <c r="BS574" s="120"/>
      <c r="BT574" s="120"/>
      <c r="BU574" s="120"/>
      <c r="BV574" s="120"/>
      <c r="BW574" s="120"/>
      <c r="BX574" s="120"/>
      <c r="BY574" s="120"/>
      <c r="BZ574" s="120"/>
      <c r="CA574" s="120"/>
      <c r="CB574" s="120"/>
      <c r="CC574" s="120"/>
      <c r="CD574" s="120"/>
      <c r="CE574" s="120"/>
    </row>
    <row r="575" ht="18.75" customHeight="1">
      <c r="C575" s="64"/>
      <c r="E575" s="64"/>
      <c r="F575" s="64"/>
      <c r="G575" s="64"/>
      <c r="AH575" s="152"/>
      <c r="AI575" s="152"/>
      <c r="AJ575" s="152"/>
      <c r="AK575" s="152"/>
      <c r="BS575" s="120"/>
      <c r="BT575" s="120"/>
      <c r="BU575" s="120"/>
      <c r="BV575" s="120"/>
      <c r="BW575" s="120"/>
      <c r="BX575" s="120"/>
      <c r="BY575" s="120"/>
      <c r="BZ575" s="120"/>
      <c r="CA575" s="120"/>
      <c r="CB575" s="120"/>
      <c r="CC575" s="120"/>
      <c r="CD575" s="120"/>
      <c r="CE575" s="120"/>
    </row>
    <row r="576" ht="18.75" customHeight="1">
      <c r="C576" s="64"/>
      <c r="E576" s="64"/>
      <c r="F576" s="64"/>
      <c r="G576" s="64"/>
      <c r="AH576" s="152"/>
      <c r="AI576" s="152"/>
      <c r="AJ576" s="152"/>
      <c r="AK576" s="152"/>
      <c r="BS576" s="120"/>
      <c r="BT576" s="120"/>
      <c r="BU576" s="120"/>
      <c r="BV576" s="120"/>
      <c r="BW576" s="120"/>
      <c r="BX576" s="120"/>
      <c r="BY576" s="120"/>
      <c r="BZ576" s="120"/>
      <c r="CA576" s="120"/>
      <c r="CB576" s="120"/>
      <c r="CC576" s="120"/>
      <c r="CD576" s="120"/>
      <c r="CE576" s="120"/>
    </row>
    <row r="577" ht="18.75" customHeight="1">
      <c r="C577" s="64"/>
      <c r="E577" s="64"/>
      <c r="F577" s="64"/>
      <c r="G577" s="64"/>
      <c r="AH577" s="152"/>
      <c r="AI577" s="152"/>
      <c r="AJ577" s="152"/>
      <c r="AK577" s="152"/>
      <c r="BS577" s="120"/>
      <c r="BT577" s="120"/>
      <c r="BU577" s="120"/>
      <c r="BV577" s="120"/>
      <c r="BW577" s="120"/>
      <c r="BX577" s="120"/>
      <c r="BY577" s="120"/>
      <c r="BZ577" s="120"/>
      <c r="CA577" s="120"/>
      <c r="CB577" s="120"/>
      <c r="CC577" s="120"/>
      <c r="CD577" s="120"/>
      <c r="CE577" s="120"/>
    </row>
    <row r="578" ht="18.75" customHeight="1">
      <c r="C578" s="64"/>
      <c r="E578" s="64"/>
      <c r="F578" s="64"/>
      <c r="G578" s="64"/>
      <c r="AH578" s="152"/>
      <c r="AI578" s="152"/>
      <c r="AJ578" s="152"/>
      <c r="AK578" s="152"/>
      <c r="BS578" s="120"/>
      <c r="BT578" s="120"/>
      <c r="BU578" s="120"/>
      <c r="BV578" s="120"/>
      <c r="BW578" s="120"/>
      <c r="BX578" s="120"/>
      <c r="BY578" s="120"/>
      <c r="BZ578" s="120"/>
      <c r="CA578" s="120"/>
      <c r="CB578" s="120"/>
      <c r="CC578" s="120"/>
      <c r="CD578" s="120"/>
      <c r="CE578" s="120"/>
    </row>
    <row r="579" ht="18.75" customHeight="1">
      <c r="C579" s="64"/>
      <c r="E579" s="64"/>
      <c r="F579" s="64"/>
      <c r="G579" s="64"/>
      <c r="AH579" s="152"/>
      <c r="AI579" s="152"/>
      <c r="AJ579" s="152"/>
      <c r="AK579" s="152"/>
      <c r="BS579" s="120"/>
      <c r="BT579" s="120"/>
      <c r="BU579" s="120"/>
      <c r="BV579" s="120"/>
      <c r="BW579" s="120"/>
      <c r="BX579" s="120"/>
      <c r="BY579" s="120"/>
      <c r="BZ579" s="120"/>
      <c r="CA579" s="120"/>
      <c r="CB579" s="120"/>
      <c r="CC579" s="120"/>
      <c r="CD579" s="120"/>
      <c r="CE579" s="120"/>
    </row>
    <row r="580" ht="18.75" customHeight="1">
      <c r="C580" s="64"/>
      <c r="E580" s="64"/>
      <c r="F580" s="64"/>
      <c r="G580" s="64"/>
      <c r="AH580" s="152"/>
      <c r="AI580" s="152"/>
      <c r="AJ580" s="152"/>
      <c r="AK580" s="152"/>
      <c r="BS580" s="120"/>
      <c r="BT580" s="120"/>
      <c r="BU580" s="120"/>
      <c r="BV580" s="120"/>
      <c r="BW580" s="120"/>
      <c r="BX580" s="120"/>
      <c r="BY580" s="120"/>
      <c r="BZ580" s="120"/>
      <c r="CA580" s="120"/>
      <c r="CB580" s="120"/>
      <c r="CC580" s="120"/>
      <c r="CD580" s="120"/>
      <c r="CE580" s="120"/>
    </row>
    <row r="581" ht="18.75" customHeight="1">
      <c r="C581" s="64"/>
      <c r="E581" s="64"/>
      <c r="F581" s="64"/>
      <c r="G581" s="64"/>
      <c r="AH581" s="152"/>
      <c r="AI581" s="152"/>
      <c r="AJ581" s="152"/>
      <c r="AK581" s="152"/>
      <c r="BS581" s="120"/>
      <c r="BT581" s="120"/>
      <c r="BU581" s="120"/>
      <c r="BV581" s="120"/>
      <c r="BW581" s="120"/>
      <c r="BX581" s="120"/>
      <c r="BY581" s="120"/>
      <c r="BZ581" s="120"/>
      <c r="CA581" s="120"/>
      <c r="CB581" s="120"/>
      <c r="CC581" s="120"/>
      <c r="CD581" s="120"/>
      <c r="CE581" s="120"/>
    </row>
    <row r="582" ht="18.75" customHeight="1">
      <c r="C582" s="64"/>
      <c r="E582" s="64"/>
      <c r="F582" s="64"/>
      <c r="G582" s="64"/>
      <c r="AH582" s="152"/>
      <c r="AI582" s="152"/>
      <c r="AJ582" s="152"/>
      <c r="AK582" s="152"/>
      <c r="BS582" s="120"/>
      <c r="BT582" s="120"/>
      <c r="BU582" s="120"/>
      <c r="BV582" s="120"/>
      <c r="BW582" s="120"/>
      <c r="BX582" s="120"/>
      <c r="BY582" s="120"/>
      <c r="BZ582" s="120"/>
      <c r="CA582" s="120"/>
      <c r="CB582" s="120"/>
      <c r="CC582" s="120"/>
      <c r="CD582" s="120"/>
      <c r="CE582" s="120"/>
    </row>
    <row r="583" ht="18.75" customHeight="1">
      <c r="C583" s="64"/>
      <c r="E583" s="64"/>
      <c r="F583" s="64"/>
      <c r="G583" s="64"/>
      <c r="AH583" s="152"/>
      <c r="AI583" s="152"/>
      <c r="AJ583" s="152"/>
      <c r="AK583" s="152"/>
      <c r="BS583" s="120"/>
      <c r="BT583" s="120"/>
      <c r="BU583" s="120"/>
      <c r="BV583" s="120"/>
      <c r="BW583" s="120"/>
      <c r="BX583" s="120"/>
      <c r="BY583" s="120"/>
      <c r="BZ583" s="120"/>
      <c r="CA583" s="120"/>
      <c r="CB583" s="120"/>
      <c r="CC583" s="120"/>
      <c r="CD583" s="120"/>
      <c r="CE583" s="120"/>
    </row>
    <row r="584" ht="18.75" customHeight="1">
      <c r="C584" s="64"/>
      <c r="E584" s="64"/>
      <c r="F584" s="64"/>
      <c r="G584" s="64"/>
      <c r="AH584" s="152"/>
      <c r="AI584" s="152"/>
      <c r="AJ584" s="152"/>
      <c r="AK584" s="152"/>
      <c r="BS584" s="120"/>
      <c r="BT584" s="120"/>
      <c r="BU584" s="120"/>
      <c r="BV584" s="120"/>
      <c r="BW584" s="120"/>
      <c r="BX584" s="120"/>
      <c r="BY584" s="120"/>
      <c r="BZ584" s="120"/>
      <c r="CA584" s="120"/>
      <c r="CB584" s="120"/>
      <c r="CC584" s="120"/>
      <c r="CD584" s="120"/>
      <c r="CE584" s="120"/>
    </row>
    <row r="585" ht="18.75" customHeight="1">
      <c r="C585" s="64"/>
      <c r="E585" s="64"/>
      <c r="F585" s="64"/>
      <c r="G585" s="64"/>
      <c r="AH585" s="152"/>
      <c r="AI585" s="152"/>
      <c r="AJ585" s="152"/>
      <c r="AK585" s="152"/>
      <c r="BS585" s="120"/>
      <c r="BT585" s="120"/>
      <c r="BU585" s="120"/>
      <c r="BV585" s="120"/>
      <c r="BW585" s="120"/>
      <c r="BX585" s="120"/>
      <c r="BY585" s="120"/>
      <c r="BZ585" s="120"/>
      <c r="CA585" s="120"/>
      <c r="CB585" s="120"/>
      <c r="CC585" s="120"/>
      <c r="CD585" s="120"/>
      <c r="CE585" s="120"/>
    </row>
    <row r="586" ht="18.75" customHeight="1">
      <c r="C586" s="64"/>
      <c r="E586" s="64"/>
      <c r="F586" s="64"/>
      <c r="G586" s="64"/>
      <c r="AH586" s="152"/>
      <c r="AI586" s="152"/>
      <c r="AJ586" s="152"/>
      <c r="AK586" s="152"/>
      <c r="BS586" s="120"/>
      <c r="BT586" s="120"/>
      <c r="BU586" s="120"/>
      <c r="BV586" s="120"/>
      <c r="BW586" s="120"/>
      <c r="BX586" s="120"/>
      <c r="BY586" s="120"/>
      <c r="BZ586" s="120"/>
      <c r="CA586" s="120"/>
      <c r="CB586" s="120"/>
      <c r="CC586" s="120"/>
      <c r="CD586" s="120"/>
      <c r="CE586" s="120"/>
    </row>
    <row r="587" ht="18.75" customHeight="1">
      <c r="C587" s="64"/>
      <c r="E587" s="64"/>
      <c r="F587" s="64"/>
      <c r="G587" s="64"/>
      <c r="AH587" s="152"/>
      <c r="AI587" s="152"/>
      <c r="AJ587" s="152"/>
      <c r="AK587" s="152"/>
      <c r="BS587" s="120"/>
      <c r="BT587" s="120"/>
      <c r="BU587" s="120"/>
      <c r="BV587" s="120"/>
      <c r="BW587" s="120"/>
      <c r="BX587" s="120"/>
      <c r="BY587" s="120"/>
      <c r="BZ587" s="120"/>
      <c r="CA587" s="120"/>
      <c r="CB587" s="120"/>
      <c r="CC587" s="120"/>
      <c r="CD587" s="120"/>
      <c r="CE587" s="120"/>
    </row>
    <row r="588" ht="18.75" customHeight="1">
      <c r="C588" s="64"/>
      <c r="E588" s="64"/>
      <c r="F588" s="64"/>
      <c r="G588" s="64"/>
      <c r="AH588" s="152"/>
      <c r="AI588" s="152"/>
      <c r="AJ588" s="152"/>
      <c r="AK588" s="152"/>
      <c r="BS588" s="120"/>
      <c r="BT588" s="120"/>
      <c r="BU588" s="120"/>
      <c r="BV588" s="120"/>
      <c r="BW588" s="120"/>
      <c r="BX588" s="120"/>
      <c r="BY588" s="120"/>
      <c r="BZ588" s="120"/>
      <c r="CA588" s="120"/>
      <c r="CB588" s="120"/>
      <c r="CC588" s="120"/>
      <c r="CD588" s="120"/>
      <c r="CE588" s="120"/>
    </row>
    <row r="589" ht="18.75" customHeight="1">
      <c r="C589" s="64"/>
      <c r="E589" s="64"/>
      <c r="F589" s="64"/>
      <c r="G589" s="64"/>
      <c r="AH589" s="152"/>
      <c r="AI589" s="152"/>
      <c r="AJ589" s="152"/>
      <c r="AK589" s="152"/>
      <c r="BS589" s="120"/>
      <c r="BT589" s="120"/>
      <c r="BU589" s="120"/>
      <c r="BV589" s="120"/>
      <c r="BW589" s="120"/>
      <c r="BX589" s="120"/>
      <c r="BY589" s="120"/>
      <c r="BZ589" s="120"/>
      <c r="CA589" s="120"/>
      <c r="CB589" s="120"/>
      <c r="CC589" s="120"/>
      <c r="CD589" s="120"/>
      <c r="CE589" s="120"/>
    </row>
    <row r="590" ht="18.75" customHeight="1">
      <c r="C590" s="64"/>
      <c r="E590" s="64"/>
      <c r="F590" s="64"/>
      <c r="G590" s="64"/>
      <c r="AH590" s="152"/>
      <c r="AI590" s="152"/>
      <c r="AJ590" s="152"/>
      <c r="AK590" s="152"/>
      <c r="BS590" s="120"/>
      <c r="BT590" s="120"/>
      <c r="BU590" s="120"/>
      <c r="BV590" s="120"/>
      <c r="BW590" s="120"/>
      <c r="BX590" s="120"/>
      <c r="BY590" s="120"/>
      <c r="BZ590" s="120"/>
      <c r="CA590" s="120"/>
      <c r="CB590" s="120"/>
      <c r="CC590" s="120"/>
      <c r="CD590" s="120"/>
      <c r="CE590" s="120"/>
    </row>
    <row r="591" ht="18.75" customHeight="1">
      <c r="C591" s="64"/>
      <c r="E591" s="64"/>
      <c r="F591" s="64"/>
      <c r="G591" s="64"/>
      <c r="AH591" s="152"/>
      <c r="AI591" s="152"/>
      <c r="AJ591" s="152"/>
      <c r="AK591" s="152"/>
      <c r="BS591" s="120"/>
      <c r="BT591" s="120"/>
      <c r="BU591" s="120"/>
      <c r="BV591" s="120"/>
      <c r="BW591" s="120"/>
      <c r="BX591" s="120"/>
      <c r="BY591" s="120"/>
      <c r="BZ591" s="120"/>
      <c r="CA591" s="120"/>
      <c r="CB591" s="120"/>
      <c r="CC591" s="120"/>
      <c r="CD591" s="120"/>
      <c r="CE591" s="120"/>
    </row>
    <row r="592" ht="18.75" customHeight="1">
      <c r="C592" s="64"/>
      <c r="E592" s="64"/>
      <c r="F592" s="64"/>
      <c r="G592" s="64"/>
      <c r="AH592" s="152"/>
      <c r="AI592" s="152"/>
      <c r="AJ592" s="152"/>
      <c r="AK592" s="152"/>
      <c r="BS592" s="120"/>
      <c r="BT592" s="120"/>
      <c r="BU592" s="120"/>
      <c r="BV592" s="120"/>
      <c r="BW592" s="120"/>
      <c r="BX592" s="120"/>
      <c r="BY592" s="120"/>
      <c r="BZ592" s="120"/>
      <c r="CA592" s="120"/>
      <c r="CB592" s="120"/>
      <c r="CC592" s="120"/>
      <c r="CD592" s="120"/>
      <c r="CE592" s="120"/>
    </row>
    <row r="593" ht="18.75" customHeight="1">
      <c r="C593" s="64"/>
      <c r="E593" s="64"/>
      <c r="F593" s="64"/>
      <c r="G593" s="64"/>
      <c r="AH593" s="152"/>
      <c r="AI593" s="152"/>
      <c r="AJ593" s="152"/>
      <c r="AK593" s="152"/>
      <c r="BS593" s="120"/>
      <c r="BT593" s="120"/>
      <c r="BU593" s="120"/>
      <c r="BV593" s="120"/>
      <c r="BW593" s="120"/>
      <c r="BX593" s="120"/>
      <c r="BY593" s="120"/>
      <c r="BZ593" s="120"/>
      <c r="CA593" s="120"/>
      <c r="CB593" s="120"/>
      <c r="CC593" s="120"/>
      <c r="CD593" s="120"/>
      <c r="CE593" s="120"/>
    </row>
    <row r="594" ht="18.75" customHeight="1">
      <c r="C594" s="64"/>
      <c r="E594" s="64"/>
      <c r="F594" s="64"/>
      <c r="G594" s="64"/>
      <c r="AH594" s="152"/>
      <c r="AI594" s="152"/>
      <c r="AJ594" s="152"/>
      <c r="AK594" s="152"/>
      <c r="BS594" s="120"/>
      <c r="BT594" s="120"/>
      <c r="BU594" s="120"/>
      <c r="BV594" s="120"/>
      <c r="BW594" s="120"/>
      <c r="BX594" s="120"/>
      <c r="BY594" s="120"/>
      <c r="BZ594" s="120"/>
      <c r="CA594" s="120"/>
      <c r="CB594" s="120"/>
      <c r="CC594" s="120"/>
      <c r="CD594" s="120"/>
      <c r="CE594" s="120"/>
    </row>
    <row r="595" ht="18.75" customHeight="1">
      <c r="C595" s="64"/>
      <c r="E595" s="64"/>
      <c r="F595" s="64"/>
      <c r="G595" s="64"/>
      <c r="AH595" s="152"/>
      <c r="AI595" s="152"/>
      <c r="AJ595" s="152"/>
      <c r="AK595" s="152"/>
      <c r="BS595" s="120"/>
      <c r="BT595" s="120"/>
      <c r="BU595" s="120"/>
      <c r="BV595" s="120"/>
      <c r="BW595" s="120"/>
      <c r="BX595" s="120"/>
      <c r="BY595" s="120"/>
      <c r="BZ595" s="120"/>
      <c r="CA595" s="120"/>
      <c r="CB595" s="120"/>
      <c r="CC595" s="120"/>
      <c r="CD595" s="120"/>
      <c r="CE595" s="120"/>
    </row>
    <row r="596" ht="18.75" customHeight="1">
      <c r="C596" s="64"/>
      <c r="E596" s="64"/>
      <c r="F596" s="64"/>
      <c r="G596" s="64"/>
      <c r="AH596" s="152"/>
      <c r="AI596" s="152"/>
      <c r="AJ596" s="152"/>
      <c r="AK596" s="152"/>
      <c r="BS596" s="120"/>
      <c r="BT596" s="120"/>
      <c r="BU596" s="120"/>
      <c r="BV596" s="120"/>
      <c r="BW596" s="120"/>
      <c r="BX596" s="120"/>
      <c r="BY596" s="120"/>
      <c r="BZ596" s="120"/>
      <c r="CA596" s="120"/>
      <c r="CB596" s="120"/>
      <c r="CC596" s="120"/>
      <c r="CD596" s="120"/>
      <c r="CE596" s="120"/>
    </row>
    <row r="597" ht="18.75" customHeight="1">
      <c r="C597" s="64"/>
      <c r="E597" s="64"/>
      <c r="F597" s="64"/>
      <c r="G597" s="64"/>
      <c r="AH597" s="152"/>
      <c r="AI597" s="152"/>
      <c r="AJ597" s="152"/>
      <c r="AK597" s="152"/>
      <c r="BS597" s="120"/>
      <c r="BT597" s="120"/>
      <c r="BU597" s="120"/>
      <c r="BV597" s="120"/>
      <c r="BW597" s="120"/>
      <c r="BX597" s="120"/>
      <c r="BY597" s="120"/>
      <c r="BZ597" s="120"/>
      <c r="CA597" s="120"/>
      <c r="CB597" s="120"/>
      <c r="CC597" s="120"/>
      <c r="CD597" s="120"/>
      <c r="CE597" s="120"/>
    </row>
    <row r="598" ht="18.75" customHeight="1">
      <c r="C598" s="64"/>
      <c r="E598" s="64"/>
      <c r="F598" s="64"/>
      <c r="G598" s="64"/>
      <c r="AH598" s="152"/>
      <c r="AI598" s="152"/>
      <c r="AJ598" s="152"/>
      <c r="AK598" s="152"/>
      <c r="BS598" s="120"/>
      <c r="BT598" s="120"/>
      <c r="BU598" s="120"/>
      <c r="BV598" s="120"/>
      <c r="BW598" s="120"/>
      <c r="BX598" s="120"/>
      <c r="BY598" s="120"/>
      <c r="BZ598" s="120"/>
      <c r="CA598" s="120"/>
      <c r="CB598" s="120"/>
      <c r="CC598" s="120"/>
      <c r="CD598" s="120"/>
      <c r="CE598" s="120"/>
    </row>
    <row r="599" ht="18.75" customHeight="1">
      <c r="C599" s="64"/>
      <c r="E599" s="64"/>
      <c r="F599" s="64"/>
      <c r="G599" s="64"/>
      <c r="AH599" s="152"/>
      <c r="AI599" s="152"/>
      <c r="AJ599" s="152"/>
      <c r="AK599" s="152"/>
      <c r="BS599" s="120"/>
      <c r="BT599" s="120"/>
      <c r="BU599" s="120"/>
      <c r="BV599" s="120"/>
      <c r="BW599" s="120"/>
      <c r="BX599" s="120"/>
      <c r="BY599" s="120"/>
      <c r="BZ599" s="120"/>
      <c r="CA599" s="120"/>
      <c r="CB599" s="120"/>
      <c r="CC599" s="120"/>
      <c r="CD599" s="120"/>
      <c r="CE599" s="120"/>
    </row>
    <row r="600" ht="18.75" customHeight="1">
      <c r="C600" s="64"/>
      <c r="E600" s="64"/>
      <c r="F600" s="64"/>
      <c r="G600" s="64"/>
      <c r="AH600" s="152"/>
      <c r="AI600" s="152"/>
      <c r="AJ600" s="152"/>
      <c r="AK600" s="152"/>
      <c r="BS600" s="120"/>
      <c r="BT600" s="120"/>
      <c r="BU600" s="120"/>
      <c r="BV600" s="120"/>
      <c r="BW600" s="120"/>
      <c r="BX600" s="120"/>
      <c r="BY600" s="120"/>
      <c r="BZ600" s="120"/>
      <c r="CA600" s="120"/>
      <c r="CB600" s="120"/>
      <c r="CC600" s="120"/>
      <c r="CD600" s="120"/>
      <c r="CE600" s="120"/>
    </row>
    <row r="601" ht="18.75" customHeight="1">
      <c r="C601" s="64"/>
      <c r="E601" s="64"/>
      <c r="F601" s="64"/>
      <c r="G601" s="64"/>
      <c r="AH601" s="152"/>
      <c r="AI601" s="152"/>
      <c r="AJ601" s="152"/>
      <c r="AK601" s="152"/>
      <c r="BS601" s="120"/>
      <c r="BT601" s="120"/>
      <c r="BU601" s="120"/>
      <c r="BV601" s="120"/>
      <c r="BW601" s="120"/>
      <c r="BX601" s="120"/>
      <c r="BY601" s="120"/>
      <c r="BZ601" s="120"/>
      <c r="CA601" s="120"/>
      <c r="CB601" s="120"/>
      <c r="CC601" s="120"/>
      <c r="CD601" s="120"/>
      <c r="CE601" s="120"/>
    </row>
    <row r="602" ht="18.75" customHeight="1">
      <c r="C602" s="64"/>
      <c r="E602" s="64"/>
      <c r="F602" s="64"/>
      <c r="G602" s="64"/>
      <c r="AH602" s="152"/>
      <c r="AI602" s="152"/>
      <c r="AJ602" s="152"/>
      <c r="AK602" s="152"/>
      <c r="BS602" s="120"/>
      <c r="BT602" s="120"/>
      <c r="BU602" s="120"/>
      <c r="BV602" s="120"/>
      <c r="BW602" s="120"/>
      <c r="BX602" s="120"/>
      <c r="BY602" s="120"/>
      <c r="BZ602" s="120"/>
      <c r="CA602" s="120"/>
      <c r="CB602" s="120"/>
      <c r="CC602" s="120"/>
      <c r="CD602" s="120"/>
      <c r="CE602" s="120"/>
    </row>
    <row r="603" ht="18.75" customHeight="1">
      <c r="C603" s="64"/>
      <c r="E603" s="64"/>
      <c r="F603" s="64"/>
      <c r="G603" s="64"/>
      <c r="AH603" s="152"/>
      <c r="AI603" s="152"/>
      <c r="AJ603" s="152"/>
      <c r="AK603" s="152"/>
      <c r="BS603" s="120"/>
      <c r="BT603" s="120"/>
      <c r="BU603" s="120"/>
      <c r="BV603" s="120"/>
      <c r="BW603" s="120"/>
      <c r="BX603" s="120"/>
      <c r="BY603" s="120"/>
      <c r="BZ603" s="120"/>
      <c r="CA603" s="120"/>
      <c r="CB603" s="120"/>
      <c r="CC603" s="120"/>
      <c r="CD603" s="120"/>
      <c r="CE603" s="120"/>
    </row>
    <row r="604" ht="18.75" customHeight="1">
      <c r="C604" s="64"/>
      <c r="E604" s="64"/>
      <c r="F604" s="64"/>
      <c r="G604" s="64"/>
      <c r="AH604" s="152"/>
      <c r="AI604" s="152"/>
      <c r="AJ604" s="152"/>
      <c r="AK604" s="152"/>
      <c r="BS604" s="120"/>
      <c r="BT604" s="120"/>
      <c r="BU604" s="120"/>
      <c r="BV604" s="120"/>
      <c r="BW604" s="120"/>
      <c r="BX604" s="120"/>
      <c r="BY604" s="120"/>
      <c r="BZ604" s="120"/>
      <c r="CA604" s="120"/>
      <c r="CB604" s="120"/>
      <c r="CC604" s="120"/>
      <c r="CD604" s="120"/>
      <c r="CE604" s="120"/>
    </row>
    <row r="605" ht="18.75" customHeight="1">
      <c r="C605" s="64"/>
      <c r="E605" s="64"/>
      <c r="F605" s="64"/>
      <c r="G605" s="64"/>
      <c r="AH605" s="152"/>
      <c r="AI605" s="152"/>
      <c r="AJ605" s="152"/>
      <c r="AK605" s="152"/>
      <c r="BS605" s="120"/>
      <c r="BT605" s="120"/>
      <c r="BU605" s="120"/>
      <c r="BV605" s="120"/>
      <c r="BW605" s="120"/>
      <c r="BX605" s="120"/>
      <c r="BY605" s="120"/>
      <c r="BZ605" s="120"/>
      <c r="CA605" s="120"/>
      <c r="CB605" s="120"/>
      <c r="CC605" s="120"/>
      <c r="CD605" s="120"/>
      <c r="CE605" s="120"/>
    </row>
    <row r="606" ht="18.75" customHeight="1">
      <c r="C606" s="64"/>
      <c r="E606" s="64"/>
      <c r="F606" s="64"/>
      <c r="G606" s="64"/>
      <c r="AH606" s="152"/>
      <c r="AI606" s="152"/>
      <c r="AJ606" s="152"/>
      <c r="AK606" s="152"/>
      <c r="BS606" s="120"/>
      <c r="BT606" s="120"/>
      <c r="BU606" s="120"/>
      <c r="BV606" s="120"/>
      <c r="BW606" s="120"/>
      <c r="BX606" s="120"/>
      <c r="BY606" s="120"/>
      <c r="BZ606" s="120"/>
      <c r="CA606" s="120"/>
      <c r="CB606" s="120"/>
      <c r="CC606" s="120"/>
      <c r="CD606" s="120"/>
      <c r="CE606" s="120"/>
    </row>
    <row r="607" ht="18.75" customHeight="1">
      <c r="C607" s="64"/>
      <c r="E607" s="64"/>
      <c r="F607" s="64"/>
      <c r="G607" s="64"/>
      <c r="AH607" s="152"/>
      <c r="AI607" s="152"/>
      <c r="AJ607" s="152"/>
      <c r="AK607" s="152"/>
      <c r="BS607" s="120"/>
      <c r="BT607" s="120"/>
      <c r="BU607" s="120"/>
      <c r="BV607" s="120"/>
      <c r="BW607" s="120"/>
      <c r="BX607" s="120"/>
      <c r="BY607" s="120"/>
      <c r="BZ607" s="120"/>
      <c r="CA607" s="120"/>
      <c r="CB607" s="120"/>
      <c r="CC607" s="120"/>
      <c r="CD607" s="120"/>
      <c r="CE607" s="120"/>
    </row>
    <row r="608" ht="18.75" customHeight="1">
      <c r="C608" s="64"/>
      <c r="E608" s="64"/>
      <c r="F608" s="64"/>
      <c r="G608" s="64"/>
      <c r="AH608" s="152"/>
      <c r="AI608" s="152"/>
      <c r="AJ608" s="152"/>
      <c r="AK608" s="152"/>
      <c r="BS608" s="120"/>
      <c r="BT608" s="120"/>
      <c r="BU608" s="120"/>
      <c r="BV608" s="120"/>
      <c r="BW608" s="120"/>
      <c r="BX608" s="120"/>
      <c r="BY608" s="120"/>
      <c r="BZ608" s="120"/>
      <c r="CA608" s="120"/>
      <c r="CB608" s="120"/>
      <c r="CC608" s="120"/>
      <c r="CD608" s="120"/>
      <c r="CE608" s="120"/>
    </row>
    <row r="609" ht="18.75" customHeight="1">
      <c r="C609" s="64"/>
      <c r="E609" s="64"/>
      <c r="F609" s="64"/>
      <c r="G609" s="64"/>
      <c r="AH609" s="152"/>
      <c r="AI609" s="152"/>
      <c r="AJ609" s="152"/>
      <c r="AK609" s="152"/>
      <c r="BS609" s="120"/>
      <c r="BT609" s="120"/>
      <c r="BU609" s="120"/>
      <c r="BV609" s="120"/>
      <c r="BW609" s="120"/>
      <c r="BX609" s="120"/>
      <c r="BY609" s="120"/>
      <c r="BZ609" s="120"/>
      <c r="CA609" s="120"/>
      <c r="CB609" s="120"/>
      <c r="CC609" s="120"/>
      <c r="CD609" s="120"/>
      <c r="CE609" s="120"/>
    </row>
    <row r="610" ht="18.75" customHeight="1">
      <c r="C610" s="64"/>
      <c r="E610" s="64"/>
      <c r="F610" s="64"/>
      <c r="G610" s="64"/>
      <c r="AH610" s="152"/>
      <c r="AI610" s="152"/>
      <c r="AJ610" s="152"/>
      <c r="AK610" s="152"/>
      <c r="BS610" s="120"/>
      <c r="BT610" s="120"/>
      <c r="BU610" s="120"/>
      <c r="BV610" s="120"/>
      <c r="BW610" s="120"/>
      <c r="BX610" s="120"/>
      <c r="BY610" s="120"/>
      <c r="BZ610" s="120"/>
      <c r="CA610" s="120"/>
      <c r="CB610" s="120"/>
      <c r="CC610" s="120"/>
      <c r="CD610" s="120"/>
      <c r="CE610" s="120"/>
    </row>
    <row r="611" ht="18.75" customHeight="1">
      <c r="C611" s="64"/>
      <c r="E611" s="64"/>
      <c r="F611" s="64"/>
      <c r="G611" s="64"/>
      <c r="AH611" s="152"/>
      <c r="AI611" s="152"/>
      <c r="AJ611" s="152"/>
      <c r="AK611" s="152"/>
      <c r="BS611" s="120"/>
      <c r="BT611" s="120"/>
      <c r="BU611" s="120"/>
      <c r="BV611" s="120"/>
      <c r="BW611" s="120"/>
      <c r="BX611" s="120"/>
      <c r="BY611" s="120"/>
      <c r="BZ611" s="120"/>
      <c r="CA611" s="120"/>
      <c r="CB611" s="120"/>
      <c r="CC611" s="120"/>
      <c r="CD611" s="120"/>
      <c r="CE611" s="120"/>
    </row>
    <row r="612" ht="18.75" customHeight="1">
      <c r="C612" s="64"/>
      <c r="E612" s="64"/>
      <c r="F612" s="64"/>
      <c r="G612" s="64"/>
      <c r="AH612" s="152"/>
      <c r="AI612" s="152"/>
      <c r="AJ612" s="152"/>
      <c r="AK612" s="152"/>
      <c r="BS612" s="120"/>
      <c r="BT612" s="120"/>
      <c r="BU612" s="120"/>
      <c r="BV612" s="120"/>
      <c r="BW612" s="120"/>
      <c r="BX612" s="120"/>
      <c r="BY612" s="120"/>
      <c r="BZ612" s="120"/>
      <c r="CA612" s="120"/>
      <c r="CB612" s="120"/>
      <c r="CC612" s="120"/>
      <c r="CD612" s="120"/>
      <c r="CE612" s="120"/>
    </row>
    <row r="613" ht="18.75" customHeight="1">
      <c r="C613" s="64"/>
      <c r="E613" s="64"/>
      <c r="F613" s="64"/>
      <c r="G613" s="64"/>
      <c r="AH613" s="152"/>
      <c r="AI613" s="152"/>
      <c r="AJ613" s="152"/>
      <c r="AK613" s="152"/>
      <c r="BS613" s="120"/>
      <c r="BT613" s="120"/>
      <c r="BU613" s="120"/>
      <c r="BV613" s="120"/>
      <c r="BW613" s="120"/>
      <c r="BX613" s="120"/>
      <c r="BY613" s="120"/>
      <c r="BZ613" s="120"/>
      <c r="CA613" s="120"/>
      <c r="CB613" s="120"/>
      <c r="CC613" s="120"/>
      <c r="CD613" s="120"/>
      <c r="CE613" s="120"/>
    </row>
    <row r="614" ht="18.75" customHeight="1">
      <c r="C614" s="64"/>
      <c r="E614" s="64"/>
      <c r="F614" s="64"/>
      <c r="G614" s="64"/>
      <c r="AH614" s="152"/>
      <c r="AI614" s="152"/>
      <c r="AJ614" s="152"/>
      <c r="AK614" s="152"/>
      <c r="BS614" s="120"/>
      <c r="BT614" s="120"/>
      <c r="BU614" s="120"/>
      <c r="BV614" s="120"/>
      <c r="BW614" s="120"/>
      <c r="BX614" s="120"/>
      <c r="BY614" s="120"/>
      <c r="BZ614" s="120"/>
      <c r="CA614" s="120"/>
      <c r="CB614" s="120"/>
      <c r="CC614" s="120"/>
      <c r="CD614" s="120"/>
      <c r="CE614" s="120"/>
    </row>
    <row r="615" ht="18.75" customHeight="1">
      <c r="C615" s="64"/>
      <c r="E615" s="64"/>
      <c r="F615" s="64"/>
      <c r="G615" s="64"/>
      <c r="AH615" s="152"/>
      <c r="AI615" s="152"/>
      <c r="AJ615" s="152"/>
      <c r="AK615" s="152"/>
      <c r="BS615" s="120"/>
      <c r="BT615" s="120"/>
      <c r="BU615" s="120"/>
      <c r="BV615" s="120"/>
      <c r="BW615" s="120"/>
      <c r="BX615" s="120"/>
      <c r="BY615" s="120"/>
      <c r="BZ615" s="120"/>
      <c r="CA615" s="120"/>
      <c r="CB615" s="120"/>
      <c r="CC615" s="120"/>
      <c r="CD615" s="120"/>
      <c r="CE615" s="120"/>
    </row>
    <row r="616" ht="18.75" customHeight="1">
      <c r="C616" s="64"/>
      <c r="E616" s="64"/>
      <c r="F616" s="64"/>
      <c r="G616" s="64"/>
      <c r="AH616" s="152"/>
      <c r="AI616" s="152"/>
      <c r="AJ616" s="152"/>
      <c r="AK616" s="152"/>
      <c r="BS616" s="120"/>
      <c r="BT616" s="120"/>
      <c r="BU616" s="120"/>
      <c r="BV616" s="120"/>
      <c r="BW616" s="120"/>
      <c r="BX616" s="120"/>
      <c r="BY616" s="120"/>
      <c r="BZ616" s="120"/>
      <c r="CA616" s="120"/>
      <c r="CB616" s="120"/>
      <c r="CC616" s="120"/>
      <c r="CD616" s="120"/>
      <c r="CE616" s="120"/>
    </row>
    <row r="617" ht="18.75" customHeight="1">
      <c r="C617" s="64"/>
      <c r="E617" s="64"/>
      <c r="F617" s="64"/>
      <c r="G617" s="64"/>
      <c r="AH617" s="152"/>
      <c r="AI617" s="152"/>
      <c r="AJ617" s="152"/>
      <c r="AK617" s="152"/>
      <c r="BS617" s="120"/>
      <c r="BT617" s="120"/>
      <c r="BU617" s="120"/>
      <c r="BV617" s="120"/>
      <c r="BW617" s="120"/>
      <c r="BX617" s="120"/>
      <c r="BY617" s="120"/>
      <c r="BZ617" s="120"/>
      <c r="CA617" s="120"/>
      <c r="CB617" s="120"/>
      <c r="CC617" s="120"/>
      <c r="CD617" s="120"/>
      <c r="CE617" s="120"/>
    </row>
    <row r="618" ht="18.75" customHeight="1">
      <c r="C618" s="64"/>
      <c r="E618" s="64"/>
      <c r="F618" s="64"/>
      <c r="G618" s="64"/>
      <c r="AH618" s="152"/>
      <c r="AI618" s="152"/>
      <c r="AJ618" s="152"/>
      <c r="AK618" s="152"/>
      <c r="BS618" s="120"/>
      <c r="BT618" s="120"/>
      <c r="BU618" s="120"/>
      <c r="BV618" s="120"/>
      <c r="BW618" s="120"/>
      <c r="BX618" s="120"/>
      <c r="BY618" s="120"/>
      <c r="BZ618" s="120"/>
      <c r="CA618" s="120"/>
      <c r="CB618" s="120"/>
      <c r="CC618" s="120"/>
      <c r="CD618" s="120"/>
      <c r="CE618" s="120"/>
    </row>
    <row r="619" ht="18.75" customHeight="1">
      <c r="C619" s="64"/>
      <c r="E619" s="64"/>
      <c r="F619" s="64"/>
      <c r="G619" s="64"/>
      <c r="AH619" s="152"/>
      <c r="AI619" s="152"/>
      <c r="AJ619" s="152"/>
      <c r="AK619" s="152"/>
      <c r="BS619" s="120"/>
      <c r="BT619" s="120"/>
      <c r="BU619" s="120"/>
      <c r="BV619" s="120"/>
      <c r="BW619" s="120"/>
      <c r="BX619" s="120"/>
      <c r="BY619" s="120"/>
      <c r="BZ619" s="120"/>
      <c r="CA619" s="120"/>
      <c r="CB619" s="120"/>
      <c r="CC619" s="120"/>
      <c r="CD619" s="120"/>
      <c r="CE619" s="120"/>
    </row>
    <row r="620" ht="18.75" customHeight="1">
      <c r="C620" s="64"/>
      <c r="E620" s="64"/>
      <c r="F620" s="64"/>
      <c r="G620" s="64"/>
      <c r="AH620" s="152"/>
      <c r="AI620" s="152"/>
      <c r="AJ620" s="152"/>
      <c r="AK620" s="152"/>
      <c r="BS620" s="120"/>
      <c r="BT620" s="120"/>
      <c r="BU620" s="120"/>
      <c r="BV620" s="120"/>
      <c r="BW620" s="120"/>
      <c r="BX620" s="120"/>
      <c r="BY620" s="120"/>
      <c r="BZ620" s="120"/>
      <c r="CA620" s="120"/>
      <c r="CB620" s="120"/>
      <c r="CC620" s="120"/>
      <c r="CD620" s="120"/>
      <c r="CE620" s="120"/>
    </row>
    <row r="621" ht="18.75" customHeight="1">
      <c r="C621" s="64"/>
      <c r="E621" s="64"/>
      <c r="F621" s="64"/>
      <c r="G621" s="64"/>
      <c r="AH621" s="152"/>
      <c r="AI621" s="152"/>
      <c r="AJ621" s="152"/>
      <c r="AK621" s="152"/>
      <c r="BS621" s="120"/>
      <c r="BT621" s="120"/>
      <c r="BU621" s="120"/>
      <c r="BV621" s="120"/>
      <c r="BW621" s="120"/>
      <c r="BX621" s="120"/>
      <c r="BY621" s="120"/>
      <c r="BZ621" s="120"/>
      <c r="CA621" s="120"/>
      <c r="CB621" s="120"/>
      <c r="CC621" s="120"/>
      <c r="CD621" s="120"/>
      <c r="CE621" s="120"/>
    </row>
    <row r="622" ht="18.75" customHeight="1">
      <c r="C622" s="64"/>
      <c r="E622" s="64"/>
      <c r="F622" s="64"/>
      <c r="G622" s="64"/>
      <c r="AH622" s="152"/>
      <c r="AI622" s="152"/>
      <c r="AJ622" s="152"/>
      <c r="AK622" s="152"/>
      <c r="BS622" s="120"/>
      <c r="BT622" s="120"/>
      <c r="BU622" s="120"/>
      <c r="BV622" s="120"/>
      <c r="BW622" s="120"/>
      <c r="BX622" s="120"/>
      <c r="BY622" s="120"/>
      <c r="BZ622" s="120"/>
      <c r="CA622" s="120"/>
      <c r="CB622" s="120"/>
      <c r="CC622" s="120"/>
      <c r="CD622" s="120"/>
      <c r="CE622" s="120"/>
    </row>
    <row r="623" ht="18.75" customHeight="1">
      <c r="C623" s="64"/>
      <c r="E623" s="64"/>
      <c r="F623" s="64"/>
      <c r="G623" s="64"/>
      <c r="AH623" s="152"/>
      <c r="AI623" s="152"/>
      <c r="AJ623" s="152"/>
      <c r="AK623" s="152"/>
      <c r="BS623" s="120"/>
      <c r="BT623" s="120"/>
      <c r="BU623" s="120"/>
      <c r="BV623" s="120"/>
      <c r="BW623" s="120"/>
      <c r="BX623" s="120"/>
      <c r="BY623" s="120"/>
      <c r="BZ623" s="120"/>
      <c r="CA623" s="120"/>
      <c r="CB623" s="120"/>
      <c r="CC623" s="120"/>
      <c r="CD623" s="120"/>
      <c r="CE623" s="120"/>
    </row>
    <row r="624" ht="18.75" customHeight="1">
      <c r="C624" s="64"/>
      <c r="E624" s="64"/>
      <c r="F624" s="64"/>
      <c r="G624" s="64"/>
      <c r="AH624" s="152"/>
      <c r="AI624" s="152"/>
      <c r="AJ624" s="152"/>
      <c r="AK624" s="152"/>
      <c r="BS624" s="120"/>
      <c r="BT624" s="120"/>
      <c r="BU624" s="120"/>
      <c r="BV624" s="120"/>
      <c r="BW624" s="120"/>
      <c r="BX624" s="120"/>
      <c r="BY624" s="120"/>
      <c r="BZ624" s="120"/>
      <c r="CA624" s="120"/>
      <c r="CB624" s="120"/>
      <c r="CC624" s="120"/>
      <c r="CD624" s="120"/>
      <c r="CE624" s="120"/>
    </row>
    <row r="625" ht="18.75" customHeight="1">
      <c r="C625" s="64"/>
      <c r="E625" s="64"/>
      <c r="F625" s="64"/>
      <c r="G625" s="64"/>
      <c r="AH625" s="152"/>
      <c r="AI625" s="152"/>
      <c r="AJ625" s="152"/>
      <c r="AK625" s="152"/>
      <c r="BS625" s="120"/>
      <c r="BT625" s="120"/>
      <c r="BU625" s="120"/>
      <c r="BV625" s="120"/>
      <c r="BW625" s="120"/>
      <c r="BX625" s="120"/>
      <c r="BY625" s="120"/>
      <c r="BZ625" s="120"/>
      <c r="CA625" s="120"/>
      <c r="CB625" s="120"/>
      <c r="CC625" s="120"/>
      <c r="CD625" s="120"/>
      <c r="CE625" s="120"/>
    </row>
    <row r="626" ht="18.75" customHeight="1">
      <c r="C626" s="64"/>
      <c r="E626" s="64"/>
      <c r="F626" s="64"/>
      <c r="G626" s="64"/>
      <c r="AH626" s="152"/>
      <c r="AI626" s="152"/>
      <c r="AJ626" s="152"/>
      <c r="AK626" s="152"/>
      <c r="BS626" s="120"/>
      <c r="BT626" s="120"/>
      <c r="BU626" s="120"/>
      <c r="BV626" s="120"/>
      <c r="BW626" s="120"/>
      <c r="BX626" s="120"/>
      <c r="BY626" s="120"/>
      <c r="BZ626" s="120"/>
      <c r="CA626" s="120"/>
      <c r="CB626" s="120"/>
      <c r="CC626" s="120"/>
      <c r="CD626" s="120"/>
      <c r="CE626" s="120"/>
    </row>
    <row r="627" ht="18.75" customHeight="1">
      <c r="C627" s="64"/>
      <c r="E627" s="64"/>
      <c r="F627" s="64"/>
      <c r="G627" s="64"/>
      <c r="AH627" s="152"/>
      <c r="AI627" s="152"/>
      <c r="AJ627" s="152"/>
      <c r="AK627" s="152"/>
      <c r="BS627" s="120"/>
      <c r="BT627" s="120"/>
      <c r="BU627" s="120"/>
      <c r="BV627" s="120"/>
      <c r="BW627" s="120"/>
      <c r="BX627" s="120"/>
      <c r="BY627" s="120"/>
      <c r="BZ627" s="120"/>
      <c r="CA627" s="120"/>
      <c r="CB627" s="120"/>
      <c r="CC627" s="120"/>
      <c r="CD627" s="120"/>
      <c r="CE627" s="120"/>
    </row>
    <row r="628" ht="18.75" customHeight="1">
      <c r="C628" s="64"/>
      <c r="E628" s="64"/>
      <c r="F628" s="64"/>
      <c r="G628" s="64"/>
      <c r="AH628" s="152"/>
      <c r="AI628" s="152"/>
      <c r="AJ628" s="152"/>
      <c r="AK628" s="152"/>
      <c r="BS628" s="120"/>
      <c r="BT628" s="120"/>
      <c r="BU628" s="120"/>
      <c r="BV628" s="120"/>
      <c r="BW628" s="120"/>
      <c r="BX628" s="120"/>
      <c r="BY628" s="120"/>
      <c r="BZ628" s="120"/>
      <c r="CA628" s="120"/>
      <c r="CB628" s="120"/>
      <c r="CC628" s="120"/>
      <c r="CD628" s="120"/>
      <c r="CE628" s="120"/>
    </row>
    <row r="629" ht="18.75" customHeight="1">
      <c r="C629" s="64"/>
      <c r="E629" s="64"/>
      <c r="F629" s="64"/>
      <c r="G629" s="64"/>
      <c r="AH629" s="152"/>
      <c r="AI629" s="152"/>
      <c r="AJ629" s="152"/>
      <c r="AK629" s="152"/>
      <c r="BS629" s="120"/>
      <c r="BT629" s="120"/>
      <c r="BU629" s="120"/>
      <c r="BV629" s="120"/>
      <c r="BW629" s="120"/>
      <c r="BX629" s="120"/>
      <c r="BY629" s="120"/>
      <c r="BZ629" s="120"/>
      <c r="CA629" s="120"/>
      <c r="CB629" s="120"/>
      <c r="CC629" s="120"/>
      <c r="CD629" s="120"/>
      <c r="CE629" s="120"/>
    </row>
    <row r="630" ht="18.75" customHeight="1">
      <c r="C630" s="64"/>
      <c r="E630" s="64"/>
      <c r="F630" s="64"/>
      <c r="G630" s="64"/>
      <c r="AH630" s="152"/>
      <c r="AI630" s="152"/>
      <c r="AJ630" s="152"/>
      <c r="AK630" s="152"/>
      <c r="BS630" s="120"/>
      <c r="BT630" s="120"/>
      <c r="BU630" s="120"/>
      <c r="BV630" s="120"/>
      <c r="BW630" s="120"/>
      <c r="BX630" s="120"/>
      <c r="BY630" s="120"/>
      <c r="BZ630" s="120"/>
      <c r="CA630" s="120"/>
      <c r="CB630" s="120"/>
      <c r="CC630" s="120"/>
      <c r="CD630" s="120"/>
      <c r="CE630" s="120"/>
    </row>
    <row r="631" ht="18.75" customHeight="1">
      <c r="C631" s="64"/>
      <c r="E631" s="64"/>
      <c r="F631" s="64"/>
      <c r="G631" s="64"/>
      <c r="AH631" s="152"/>
      <c r="AI631" s="152"/>
      <c r="AJ631" s="152"/>
      <c r="AK631" s="152"/>
      <c r="BS631" s="120"/>
      <c r="BT631" s="120"/>
      <c r="BU631" s="120"/>
      <c r="BV631" s="120"/>
      <c r="BW631" s="120"/>
      <c r="BX631" s="120"/>
      <c r="BY631" s="120"/>
      <c r="BZ631" s="120"/>
      <c r="CA631" s="120"/>
      <c r="CB631" s="120"/>
      <c r="CC631" s="120"/>
      <c r="CD631" s="120"/>
      <c r="CE631" s="120"/>
    </row>
    <row r="632" ht="18.75" customHeight="1">
      <c r="C632" s="64"/>
      <c r="E632" s="64"/>
      <c r="F632" s="64"/>
      <c r="G632" s="64"/>
      <c r="AH632" s="152"/>
      <c r="AI632" s="152"/>
      <c r="AJ632" s="152"/>
      <c r="AK632" s="152"/>
      <c r="BS632" s="120"/>
      <c r="BT632" s="120"/>
      <c r="BU632" s="120"/>
      <c r="BV632" s="120"/>
      <c r="BW632" s="120"/>
      <c r="BX632" s="120"/>
      <c r="BY632" s="120"/>
      <c r="BZ632" s="120"/>
      <c r="CA632" s="120"/>
      <c r="CB632" s="120"/>
      <c r="CC632" s="120"/>
      <c r="CD632" s="120"/>
      <c r="CE632" s="120"/>
    </row>
    <row r="633" ht="18.75" customHeight="1">
      <c r="C633" s="64"/>
      <c r="E633" s="64"/>
      <c r="F633" s="64"/>
      <c r="G633" s="64"/>
      <c r="AH633" s="152"/>
      <c r="AI633" s="152"/>
      <c r="AJ633" s="152"/>
      <c r="AK633" s="152"/>
      <c r="BS633" s="120"/>
      <c r="BT633" s="120"/>
      <c r="BU633" s="120"/>
      <c r="BV633" s="120"/>
      <c r="BW633" s="120"/>
      <c r="BX633" s="120"/>
      <c r="BY633" s="120"/>
      <c r="BZ633" s="120"/>
      <c r="CA633" s="120"/>
      <c r="CB633" s="120"/>
      <c r="CC633" s="120"/>
      <c r="CD633" s="120"/>
      <c r="CE633" s="120"/>
    </row>
    <row r="634" ht="18.75" customHeight="1">
      <c r="C634" s="64"/>
      <c r="E634" s="64"/>
      <c r="F634" s="64"/>
      <c r="G634" s="64"/>
      <c r="AH634" s="152"/>
      <c r="AI634" s="152"/>
      <c r="AJ634" s="152"/>
      <c r="AK634" s="152"/>
      <c r="BS634" s="120"/>
      <c r="BT634" s="120"/>
      <c r="BU634" s="120"/>
      <c r="BV634" s="120"/>
      <c r="BW634" s="120"/>
      <c r="BX634" s="120"/>
      <c r="BY634" s="120"/>
      <c r="BZ634" s="120"/>
      <c r="CA634" s="120"/>
      <c r="CB634" s="120"/>
      <c r="CC634" s="120"/>
      <c r="CD634" s="120"/>
      <c r="CE634" s="120"/>
    </row>
    <row r="635" ht="18.75" customHeight="1">
      <c r="C635" s="64"/>
      <c r="E635" s="64"/>
      <c r="F635" s="64"/>
      <c r="G635" s="64"/>
      <c r="AH635" s="152"/>
      <c r="AI635" s="152"/>
      <c r="AJ635" s="152"/>
      <c r="AK635" s="152"/>
      <c r="BS635" s="120"/>
      <c r="BT635" s="120"/>
      <c r="BU635" s="120"/>
      <c r="BV635" s="120"/>
      <c r="BW635" s="120"/>
      <c r="BX635" s="120"/>
      <c r="BY635" s="120"/>
      <c r="BZ635" s="120"/>
      <c r="CA635" s="120"/>
      <c r="CB635" s="120"/>
      <c r="CC635" s="120"/>
      <c r="CD635" s="120"/>
      <c r="CE635" s="120"/>
    </row>
    <row r="636" ht="18.75" customHeight="1">
      <c r="C636" s="64"/>
      <c r="E636" s="64"/>
      <c r="F636" s="64"/>
      <c r="G636" s="64"/>
      <c r="AH636" s="152"/>
      <c r="AI636" s="152"/>
      <c r="AJ636" s="152"/>
      <c r="AK636" s="152"/>
      <c r="BS636" s="120"/>
      <c r="BT636" s="120"/>
      <c r="BU636" s="120"/>
      <c r="BV636" s="120"/>
      <c r="BW636" s="120"/>
      <c r="BX636" s="120"/>
      <c r="BY636" s="120"/>
      <c r="BZ636" s="120"/>
      <c r="CA636" s="120"/>
      <c r="CB636" s="120"/>
      <c r="CC636" s="120"/>
      <c r="CD636" s="120"/>
      <c r="CE636" s="120"/>
    </row>
    <row r="637" ht="18.75" customHeight="1">
      <c r="C637" s="64"/>
      <c r="E637" s="64"/>
      <c r="F637" s="64"/>
      <c r="G637" s="64"/>
      <c r="AH637" s="152"/>
      <c r="AI637" s="152"/>
      <c r="AJ637" s="152"/>
      <c r="AK637" s="152"/>
      <c r="BS637" s="120"/>
      <c r="BT637" s="120"/>
      <c r="BU637" s="120"/>
      <c r="BV637" s="120"/>
      <c r="BW637" s="120"/>
      <c r="BX637" s="120"/>
      <c r="BY637" s="120"/>
      <c r="BZ637" s="120"/>
      <c r="CA637" s="120"/>
      <c r="CB637" s="120"/>
      <c r="CC637" s="120"/>
      <c r="CD637" s="120"/>
      <c r="CE637" s="120"/>
    </row>
    <row r="638" ht="18.75" customHeight="1">
      <c r="C638" s="64"/>
      <c r="E638" s="64"/>
      <c r="F638" s="64"/>
      <c r="G638" s="64"/>
      <c r="AH638" s="152"/>
      <c r="AI638" s="152"/>
      <c r="AJ638" s="152"/>
      <c r="AK638" s="152"/>
      <c r="BS638" s="120"/>
      <c r="BT638" s="120"/>
      <c r="BU638" s="120"/>
      <c r="BV638" s="120"/>
      <c r="BW638" s="120"/>
      <c r="BX638" s="120"/>
      <c r="BY638" s="120"/>
      <c r="BZ638" s="120"/>
      <c r="CA638" s="120"/>
      <c r="CB638" s="120"/>
      <c r="CC638" s="120"/>
      <c r="CD638" s="120"/>
      <c r="CE638" s="120"/>
    </row>
    <row r="639" ht="18.75" customHeight="1">
      <c r="C639" s="64"/>
      <c r="E639" s="64"/>
      <c r="F639" s="64"/>
      <c r="G639" s="64"/>
      <c r="AH639" s="152"/>
      <c r="AI639" s="152"/>
      <c r="AJ639" s="152"/>
      <c r="AK639" s="152"/>
      <c r="BS639" s="120"/>
      <c r="BT639" s="120"/>
      <c r="BU639" s="120"/>
      <c r="BV639" s="120"/>
      <c r="BW639" s="120"/>
      <c r="BX639" s="120"/>
      <c r="BY639" s="120"/>
      <c r="BZ639" s="120"/>
      <c r="CA639" s="120"/>
      <c r="CB639" s="120"/>
      <c r="CC639" s="120"/>
      <c r="CD639" s="120"/>
      <c r="CE639" s="120"/>
    </row>
    <row r="640" ht="18.75" customHeight="1">
      <c r="C640" s="64"/>
      <c r="E640" s="64"/>
      <c r="F640" s="64"/>
      <c r="G640" s="64"/>
      <c r="AH640" s="152"/>
      <c r="AI640" s="152"/>
      <c r="AJ640" s="152"/>
      <c r="AK640" s="152"/>
      <c r="BS640" s="120"/>
      <c r="BT640" s="120"/>
      <c r="BU640" s="120"/>
      <c r="BV640" s="120"/>
      <c r="BW640" s="120"/>
      <c r="BX640" s="120"/>
      <c r="BY640" s="120"/>
      <c r="BZ640" s="120"/>
      <c r="CA640" s="120"/>
      <c r="CB640" s="120"/>
      <c r="CC640" s="120"/>
      <c r="CD640" s="120"/>
      <c r="CE640" s="120"/>
    </row>
    <row r="641" ht="18.75" customHeight="1">
      <c r="C641" s="64"/>
      <c r="E641" s="64"/>
      <c r="F641" s="64"/>
      <c r="G641" s="64"/>
      <c r="AH641" s="152"/>
      <c r="AI641" s="152"/>
      <c r="AJ641" s="152"/>
      <c r="AK641" s="152"/>
      <c r="BS641" s="120"/>
      <c r="BT641" s="120"/>
      <c r="BU641" s="120"/>
      <c r="BV641" s="120"/>
      <c r="BW641" s="120"/>
      <c r="BX641" s="120"/>
      <c r="BY641" s="120"/>
      <c r="BZ641" s="120"/>
      <c r="CA641" s="120"/>
      <c r="CB641" s="120"/>
      <c r="CC641" s="120"/>
      <c r="CD641" s="120"/>
      <c r="CE641" s="120"/>
    </row>
    <row r="642" ht="18.75" customHeight="1">
      <c r="C642" s="64"/>
      <c r="E642" s="64"/>
      <c r="F642" s="64"/>
      <c r="G642" s="64"/>
      <c r="AH642" s="152"/>
      <c r="AI642" s="152"/>
      <c r="AJ642" s="152"/>
      <c r="AK642" s="152"/>
      <c r="BS642" s="120"/>
      <c r="BT642" s="120"/>
      <c r="BU642" s="120"/>
      <c r="BV642" s="120"/>
      <c r="BW642" s="120"/>
      <c r="BX642" s="120"/>
      <c r="BY642" s="120"/>
      <c r="BZ642" s="120"/>
      <c r="CA642" s="120"/>
      <c r="CB642" s="120"/>
      <c r="CC642" s="120"/>
      <c r="CD642" s="120"/>
      <c r="CE642" s="120"/>
    </row>
    <row r="643" ht="18.75" customHeight="1">
      <c r="C643" s="64"/>
      <c r="E643" s="64"/>
      <c r="F643" s="64"/>
      <c r="G643" s="64"/>
      <c r="AH643" s="152"/>
      <c r="AI643" s="152"/>
      <c r="AJ643" s="152"/>
      <c r="AK643" s="152"/>
      <c r="BS643" s="120"/>
      <c r="BT643" s="120"/>
      <c r="BU643" s="120"/>
      <c r="BV643" s="120"/>
      <c r="BW643" s="120"/>
      <c r="BX643" s="120"/>
      <c r="BY643" s="120"/>
      <c r="BZ643" s="120"/>
      <c r="CA643" s="120"/>
      <c r="CB643" s="120"/>
      <c r="CC643" s="120"/>
      <c r="CD643" s="120"/>
      <c r="CE643" s="120"/>
    </row>
    <row r="644" ht="18.75" customHeight="1">
      <c r="C644" s="64"/>
      <c r="E644" s="64"/>
      <c r="F644" s="64"/>
      <c r="G644" s="64"/>
      <c r="AH644" s="152"/>
      <c r="AI644" s="152"/>
      <c r="AJ644" s="152"/>
      <c r="AK644" s="152"/>
      <c r="BS644" s="120"/>
      <c r="BT644" s="120"/>
      <c r="BU644" s="120"/>
      <c r="BV644" s="120"/>
      <c r="BW644" s="120"/>
      <c r="BX644" s="120"/>
      <c r="BY644" s="120"/>
      <c r="BZ644" s="120"/>
      <c r="CA644" s="120"/>
      <c r="CB644" s="120"/>
      <c r="CC644" s="120"/>
      <c r="CD644" s="120"/>
      <c r="CE644" s="120"/>
    </row>
    <row r="645" ht="18.75" customHeight="1">
      <c r="C645" s="64"/>
      <c r="E645" s="64"/>
      <c r="F645" s="64"/>
      <c r="G645" s="64"/>
      <c r="AH645" s="152"/>
      <c r="AI645" s="152"/>
      <c r="AJ645" s="152"/>
      <c r="AK645" s="152"/>
      <c r="BS645" s="120"/>
      <c r="BT645" s="120"/>
      <c r="BU645" s="120"/>
      <c r="BV645" s="120"/>
      <c r="BW645" s="120"/>
      <c r="BX645" s="120"/>
      <c r="BY645" s="120"/>
      <c r="BZ645" s="120"/>
      <c r="CA645" s="120"/>
      <c r="CB645" s="120"/>
      <c r="CC645" s="120"/>
      <c r="CD645" s="120"/>
      <c r="CE645" s="120"/>
    </row>
    <row r="646" ht="18.75" customHeight="1">
      <c r="C646" s="64"/>
      <c r="E646" s="64"/>
      <c r="F646" s="64"/>
      <c r="G646" s="64"/>
      <c r="AH646" s="152"/>
      <c r="AI646" s="152"/>
      <c r="AJ646" s="152"/>
      <c r="AK646" s="152"/>
      <c r="BS646" s="120"/>
      <c r="BT646" s="120"/>
      <c r="BU646" s="120"/>
      <c r="BV646" s="120"/>
      <c r="BW646" s="120"/>
      <c r="BX646" s="120"/>
      <c r="BY646" s="120"/>
      <c r="BZ646" s="120"/>
      <c r="CA646" s="120"/>
      <c r="CB646" s="120"/>
      <c r="CC646" s="120"/>
      <c r="CD646" s="120"/>
      <c r="CE646" s="120"/>
    </row>
    <row r="647" ht="18.75" customHeight="1">
      <c r="C647" s="64"/>
      <c r="E647" s="64"/>
      <c r="F647" s="64"/>
      <c r="G647" s="64"/>
      <c r="AH647" s="152"/>
      <c r="AI647" s="152"/>
      <c r="AJ647" s="152"/>
      <c r="AK647" s="152"/>
      <c r="BS647" s="120"/>
      <c r="BT647" s="120"/>
      <c r="BU647" s="120"/>
      <c r="BV647" s="120"/>
      <c r="BW647" s="120"/>
      <c r="BX647" s="120"/>
      <c r="BY647" s="120"/>
      <c r="BZ647" s="120"/>
      <c r="CA647" s="120"/>
      <c r="CB647" s="120"/>
      <c r="CC647" s="120"/>
      <c r="CD647" s="120"/>
      <c r="CE647" s="120"/>
    </row>
    <row r="648" ht="18.75" customHeight="1">
      <c r="C648" s="64"/>
      <c r="E648" s="64"/>
      <c r="F648" s="64"/>
      <c r="G648" s="64"/>
      <c r="AH648" s="152"/>
      <c r="AI648" s="152"/>
      <c r="AJ648" s="152"/>
      <c r="AK648" s="152"/>
      <c r="BS648" s="120"/>
      <c r="BT648" s="120"/>
      <c r="BU648" s="120"/>
      <c r="BV648" s="120"/>
      <c r="BW648" s="120"/>
      <c r="BX648" s="120"/>
      <c r="BY648" s="120"/>
      <c r="BZ648" s="120"/>
      <c r="CA648" s="120"/>
      <c r="CB648" s="120"/>
      <c r="CC648" s="120"/>
      <c r="CD648" s="120"/>
      <c r="CE648" s="120"/>
    </row>
    <row r="649" ht="18.75" customHeight="1">
      <c r="C649" s="64"/>
      <c r="E649" s="64"/>
      <c r="F649" s="64"/>
      <c r="G649" s="64"/>
      <c r="AH649" s="152"/>
      <c r="AI649" s="152"/>
      <c r="AJ649" s="152"/>
      <c r="AK649" s="152"/>
      <c r="BS649" s="120"/>
      <c r="BT649" s="120"/>
      <c r="BU649" s="120"/>
      <c r="BV649" s="120"/>
      <c r="BW649" s="120"/>
      <c r="BX649" s="120"/>
      <c r="BY649" s="120"/>
      <c r="BZ649" s="120"/>
      <c r="CA649" s="120"/>
      <c r="CB649" s="120"/>
      <c r="CC649" s="120"/>
      <c r="CD649" s="120"/>
      <c r="CE649" s="120"/>
    </row>
    <row r="650" ht="18.75" customHeight="1">
      <c r="C650" s="64"/>
      <c r="E650" s="64"/>
      <c r="F650" s="64"/>
      <c r="G650" s="64"/>
      <c r="AH650" s="152"/>
      <c r="AI650" s="152"/>
      <c r="AJ650" s="152"/>
      <c r="AK650" s="152"/>
      <c r="BS650" s="120"/>
      <c r="BT650" s="120"/>
      <c r="BU650" s="120"/>
      <c r="BV650" s="120"/>
      <c r="BW650" s="120"/>
      <c r="BX650" s="120"/>
      <c r="BY650" s="120"/>
      <c r="BZ650" s="120"/>
      <c r="CA650" s="120"/>
      <c r="CB650" s="120"/>
      <c r="CC650" s="120"/>
      <c r="CD650" s="120"/>
      <c r="CE650" s="120"/>
    </row>
    <row r="651" ht="18.75" customHeight="1">
      <c r="C651" s="64"/>
      <c r="E651" s="64"/>
      <c r="F651" s="64"/>
      <c r="G651" s="64"/>
      <c r="AH651" s="152"/>
      <c r="AI651" s="152"/>
      <c r="AJ651" s="152"/>
      <c r="AK651" s="152"/>
      <c r="BS651" s="120"/>
      <c r="BT651" s="120"/>
      <c r="BU651" s="120"/>
      <c r="BV651" s="120"/>
      <c r="BW651" s="120"/>
      <c r="BX651" s="120"/>
      <c r="BY651" s="120"/>
      <c r="BZ651" s="120"/>
      <c r="CA651" s="120"/>
      <c r="CB651" s="120"/>
      <c r="CC651" s="120"/>
      <c r="CD651" s="120"/>
      <c r="CE651" s="120"/>
    </row>
    <row r="652" ht="18.75" customHeight="1">
      <c r="C652" s="64"/>
      <c r="E652" s="64"/>
      <c r="F652" s="64"/>
      <c r="G652" s="64"/>
      <c r="AH652" s="152"/>
      <c r="AI652" s="152"/>
      <c r="AJ652" s="152"/>
      <c r="AK652" s="152"/>
      <c r="BS652" s="120"/>
      <c r="BT652" s="120"/>
      <c r="BU652" s="120"/>
      <c r="BV652" s="120"/>
      <c r="BW652" s="120"/>
      <c r="BX652" s="120"/>
      <c r="BY652" s="120"/>
      <c r="BZ652" s="120"/>
      <c r="CA652" s="120"/>
      <c r="CB652" s="120"/>
      <c r="CC652" s="120"/>
      <c r="CD652" s="120"/>
      <c r="CE652" s="120"/>
    </row>
    <row r="653" ht="18.75" customHeight="1">
      <c r="C653" s="64"/>
      <c r="E653" s="64"/>
      <c r="F653" s="64"/>
      <c r="G653" s="64"/>
      <c r="AH653" s="152"/>
      <c r="AI653" s="152"/>
      <c r="AJ653" s="152"/>
      <c r="AK653" s="152"/>
      <c r="BS653" s="120"/>
      <c r="BT653" s="120"/>
      <c r="BU653" s="120"/>
      <c r="BV653" s="120"/>
      <c r="BW653" s="120"/>
      <c r="BX653" s="120"/>
      <c r="BY653" s="120"/>
      <c r="BZ653" s="120"/>
      <c r="CA653" s="120"/>
      <c r="CB653" s="120"/>
      <c r="CC653" s="120"/>
      <c r="CD653" s="120"/>
      <c r="CE653" s="120"/>
    </row>
    <row r="654" ht="18.75" customHeight="1">
      <c r="C654" s="64"/>
      <c r="E654" s="64"/>
      <c r="F654" s="64"/>
      <c r="G654" s="64"/>
      <c r="AH654" s="152"/>
      <c r="AI654" s="152"/>
      <c r="AJ654" s="152"/>
      <c r="AK654" s="152"/>
      <c r="BS654" s="120"/>
      <c r="BT654" s="120"/>
      <c r="BU654" s="120"/>
      <c r="BV654" s="120"/>
      <c r="BW654" s="120"/>
      <c r="BX654" s="120"/>
      <c r="BY654" s="120"/>
      <c r="BZ654" s="120"/>
      <c r="CA654" s="120"/>
      <c r="CB654" s="120"/>
      <c r="CC654" s="120"/>
      <c r="CD654" s="120"/>
      <c r="CE654" s="120"/>
    </row>
    <row r="655" ht="18.75" customHeight="1">
      <c r="C655" s="64"/>
      <c r="E655" s="64"/>
      <c r="F655" s="64"/>
      <c r="G655" s="64"/>
      <c r="AH655" s="152"/>
      <c r="AI655" s="152"/>
      <c r="AJ655" s="152"/>
      <c r="AK655" s="152"/>
      <c r="BS655" s="120"/>
      <c r="BT655" s="120"/>
      <c r="BU655" s="120"/>
      <c r="BV655" s="120"/>
      <c r="BW655" s="120"/>
      <c r="BX655" s="120"/>
      <c r="BY655" s="120"/>
      <c r="BZ655" s="120"/>
      <c r="CA655" s="120"/>
      <c r="CB655" s="120"/>
      <c r="CC655" s="120"/>
      <c r="CD655" s="120"/>
      <c r="CE655" s="120"/>
    </row>
    <row r="656" ht="18.75" customHeight="1">
      <c r="C656" s="64"/>
      <c r="E656" s="64"/>
      <c r="F656" s="64"/>
      <c r="G656" s="64"/>
      <c r="AH656" s="152"/>
      <c r="AI656" s="152"/>
      <c r="AJ656" s="152"/>
      <c r="AK656" s="152"/>
      <c r="BS656" s="120"/>
      <c r="BT656" s="120"/>
      <c r="BU656" s="120"/>
      <c r="BV656" s="120"/>
      <c r="BW656" s="120"/>
      <c r="BX656" s="120"/>
      <c r="BY656" s="120"/>
      <c r="BZ656" s="120"/>
      <c r="CA656" s="120"/>
      <c r="CB656" s="120"/>
      <c r="CC656" s="120"/>
      <c r="CD656" s="120"/>
      <c r="CE656" s="120"/>
    </row>
    <row r="657" ht="18.75" customHeight="1">
      <c r="C657" s="64"/>
      <c r="E657" s="64"/>
      <c r="F657" s="64"/>
      <c r="G657" s="64"/>
      <c r="AH657" s="152"/>
      <c r="AI657" s="152"/>
      <c r="AJ657" s="152"/>
      <c r="AK657" s="152"/>
      <c r="BS657" s="120"/>
      <c r="BT657" s="120"/>
      <c r="BU657" s="120"/>
      <c r="BV657" s="120"/>
      <c r="BW657" s="120"/>
      <c r="BX657" s="120"/>
      <c r="BY657" s="120"/>
      <c r="BZ657" s="120"/>
      <c r="CA657" s="120"/>
      <c r="CB657" s="120"/>
      <c r="CC657" s="120"/>
      <c r="CD657" s="120"/>
      <c r="CE657" s="120"/>
    </row>
    <row r="658" ht="18.75" customHeight="1">
      <c r="C658" s="64"/>
      <c r="E658" s="64"/>
      <c r="F658" s="64"/>
      <c r="G658" s="64"/>
      <c r="AH658" s="152"/>
      <c r="AI658" s="152"/>
      <c r="AJ658" s="152"/>
      <c r="AK658" s="152"/>
      <c r="BS658" s="120"/>
      <c r="BT658" s="120"/>
      <c r="BU658" s="120"/>
      <c r="BV658" s="120"/>
      <c r="BW658" s="120"/>
      <c r="BX658" s="120"/>
      <c r="BY658" s="120"/>
      <c r="BZ658" s="120"/>
      <c r="CA658" s="120"/>
      <c r="CB658" s="120"/>
      <c r="CC658" s="120"/>
      <c r="CD658" s="120"/>
      <c r="CE658" s="120"/>
    </row>
    <row r="659" ht="18.75" customHeight="1">
      <c r="C659" s="64"/>
      <c r="E659" s="64"/>
      <c r="F659" s="64"/>
      <c r="G659" s="64"/>
      <c r="AH659" s="152"/>
      <c r="AI659" s="152"/>
      <c r="AJ659" s="152"/>
      <c r="AK659" s="152"/>
      <c r="BS659" s="120"/>
      <c r="BT659" s="120"/>
      <c r="BU659" s="120"/>
      <c r="BV659" s="120"/>
      <c r="BW659" s="120"/>
      <c r="BX659" s="120"/>
      <c r="BY659" s="120"/>
      <c r="BZ659" s="120"/>
      <c r="CA659" s="120"/>
      <c r="CB659" s="120"/>
      <c r="CC659" s="120"/>
      <c r="CD659" s="120"/>
      <c r="CE659" s="120"/>
    </row>
    <row r="660" ht="18.75" customHeight="1">
      <c r="C660" s="64"/>
      <c r="E660" s="64"/>
      <c r="F660" s="64"/>
      <c r="G660" s="64"/>
      <c r="AH660" s="152"/>
      <c r="AI660" s="152"/>
      <c r="AJ660" s="152"/>
      <c r="AK660" s="152"/>
      <c r="BS660" s="120"/>
      <c r="BT660" s="120"/>
      <c r="BU660" s="120"/>
      <c r="BV660" s="120"/>
      <c r="BW660" s="120"/>
      <c r="BX660" s="120"/>
      <c r="BY660" s="120"/>
      <c r="BZ660" s="120"/>
      <c r="CA660" s="120"/>
      <c r="CB660" s="120"/>
      <c r="CC660" s="120"/>
      <c r="CD660" s="120"/>
      <c r="CE660" s="120"/>
    </row>
    <row r="661" ht="18.75" customHeight="1">
      <c r="C661" s="64"/>
      <c r="E661" s="64"/>
      <c r="F661" s="64"/>
      <c r="G661" s="64"/>
      <c r="AH661" s="152"/>
      <c r="AI661" s="152"/>
      <c r="AJ661" s="152"/>
      <c r="AK661" s="152"/>
      <c r="BS661" s="120"/>
      <c r="BT661" s="120"/>
      <c r="BU661" s="120"/>
      <c r="BV661" s="120"/>
      <c r="BW661" s="120"/>
      <c r="BX661" s="120"/>
      <c r="BY661" s="120"/>
      <c r="BZ661" s="120"/>
      <c r="CA661" s="120"/>
      <c r="CB661" s="120"/>
      <c r="CC661" s="120"/>
      <c r="CD661" s="120"/>
      <c r="CE661" s="120"/>
    </row>
    <row r="662" ht="18.75" customHeight="1">
      <c r="C662" s="64"/>
      <c r="E662" s="64"/>
      <c r="F662" s="64"/>
      <c r="G662" s="64"/>
      <c r="AH662" s="152"/>
      <c r="AI662" s="152"/>
      <c r="AJ662" s="152"/>
      <c r="AK662" s="152"/>
      <c r="BS662" s="120"/>
      <c r="BT662" s="120"/>
      <c r="BU662" s="120"/>
      <c r="BV662" s="120"/>
      <c r="BW662" s="120"/>
      <c r="BX662" s="120"/>
      <c r="BY662" s="120"/>
      <c r="BZ662" s="120"/>
      <c r="CA662" s="120"/>
      <c r="CB662" s="120"/>
      <c r="CC662" s="120"/>
      <c r="CD662" s="120"/>
      <c r="CE662" s="120"/>
    </row>
    <row r="663" ht="18.75" customHeight="1">
      <c r="C663" s="64"/>
      <c r="E663" s="64"/>
      <c r="F663" s="64"/>
      <c r="G663" s="64"/>
      <c r="AH663" s="152"/>
      <c r="AI663" s="152"/>
      <c r="AJ663" s="152"/>
      <c r="AK663" s="152"/>
      <c r="BS663" s="120"/>
      <c r="BT663" s="120"/>
      <c r="BU663" s="120"/>
      <c r="BV663" s="120"/>
      <c r="BW663" s="120"/>
      <c r="BX663" s="120"/>
      <c r="BY663" s="120"/>
      <c r="BZ663" s="120"/>
      <c r="CA663" s="120"/>
      <c r="CB663" s="120"/>
      <c r="CC663" s="120"/>
      <c r="CD663" s="120"/>
      <c r="CE663" s="120"/>
    </row>
    <row r="664" ht="18.75" customHeight="1">
      <c r="C664" s="64"/>
      <c r="E664" s="64"/>
      <c r="F664" s="64"/>
      <c r="G664" s="64"/>
      <c r="AH664" s="152"/>
      <c r="AI664" s="152"/>
      <c r="AJ664" s="152"/>
      <c r="AK664" s="152"/>
      <c r="BS664" s="120"/>
      <c r="BT664" s="120"/>
      <c r="BU664" s="120"/>
      <c r="BV664" s="120"/>
      <c r="BW664" s="120"/>
      <c r="BX664" s="120"/>
      <c r="BY664" s="120"/>
      <c r="BZ664" s="120"/>
      <c r="CA664" s="120"/>
      <c r="CB664" s="120"/>
      <c r="CC664" s="120"/>
      <c r="CD664" s="120"/>
      <c r="CE664" s="120"/>
    </row>
    <row r="665" ht="18.75" customHeight="1">
      <c r="C665" s="64"/>
      <c r="E665" s="64"/>
      <c r="F665" s="64"/>
      <c r="G665" s="64"/>
      <c r="AH665" s="152"/>
      <c r="AI665" s="152"/>
      <c r="AJ665" s="152"/>
      <c r="AK665" s="152"/>
      <c r="BS665" s="120"/>
      <c r="BT665" s="120"/>
      <c r="BU665" s="120"/>
      <c r="BV665" s="120"/>
      <c r="BW665" s="120"/>
      <c r="BX665" s="120"/>
      <c r="BY665" s="120"/>
      <c r="BZ665" s="120"/>
      <c r="CA665" s="120"/>
      <c r="CB665" s="120"/>
      <c r="CC665" s="120"/>
      <c r="CD665" s="120"/>
      <c r="CE665" s="120"/>
    </row>
    <row r="666" ht="18.75" customHeight="1">
      <c r="C666" s="64"/>
      <c r="E666" s="64"/>
      <c r="F666" s="64"/>
      <c r="G666" s="64"/>
      <c r="AH666" s="152"/>
      <c r="AI666" s="152"/>
      <c r="AJ666" s="152"/>
      <c r="AK666" s="152"/>
      <c r="BS666" s="120"/>
      <c r="BT666" s="120"/>
      <c r="BU666" s="120"/>
      <c r="BV666" s="120"/>
      <c r="BW666" s="120"/>
      <c r="BX666" s="120"/>
      <c r="BY666" s="120"/>
      <c r="BZ666" s="120"/>
      <c r="CA666" s="120"/>
      <c r="CB666" s="120"/>
      <c r="CC666" s="120"/>
      <c r="CD666" s="120"/>
      <c r="CE666" s="120"/>
    </row>
    <row r="667" ht="18.75" customHeight="1">
      <c r="C667" s="64"/>
      <c r="E667" s="64"/>
      <c r="F667" s="64"/>
      <c r="G667" s="64"/>
      <c r="AH667" s="152"/>
      <c r="AI667" s="152"/>
      <c r="AJ667" s="152"/>
      <c r="AK667" s="152"/>
      <c r="BS667" s="120"/>
      <c r="BT667" s="120"/>
      <c r="BU667" s="120"/>
      <c r="BV667" s="120"/>
      <c r="BW667" s="120"/>
      <c r="BX667" s="120"/>
      <c r="BY667" s="120"/>
      <c r="BZ667" s="120"/>
      <c r="CA667" s="120"/>
      <c r="CB667" s="120"/>
      <c r="CC667" s="120"/>
      <c r="CD667" s="120"/>
      <c r="CE667" s="120"/>
    </row>
    <row r="668" ht="18.75" customHeight="1">
      <c r="C668" s="64"/>
      <c r="E668" s="64"/>
      <c r="F668" s="64"/>
      <c r="G668" s="64"/>
      <c r="AH668" s="152"/>
      <c r="AI668" s="152"/>
      <c r="AJ668" s="152"/>
      <c r="AK668" s="152"/>
      <c r="BS668" s="120"/>
      <c r="BT668" s="120"/>
      <c r="BU668" s="120"/>
      <c r="BV668" s="120"/>
      <c r="BW668" s="120"/>
      <c r="BX668" s="120"/>
      <c r="BY668" s="120"/>
      <c r="BZ668" s="120"/>
      <c r="CA668" s="120"/>
      <c r="CB668" s="120"/>
      <c r="CC668" s="120"/>
      <c r="CD668" s="120"/>
      <c r="CE668" s="120"/>
    </row>
    <row r="669" ht="18.75" customHeight="1">
      <c r="C669" s="64"/>
      <c r="E669" s="64"/>
      <c r="F669" s="64"/>
      <c r="G669" s="64"/>
      <c r="AH669" s="152"/>
      <c r="AI669" s="152"/>
      <c r="AJ669" s="152"/>
      <c r="AK669" s="152"/>
      <c r="BS669" s="120"/>
      <c r="BT669" s="120"/>
      <c r="BU669" s="120"/>
      <c r="BV669" s="120"/>
      <c r="BW669" s="120"/>
      <c r="BX669" s="120"/>
      <c r="BY669" s="120"/>
      <c r="BZ669" s="120"/>
      <c r="CA669" s="120"/>
      <c r="CB669" s="120"/>
      <c r="CC669" s="120"/>
      <c r="CD669" s="120"/>
      <c r="CE669" s="120"/>
    </row>
    <row r="670" ht="18.75" customHeight="1">
      <c r="C670" s="64"/>
      <c r="E670" s="64"/>
      <c r="F670" s="64"/>
      <c r="G670" s="64"/>
      <c r="AH670" s="152"/>
      <c r="AI670" s="152"/>
      <c r="AJ670" s="152"/>
      <c r="AK670" s="152"/>
      <c r="BS670" s="120"/>
      <c r="BT670" s="120"/>
      <c r="BU670" s="120"/>
      <c r="BV670" s="120"/>
      <c r="BW670" s="120"/>
      <c r="BX670" s="120"/>
      <c r="BY670" s="120"/>
      <c r="BZ670" s="120"/>
      <c r="CA670" s="120"/>
      <c r="CB670" s="120"/>
      <c r="CC670" s="120"/>
      <c r="CD670" s="120"/>
      <c r="CE670" s="120"/>
    </row>
    <row r="671" ht="18.75" customHeight="1">
      <c r="C671" s="64"/>
      <c r="E671" s="64"/>
      <c r="F671" s="64"/>
      <c r="G671" s="64"/>
      <c r="AH671" s="152"/>
      <c r="AI671" s="152"/>
      <c r="AJ671" s="152"/>
      <c r="AK671" s="152"/>
      <c r="BS671" s="120"/>
      <c r="BT671" s="120"/>
      <c r="BU671" s="120"/>
      <c r="BV671" s="120"/>
      <c r="BW671" s="120"/>
      <c r="BX671" s="120"/>
      <c r="BY671" s="120"/>
      <c r="BZ671" s="120"/>
      <c r="CA671" s="120"/>
      <c r="CB671" s="120"/>
      <c r="CC671" s="120"/>
      <c r="CD671" s="120"/>
      <c r="CE671" s="120"/>
    </row>
    <row r="672" ht="18.75" customHeight="1">
      <c r="C672" s="64"/>
      <c r="E672" s="64"/>
      <c r="F672" s="64"/>
      <c r="G672" s="64"/>
      <c r="AH672" s="152"/>
      <c r="AI672" s="152"/>
      <c r="AJ672" s="152"/>
      <c r="AK672" s="152"/>
      <c r="BS672" s="120"/>
      <c r="BT672" s="120"/>
      <c r="BU672" s="120"/>
      <c r="BV672" s="120"/>
      <c r="BW672" s="120"/>
      <c r="BX672" s="120"/>
      <c r="BY672" s="120"/>
      <c r="BZ672" s="120"/>
      <c r="CA672" s="120"/>
      <c r="CB672" s="120"/>
      <c r="CC672" s="120"/>
      <c r="CD672" s="120"/>
      <c r="CE672" s="120"/>
    </row>
    <row r="673" ht="18.75" customHeight="1">
      <c r="C673" s="64"/>
      <c r="E673" s="64"/>
      <c r="F673" s="64"/>
      <c r="G673" s="64"/>
      <c r="AH673" s="152"/>
      <c r="AI673" s="152"/>
      <c r="AJ673" s="152"/>
      <c r="AK673" s="152"/>
      <c r="BS673" s="120"/>
      <c r="BT673" s="120"/>
      <c r="BU673" s="120"/>
      <c r="BV673" s="120"/>
      <c r="BW673" s="120"/>
      <c r="BX673" s="120"/>
      <c r="BY673" s="120"/>
      <c r="BZ673" s="120"/>
      <c r="CA673" s="120"/>
      <c r="CB673" s="120"/>
      <c r="CC673" s="120"/>
      <c r="CD673" s="120"/>
      <c r="CE673" s="120"/>
    </row>
    <row r="674" ht="18.75" customHeight="1">
      <c r="C674" s="64"/>
      <c r="E674" s="64"/>
      <c r="F674" s="64"/>
      <c r="G674" s="64"/>
      <c r="AH674" s="152"/>
      <c r="AI674" s="152"/>
      <c r="AJ674" s="152"/>
      <c r="AK674" s="152"/>
      <c r="BS674" s="120"/>
      <c r="BT674" s="120"/>
      <c r="BU674" s="120"/>
      <c r="BV674" s="120"/>
      <c r="BW674" s="120"/>
      <c r="BX674" s="120"/>
      <c r="BY674" s="120"/>
      <c r="BZ674" s="120"/>
      <c r="CA674" s="120"/>
      <c r="CB674" s="120"/>
      <c r="CC674" s="120"/>
      <c r="CD674" s="120"/>
      <c r="CE674" s="120"/>
    </row>
    <row r="675" ht="18.75" customHeight="1">
      <c r="C675" s="64"/>
      <c r="E675" s="64"/>
      <c r="F675" s="64"/>
      <c r="G675" s="64"/>
      <c r="AH675" s="152"/>
      <c r="AI675" s="152"/>
      <c r="AJ675" s="152"/>
      <c r="AK675" s="152"/>
      <c r="BS675" s="120"/>
      <c r="BT675" s="120"/>
      <c r="BU675" s="120"/>
      <c r="BV675" s="120"/>
      <c r="BW675" s="120"/>
      <c r="BX675" s="120"/>
      <c r="BY675" s="120"/>
      <c r="BZ675" s="120"/>
      <c r="CA675" s="120"/>
      <c r="CB675" s="120"/>
      <c r="CC675" s="120"/>
      <c r="CD675" s="120"/>
      <c r="CE675" s="120"/>
    </row>
    <row r="676" ht="18.75" customHeight="1">
      <c r="C676" s="64"/>
      <c r="E676" s="64"/>
      <c r="F676" s="64"/>
      <c r="G676" s="64"/>
      <c r="AH676" s="152"/>
      <c r="AI676" s="152"/>
      <c r="AJ676" s="152"/>
      <c r="AK676" s="152"/>
      <c r="BS676" s="120"/>
      <c r="BT676" s="120"/>
      <c r="BU676" s="120"/>
      <c r="BV676" s="120"/>
      <c r="BW676" s="120"/>
      <c r="BX676" s="120"/>
      <c r="BY676" s="120"/>
      <c r="BZ676" s="120"/>
      <c r="CA676" s="120"/>
      <c r="CB676" s="120"/>
      <c r="CC676" s="120"/>
      <c r="CD676" s="120"/>
      <c r="CE676" s="120"/>
    </row>
    <row r="677" ht="18.75" customHeight="1">
      <c r="C677" s="64"/>
      <c r="E677" s="64"/>
      <c r="F677" s="64"/>
      <c r="G677" s="64"/>
      <c r="AH677" s="152"/>
      <c r="AI677" s="152"/>
      <c r="AJ677" s="152"/>
      <c r="AK677" s="152"/>
      <c r="BS677" s="120"/>
      <c r="BT677" s="120"/>
      <c r="BU677" s="120"/>
      <c r="BV677" s="120"/>
      <c r="BW677" s="120"/>
      <c r="BX677" s="120"/>
      <c r="BY677" s="120"/>
      <c r="BZ677" s="120"/>
      <c r="CA677" s="120"/>
      <c r="CB677" s="120"/>
      <c r="CC677" s="120"/>
      <c r="CD677" s="120"/>
      <c r="CE677" s="120"/>
    </row>
    <row r="678" ht="18.75" customHeight="1">
      <c r="C678" s="64"/>
      <c r="E678" s="64"/>
      <c r="F678" s="64"/>
      <c r="G678" s="64"/>
      <c r="AH678" s="152"/>
      <c r="AI678" s="152"/>
      <c r="AJ678" s="152"/>
      <c r="AK678" s="152"/>
      <c r="BS678" s="120"/>
      <c r="BT678" s="120"/>
      <c r="BU678" s="120"/>
      <c r="BV678" s="120"/>
      <c r="BW678" s="120"/>
      <c r="BX678" s="120"/>
      <c r="BY678" s="120"/>
      <c r="BZ678" s="120"/>
      <c r="CA678" s="120"/>
      <c r="CB678" s="120"/>
      <c r="CC678" s="120"/>
      <c r="CD678" s="120"/>
      <c r="CE678" s="120"/>
    </row>
    <row r="679" ht="18.75" customHeight="1">
      <c r="C679" s="64"/>
      <c r="E679" s="64"/>
      <c r="F679" s="64"/>
      <c r="G679" s="64"/>
      <c r="AH679" s="152"/>
      <c r="AI679" s="152"/>
      <c r="AJ679" s="152"/>
      <c r="AK679" s="152"/>
      <c r="BS679" s="120"/>
      <c r="BT679" s="120"/>
      <c r="BU679" s="120"/>
      <c r="BV679" s="120"/>
      <c r="BW679" s="120"/>
      <c r="BX679" s="120"/>
      <c r="BY679" s="120"/>
      <c r="BZ679" s="120"/>
      <c r="CA679" s="120"/>
      <c r="CB679" s="120"/>
      <c r="CC679" s="120"/>
      <c r="CD679" s="120"/>
      <c r="CE679" s="120"/>
    </row>
    <row r="680" ht="18.75" customHeight="1">
      <c r="C680" s="64"/>
      <c r="E680" s="64"/>
      <c r="F680" s="64"/>
      <c r="G680" s="64"/>
      <c r="AH680" s="152"/>
      <c r="AI680" s="152"/>
      <c r="AJ680" s="152"/>
      <c r="AK680" s="152"/>
      <c r="BS680" s="120"/>
      <c r="BT680" s="120"/>
      <c r="BU680" s="120"/>
      <c r="BV680" s="120"/>
      <c r="BW680" s="120"/>
      <c r="BX680" s="120"/>
      <c r="BY680" s="120"/>
      <c r="BZ680" s="120"/>
      <c r="CA680" s="120"/>
      <c r="CB680" s="120"/>
      <c r="CC680" s="120"/>
      <c r="CD680" s="120"/>
      <c r="CE680" s="120"/>
    </row>
    <row r="681" ht="18.75" customHeight="1">
      <c r="C681" s="64"/>
      <c r="E681" s="64"/>
      <c r="F681" s="64"/>
      <c r="G681" s="64"/>
      <c r="AH681" s="152"/>
      <c r="AI681" s="152"/>
      <c r="AJ681" s="152"/>
      <c r="AK681" s="152"/>
      <c r="BS681" s="120"/>
      <c r="BT681" s="120"/>
      <c r="BU681" s="120"/>
      <c r="BV681" s="120"/>
      <c r="BW681" s="120"/>
      <c r="BX681" s="120"/>
      <c r="BY681" s="120"/>
      <c r="BZ681" s="120"/>
      <c r="CA681" s="120"/>
      <c r="CB681" s="120"/>
      <c r="CC681" s="120"/>
      <c r="CD681" s="120"/>
      <c r="CE681" s="120"/>
    </row>
    <row r="682" ht="18.75" customHeight="1">
      <c r="C682" s="64"/>
      <c r="E682" s="64"/>
      <c r="F682" s="64"/>
      <c r="G682" s="64"/>
      <c r="AH682" s="152"/>
      <c r="AI682" s="152"/>
      <c r="AJ682" s="152"/>
      <c r="AK682" s="152"/>
      <c r="BS682" s="120"/>
      <c r="BT682" s="120"/>
      <c r="BU682" s="120"/>
      <c r="BV682" s="120"/>
      <c r="BW682" s="120"/>
      <c r="BX682" s="120"/>
      <c r="BY682" s="120"/>
      <c r="BZ682" s="120"/>
      <c r="CA682" s="120"/>
      <c r="CB682" s="120"/>
      <c r="CC682" s="120"/>
      <c r="CD682" s="120"/>
      <c r="CE682" s="120"/>
    </row>
    <row r="683" ht="18.75" customHeight="1">
      <c r="C683" s="64"/>
      <c r="E683" s="64"/>
      <c r="F683" s="64"/>
      <c r="G683" s="64"/>
      <c r="AH683" s="152"/>
      <c r="AI683" s="152"/>
      <c r="AJ683" s="152"/>
      <c r="AK683" s="152"/>
      <c r="BS683" s="120"/>
      <c r="BT683" s="120"/>
      <c r="BU683" s="120"/>
      <c r="BV683" s="120"/>
      <c r="BW683" s="120"/>
      <c r="BX683" s="120"/>
      <c r="BY683" s="120"/>
      <c r="BZ683" s="120"/>
      <c r="CA683" s="120"/>
      <c r="CB683" s="120"/>
      <c r="CC683" s="120"/>
      <c r="CD683" s="120"/>
      <c r="CE683" s="120"/>
    </row>
    <row r="684" ht="18.75" customHeight="1">
      <c r="C684" s="64"/>
      <c r="E684" s="64"/>
      <c r="F684" s="64"/>
      <c r="G684" s="64"/>
      <c r="AH684" s="152"/>
      <c r="AI684" s="152"/>
      <c r="AJ684" s="152"/>
      <c r="AK684" s="152"/>
      <c r="BS684" s="120"/>
      <c r="BT684" s="120"/>
      <c r="BU684" s="120"/>
      <c r="BV684" s="120"/>
      <c r="BW684" s="120"/>
      <c r="BX684" s="120"/>
      <c r="BY684" s="120"/>
      <c r="BZ684" s="120"/>
      <c r="CA684" s="120"/>
      <c r="CB684" s="120"/>
      <c r="CC684" s="120"/>
      <c r="CD684" s="120"/>
      <c r="CE684" s="120"/>
    </row>
    <row r="685" ht="18.75" customHeight="1">
      <c r="C685" s="64"/>
      <c r="E685" s="64"/>
      <c r="F685" s="64"/>
      <c r="G685" s="64"/>
      <c r="AH685" s="152"/>
      <c r="AI685" s="152"/>
      <c r="AJ685" s="152"/>
      <c r="AK685" s="152"/>
      <c r="BS685" s="120"/>
      <c r="BT685" s="120"/>
      <c r="BU685" s="120"/>
      <c r="BV685" s="120"/>
      <c r="BW685" s="120"/>
      <c r="BX685" s="120"/>
      <c r="BY685" s="120"/>
      <c r="BZ685" s="120"/>
      <c r="CA685" s="120"/>
      <c r="CB685" s="120"/>
      <c r="CC685" s="120"/>
      <c r="CD685" s="120"/>
      <c r="CE685" s="120"/>
    </row>
    <row r="686" ht="18.75" customHeight="1">
      <c r="C686" s="64"/>
      <c r="E686" s="64"/>
      <c r="F686" s="64"/>
      <c r="G686" s="64"/>
      <c r="AH686" s="152"/>
      <c r="AI686" s="152"/>
      <c r="AJ686" s="152"/>
      <c r="AK686" s="152"/>
      <c r="BS686" s="120"/>
      <c r="BT686" s="120"/>
      <c r="BU686" s="120"/>
      <c r="BV686" s="120"/>
      <c r="BW686" s="120"/>
      <c r="BX686" s="120"/>
      <c r="BY686" s="120"/>
      <c r="BZ686" s="120"/>
      <c r="CA686" s="120"/>
      <c r="CB686" s="120"/>
      <c r="CC686" s="120"/>
      <c r="CD686" s="120"/>
      <c r="CE686" s="120"/>
    </row>
    <row r="687" ht="18.75" customHeight="1">
      <c r="C687" s="64"/>
      <c r="E687" s="64"/>
      <c r="F687" s="64"/>
      <c r="G687" s="64"/>
      <c r="AH687" s="152"/>
      <c r="AI687" s="152"/>
      <c r="AJ687" s="152"/>
      <c r="AK687" s="152"/>
      <c r="BS687" s="120"/>
      <c r="BT687" s="120"/>
      <c r="BU687" s="120"/>
      <c r="BV687" s="120"/>
      <c r="BW687" s="120"/>
      <c r="BX687" s="120"/>
      <c r="BY687" s="120"/>
      <c r="BZ687" s="120"/>
      <c r="CA687" s="120"/>
      <c r="CB687" s="120"/>
      <c r="CC687" s="120"/>
      <c r="CD687" s="120"/>
      <c r="CE687" s="120"/>
    </row>
    <row r="688" ht="18.75" customHeight="1">
      <c r="C688" s="64"/>
      <c r="E688" s="64"/>
      <c r="F688" s="64"/>
      <c r="G688" s="64"/>
      <c r="AH688" s="152"/>
      <c r="AI688" s="152"/>
      <c r="AJ688" s="152"/>
      <c r="AK688" s="152"/>
      <c r="BS688" s="120"/>
      <c r="BT688" s="120"/>
      <c r="BU688" s="120"/>
      <c r="BV688" s="120"/>
      <c r="BW688" s="120"/>
      <c r="BX688" s="120"/>
      <c r="BY688" s="120"/>
      <c r="BZ688" s="120"/>
      <c r="CA688" s="120"/>
      <c r="CB688" s="120"/>
      <c r="CC688" s="120"/>
      <c r="CD688" s="120"/>
      <c r="CE688" s="120"/>
    </row>
    <row r="689" ht="18.75" customHeight="1">
      <c r="C689" s="64"/>
      <c r="E689" s="64"/>
      <c r="F689" s="64"/>
      <c r="G689" s="64"/>
      <c r="AH689" s="152"/>
      <c r="AI689" s="152"/>
      <c r="AJ689" s="152"/>
      <c r="AK689" s="152"/>
      <c r="BS689" s="120"/>
      <c r="BT689" s="120"/>
      <c r="BU689" s="120"/>
      <c r="BV689" s="120"/>
      <c r="BW689" s="120"/>
      <c r="BX689" s="120"/>
      <c r="BY689" s="120"/>
      <c r="BZ689" s="120"/>
      <c r="CA689" s="120"/>
      <c r="CB689" s="120"/>
      <c r="CC689" s="120"/>
      <c r="CD689" s="120"/>
      <c r="CE689" s="120"/>
    </row>
    <row r="690" ht="18.75" customHeight="1">
      <c r="C690" s="64"/>
      <c r="E690" s="64"/>
      <c r="F690" s="64"/>
      <c r="G690" s="64"/>
      <c r="AH690" s="152"/>
      <c r="AI690" s="152"/>
      <c r="AJ690" s="152"/>
      <c r="AK690" s="152"/>
      <c r="BS690" s="120"/>
      <c r="BT690" s="120"/>
      <c r="BU690" s="120"/>
      <c r="BV690" s="120"/>
      <c r="BW690" s="120"/>
      <c r="BX690" s="120"/>
      <c r="BY690" s="120"/>
      <c r="BZ690" s="120"/>
      <c r="CA690" s="120"/>
      <c r="CB690" s="120"/>
      <c r="CC690" s="120"/>
      <c r="CD690" s="120"/>
      <c r="CE690" s="120"/>
    </row>
    <row r="691" ht="18.75" customHeight="1">
      <c r="C691" s="64"/>
      <c r="E691" s="64"/>
      <c r="F691" s="64"/>
      <c r="G691" s="64"/>
      <c r="AH691" s="152"/>
      <c r="AI691" s="152"/>
      <c r="AJ691" s="152"/>
      <c r="AK691" s="152"/>
      <c r="BS691" s="120"/>
      <c r="BT691" s="120"/>
      <c r="BU691" s="120"/>
      <c r="BV691" s="120"/>
      <c r="BW691" s="120"/>
      <c r="BX691" s="120"/>
      <c r="BY691" s="120"/>
      <c r="BZ691" s="120"/>
      <c r="CA691" s="120"/>
      <c r="CB691" s="120"/>
      <c r="CC691" s="120"/>
      <c r="CD691" s="120"/>
      <c r="CE691" s="120"/>
    </row>
    <row r="692" ht="18.75" customHeight="1">
      <c r="C692" s="64"/>
      <c r="E692" s="64"/>
      <c r="F692" s="64"/>
      <c r="G692" s="64"/>
      <c r="AH692" s="152"/>
      <c r="AI692" s="152"/>
      <c r="AJ692" s="152"/>
      <c r="AK692" s="152"/>
      <c r="BS692" s="120"/>
      <c r="BT692" s="120"/>
      <c r="BU692" s="120"/>
      <c r="BV692" s="120"/>
      <c r="BW692" s="120"/>
      <c r="BX692" s="120"/>
      <c r="BY692" s="120"/>
      <c r="BZ692" s="120"/>
      <c r="CA692" s="120"/>
      <c r="CB692" s="120"/>
      <c r="CC692" s="120"/>
      <c r="CD692" s="120"/>
      <c r="CE692" s="120"/>
    </row>
    <row r="693" ht="18.75" customHeight="1">
      <c r="C693" s="64"/>
      <c r="E693" s="64"/>
      <c r="F693" s="64"/>
      <c r="G693" s="64"/>
      <c r="AH693" s="152"/>
      <c r="AI693" s="152"/>
      <c r="AJ693" s="152"/>
      <c r="AK693" s="152"/>
      <c r="BS693" s="120"/>
      <c r="BT693" s="120"/>
      <c r="BU693" s="120"/>
      <c r="BV693" s="120"/>
      <c r="BW693" s="120"/>
      <c r="BX693" s="120"/>
      <c r="BY693" s="120"/>
      <c r="BZ693" s="120"/>
      <c r="CA693" s="120"/>
      <c r="CB693" s="120"/>
      <c r="CC693" s="120"/>
      <c r="CD693" s="120"/>
      <c r="CE693" s="120"/>
    </row>
    <row r="694" ht="18.75" customHeight="1">
      <c r="C694" s="64"/>
      <c r="E694" s="64"/>
      <c r="F694" s="64"/>
      <c r="G694" s="64"/>
      <c r="AH694" s="152"/>
      <c r="AI694" s="152"/>
      <c r="AJ694" s="152"/>
      <c r="AK694" s="152"/>
      <c r="BS694" s="120"/>
      <c r="BT694" s="120"/>
      <c r="BU694" s="120"/>
      <c r="BV694" s="120"/>
      <c r="BW694" s="120"/>
      <c r="BX694" s="120"/>
      <c r="BY694" s="120"/>
      <c r="BZ694" s="120"/>
      <c r="CA694" s="120"/>
      <c r="CB694" s="120"/>
      <c r="CC694" s="120"/>
      <c r="CD694" s="120"/>
      <c r="CE694" s="120"/>
    </row>
    <row r="695" ht="18.75" customHeight="1">
      <c r="C695" s="64"/>
      <c r="E695" s="64"/>
      <c r="F695" s="64"/>
      <c r="G695" s="64"/>
      <c r="AH695" s="152"/>
      <c r="AI695" s="152"/>
      <c r="AJ695" s="152"/>
      <c r="AK695" s="152"/>
      <c r="BS695" s="120"/>
      <c r="BT695" s="120"/>
      <c r="BU695" s="120"/>
      <c r="BV695" s="120"/>
      <c r="BW695" s="120"/>
      <c r="BX695" s="120"/>
      <c r="BY695" s="120"/>
      <c r="BZ695" s="120"/>
      <c r="CA695" s="120"/>
      <c r="CB695" s="120"/>
      <c r="CC695" s="120"/>
      <c r="CD695" s="120"/>
      <c r="CE695" s="120"/>
    </row>
    <row r="696" ht="18.75" customHeight="1">
      <c r="C696" s="64"/>
      <c r="E696" s="64"/>
      <c r="F696" s="64"/>
      <c r="G696" s="64"/>
      <c r="AH696" s="152"/>
      <c r="AI696" s="152"/>
      <c r="AJ696" s="152"/>
      <c r="AK696" s="152"/>
      <c r="BS696" s="120"/>
      <c r="BT696" s="120"/>
      <c r="BU696" s="120"/>
      <c r="BV696" s="120"/>
      <c r="BW696" s="120"/>
      <c r="BX696" s="120"/>
      <c r="BY696" s="120"/>
      <c r="BZ696" s="120"/>
      <c r="CA696" s="120"/>
      <c r="CB696" s="120"/>
      <c r="CC696" s="120"/>
      <c r="CD696" s="120"/>
      <c r="CE696" s="120"/>
    </row>
    <row r="697" ht="18.75" customHeight="1">
      <c r="C697" s="64"/>
      <c r="E697" s="64"/>
      <c r="F697" s="64"/>
      <c r="G697" s="64"/>
      <c r="AH697" s="152"/>
      <c r="AI697" s="152"/>
      <c r="AJ697" s="152"/>
      <c r="AK697" s="152"/>
      <c r="BS697" s="120"/>
      <c r="BT697" s="120"/>
      <c r="BU697" s="120"/>
      <c r="BV697" s="120"/>
      <c r="BW697" s="120"/>
      <c r="BX697" s="120"/>
      <c r="BY697" s="120"/>
      <c r="BZ697" s="120"/>
      <c r="CA697" s="120"/>
      <c r="CB697" s="120"/>
      <c r="CC697" s="120"/>
      <c r="CD697" s="120"/>
      <c r="CE697" s="120"/>
    </row>
    <row r="698" ht="18.75" customHeight="1">
      <c r="C698" s="64"/>
      <c r="E698" s="64"/>
      <c r="F698" s="64"/>
      <c r="G698" s="64"/>
      <c r="AH698" s="152"/>
      <c r="AI698" s="152"/>
      <c r="AJ698" s="152"/>
      <c r="AK698" s="152"/>
      <c r="BS698" s="120"/>
      <c r="BT698" s="120"/>
      <c r="BU698" s="120"/>
      <c r="BV698" s="120"/>
      <c r="BW698" s="120"/>
      <c r="BX698" s="120"/>
      <c r="BY698" s="120"/>
      <c r="BZ698" s="120"/>
      <c r="CA698" s="120"/>
      <c r="CB698" s="120"/>
      <c r="CC698" s="120"/>
      <c r="CD698" s="120"/>
      <c r="CE698" s="120"/>
    </row>
    <row r="699" ht="18.75" customHeight="1">
      <c r="C699" s="64"/>
      <c r="E699" s="64"/>
      <c r="F699" s="64"/>
      <c r="G699" s="64"/>
      <c r="AH699" s="152"/>
      <c r="AI699" s="152"/>
      <c r="AJ699" s="152"/>
      <c r="AK699" s="152"/>
      <c r="BS699" s="120"/>
      <c r="BT699" s="120"/>
      <c r="BU699" s="120"/>
      <c r="BV699" s="120"/>
      <c r="BW699" s="120"/>
      <c r="BX699" s="120"/>
      <c r="BY699" s="120"/>
      <c r="BZ699" s="120"/>
      <c r="CA699" s="120"/>
      <c r="CB699" s="120"/>
      <c r="CC699" s="120"/>
      <c r="CD699" s="120"/>
      <c r="CE699" s="120"/>
    </row>
    <row r="700" ht="18.75" customHeight="1">
      <c r="C700" s="64"/>
      <c r="E700" s="64"/>
      <c r="F700" s="64"/>
      <c r="G700" s="64"/>
      <c r="AH700" s="152"/>
      <c r="AI700" s="152"/>
      <c r="AJ700" s="152"/>
      <c r="AK700" s="152"/>
      <c r="BS700" s="120"/>
      <c r="BT700" s="120"/>
      <c r="BU700" s="120"/>
      <c r="BV700" s="120"/>
      <c r="BW700" s="120"/>
      <c r="BX700" s="120"/>
      <c r="BY700" s="120"/>
      <c r="BZ700" s="120"/>
      <c r="CA700" s="120"/>
      <c r="CB700" s="120"/>
      <c r="CC700" s="120"/>
      <c r="CD700" s="120"/>
      <c r="CE700" s="120"/>
    </row>
    <row r="701" ht="18.75" customHeight="1">
      <c r="C701" s="64"/>
      <c r="E701" s="64"/>
      <c r="F701" s="64"/>
      <c r="G701" s="64"/>
      <c r="AH701" s="152"/>
      <c r="AI701" s="152"/>
      <c r="AJ701" s="152"/>
      <c r="AK701" s="152"/>
      <c r="BS701" s="120"/>
      <c r="BT701" s="120"/>
      <c r="BU701" s="120"/>
      <c r="BV701" s="120"/>
      <c r="BW701" s="120"/>
      <c r="BX701" s="120"/>
      <c r="BY701" s="120"/>
      <c r="BZ701" s="120"/>
      <c r="CA701" s="120"/>
      <c r="CB701" s="120"/>
      <c r="CC701" s="120"/>
      <c r="CD701" s="120"/>
      <c r="CE701" s="120"/>
    </row>
    <row r="702" ht="18.75" customHeight="1">
      <c r="C702" s="64"/>
      <c r="E702" s="64"/>
      <c r="F702" s="64"/>
      <c r="G702" s="64"/>
      <c r="AH702" s="152"/>
      <c r="AI702" s="152"/>
      <c r="AJ702" s="152"/>
      <c r="AK702" s="152"/>
      <c r="BS702" s="120"/>
      <c r="BT702" s="120"/>
      <c r="BU702" s="120"/>
      <c r="BV702" s="120"/>
      <c r="BW702" s="120"/>
      <c r="BX702" s="120"/>
      <c r="BY702" s="120"/>
      <c r="BZ702" s="120"/>
      <c r="CA702" s="120"/>
      <c r="CB702" s="120"/>
      <c r="CC702" s="120"/>
      <c r="CD702" s="120"/>
      <c r="CE702" s="120"/>
    </row>
    <row r="703" ht="18.75" customHeight="1">
      <c r="C703" s="64"/>
      <c r="E703" s="64"/>
      <c r="F703" s="64"/>
      <c r="G703" s="64"/>
      <c r="AH703" s="152"/>
      <c r="AI703" s="152"/>
      <c r="AJ703" s="152"/>
      <c r="AK703" s="152"/>
      <c r="BS703" s="120"/>
      <c r="BT703" s="120"/>
      <c r="BU703" s="120"/>
      <c r="BV703" s="120"/>
      <c r="BW703" s="120"/>
      <c r="BX703" s="120"/>
      <c r="BY703" s="120"/>
      <c r="BZ703" s="120"/>
      <c r="CA703" s="120"/>
      <c r="CB703" s="120"/>
      <c r="CC703" s="120"/>
      <c r="CD703" s="120"/>
      <c r="CE703" s="120"/>
    </row>
    <row r="704" ht="18.75" customHeight="1">
      <c r="C704" s="64"/>
      <c r="E704" s="64"/>
      <c r="F704" s="64"/>
      <c r="G704" s="64"/>
      <c r="AH704" s="152"/>
      <c r="AI704" s="152"/>
      <c r="AJ704" s="152"/>
      <c r="AK704" s="152"/>
      <c r="BS704" s="120"/>
      <c r="BT704" s="120"/>
      <c r="BU704" s="120"/>
      <c r="BV704" s="120"/>
      <c r="BW704" s="120"/>
      <c r="BX704" s="120"/>
      <c r="BY704" s="120"/>
      <c r="BZ704" s="120"/>
      <c r="CA704" s="120"/>
      <c r="CB704" s="120"/>
      <c r="CC704" s="120"/>
      <c r="CD704" s="120"/>
      <c r="CE704" s="120"/>
    </row>
    <row r="705" ht="18.75" customHeight="1">
      <c r="C705" s="64"/>
      <c r="E705" s="64"/>
      <c r="F705" s="64"/>
      <c r="G705" s="64"/>
      <c r="AH705" s="152"/>
      <c r="AI705" s="152"/>
      <c r="AJ705" s="152"/>
      <c r="AK705" s="152"/>
      <c r="BS705" s="120"/>
      <c r="BT705" s="120"/>
      <c r="BU705" s="120"/>
      <c r="BV705" s="120"/>
      <c r="BW705" s="120"/>
      <c r="BX705" s="120"/>
      <c r="BY705" s="120"/>
      <c r="BZ705" s="120"/>
      <c r="CA705" s="120"/>
      <c r="CB705" s="120"/>
      <c r="CC705" s="120"/>
      <c r="CD705" s="120"/>
      <c r="CE705" s="120"/>
    </row>
    <row r="706" ht="18.75" customHeight="1">
      <c r="C706" s="64"/>
      <c r="E706" s="64"/>
      <c r="F706" s="64"/>
      <c r="G706" s="64"/>
      <c r="AH706" s="152"/>
      <c r="AI706" s="152"/>
      <c r="AJ706" s="152"/>
      <c r="AK706" s="152"/>
      <c r="BS706" s="120"/>
      <c r="BT706" s="120"/>
      <c r="BU706" s="120"/>
      <c r="BV706" s="120"/>
      <c r="BW706" s="120"/>
      <c r="BX706" s="120"/>
      <c r="BY706" s="120"/>
      <c r="BZ706" s="120"/>
      <c r="CA706" s="120"/>
      <c r="CB706" s="120"/>
      <c r="CC706" s="120"/>
      <c r="CD706" s="120"/>
      <c r="CE706" s="120"/>
    </row>
    <row r="707" ht="18.75" customHeight="1">
      <c r="C707" s="64"/>
      <c r="E707" s="64"/>
      <c r="F707" s="64"/>
      <c r="G707" s="64"/>
      <c r="AH707" s="152"/>
      <c r="AI707" s="152"/>
      <c r="AJ707" s="152"/>
      <c r="AK707" s="152"/>
      <c r="BS707" s="120"/>
      <c r="BT707" s="120"/>
      <c r="BU707" s="120"/>
      <c r="BV707" s="120"/>
      <c r="BW707" s="120"/>
      <c r="BX707" s="120"/>
      <c r="BY707" s="120"/>
      <c r="BZ707" s="120"/>
      <c r="CA707" s="120"/>
      <c r="CB707" s="120"/>
      <c r="CC707" s="120"/>
      <c r="CD707" s="120"/>
      <c r="CE707" s="120"/>
    </row>
    <row r="708" ht="18.75" customHeight="1">
      <c r="C708" s="64"/>
      <c r="E708" s="64"/>
      <c r="F708" s="64"/>
      <c r="G708" s="64"/>
      <c r="AH708" s="152"/>
      <c r="AI708" s="152"/>
      <c r="AJ708" s="152"/>
      <c r="AK708" s="152"/>
      <c r="BS708" s="120"/>
      <c r="BT708" s="120"/>
      <c r="BU708" s="120"/>
      <c r="BV708" s="120"/>
      <c r="BW708" s="120"/>
      <c r="BX708" s="120"/>
      <c r="BY708" s="120"/>
      <c r="BZ708" s="120"/>
      <c r="CA708" s="120"/>
      <c r="CB708" s="120"/>
      <c r="CC708" s="120"/>
      <c r="CD708" s="120"/>
      <c r="CE708" s="120"/>
    </row>
    <row r="709" ht="18.75" customHeight="1">
      <c r="C709" s="64"/>
      <c r="E709" s="64"/>
      <c r="F709" s="64"/>
      <c r="G709" s="64"/>
      <c r="AH709" s="152"/>
      <c r="AI709" s="152"/>
      <c r="AJ709" s="152"/>
      <c r="AK709" s="152"/>
      <c r="BS709" s="120"/>
      <c r="BT709" s="120"/>
      <c r="BU709" s="120"/>
      <c r="BV709" s="120"/>
      <c r="BW709" s="120"/>
      <c r="BX709" s="120"/>
      <c r="BY709" s="120"/>
      <c r="BZ709" s="120"/>
      <c r="CA709" s="120"/>
      <c r="CB709" s="120"/>
      <c r="CC709" s="120"/>
      <c r="CD709" s="120"/>
      <c r="CE709" s="120"/>
    </row>
    <row r="710" ht="18.75" customHeight="1">
      <c r="C710" s="64"/>
      <c r="E710" s="64"/>
      <c r="F710" s="64"/>
      <c r="G710" s="64"/>
      <c r="AH710" s="152"/>
      <c r="AI710" s="152"/>
      <c r="AJ710" s="152"/>
      <c r="AK710" s="152"/>
      <c r="BS710" s="120"/>
      <c r="BT710" s="120"/>
      <c r="BU710" s="120"/>
      <c r="BV710" s="120"/>
      <c r="BW710" s="120"/>
      <c r="BX710" s="120"/>
      <c r="BY710" s="120"/>
      <c r="BZ710" s="120"/>
      <c r="CA710" s="120"/>
      <c r="CB710" s="120"/>
      <c r="CC710" s="120"/>
      <c r="CD710" s="120"/>
      <c r="CE710" s="120"/>
    </row>
    <row r="711" ht="18.75" customHeight="1">
      <c r="C711" s="64"/>
      <c r="E711" s="64"/>
      <c r="F711" s="64"/>
      <c r="G711" s="64"/>
      <c r="AH711" s="152"/>
      <c r="AI711" s="152"/>
      <c r="AJ711" s="152"/>
      <c r="AK711" s="152"/>
      <c r="BS711" s="120"/>
      <c r="BT711" s="120"/>
      <c r="BU711" s="120"/>
      <c r="BV711" s="120"/>
      <c r="BW711" s="120"/>
      <c r="BX711" s="120"/>
      <c r="BY711" s="120"/>
      <c r="BZ711" s="120"/>
      <c r="CA711" s="120"/>
      <c r="CB711" s="120"/>
      <c r="CC711" s="120"/>
      <c r="CD711" s="120"/>
      <c r="CE711" s="120"/>
    </row>
    <row r="712" ht="18.75" customHeight="1">
      <c r="C712" s="64"/>
      <c r="E712" s="64"/>
      <c r="F712" s="64"/>
      <c r="G712" s="64"/>
      <c r="AH712" s="152"/>
      <c r="AI712" s="152"/>
      <c r="AJ712" s="152"/>
      <c r="AK712" s="152"/>
      <c r="BS712" s="120"/>
      <c r="BT712" s="120"/>
      <c r="BU712" s="120"/>
      <c r="BV712" s="120"/>
      <c r="BW712" s="120"/>
      <c r="BX712" s="120"/>
      <c r="BY712" s="120"/>
      <c r="BZ712" s="120"/>
      <c r="CA712" s="120"/>
      <c r="CB712" s="120"/>
      <c r="CC712" s="120"/>
      <c r="CD712" s="120"/>
      <c r="CE712" s="120"/>
    </row>
    <row r="713" ht="18.75" customHeight="1">
      <c r="C713" s="64"/>
      <c r="E713" s="64"/>
      <c r="F713" s="64"/>
      <c r="G713" s="64"/>
      <c r="AH713" s="152"/>
      <c r="AI713" s="152"/>
      <c r="AJ713" s="152"/>
      <c r="AK713" s="152"/>
      <c r="BS713" s="120"/>
      <c r="BT713" s="120"/>
      <c r="BU713" s="120"/>
      <c r="BV713" s="120"/>
      <c r="BW713" s="120"/>
      <c r="BX713" s="120"/>
      <c r="BY713" s="120"/>
      <c r="BZ713" s="120"/>
      <c r="CA713" s="120"/>
      <c r="CB713" s="120"/>
      <c r="CC713" s="120"/>
      <c r="CD713" s="120"/>
      <c r="CE713" s="120"/>
    </row>
    <row r="714" ht="18.75" customHeight="1">
      <c r="C714" s="64"/>
      <c r="E714" s="64"/>
      <c r="F714" s="64"/>
      <c r="G714" s="64"/>
      <c r="AH714" s="152"/>
      <c r="AI714" s="152"/>
      <c r="AJ714" s="152"/>
      <c r="AK714" s="152"/>
      <c r="BS714" s="120"/>
      <c r="BT714" s="120"/>
      <c r="BU714" s="120"/>
      <c r="BV714" s="120"/>
      <c r="BW714" s="120"/>
      <c r="BX714" s="120"/>
      <c r="BY714" s="120"/>
      <c r="BZ714" s="120"/>
      <c r="CA714" s="120"/>
      <c r="CB714" s="120"/>
      <c r="CC714" s="120"/>
      <c r="CD714" s="120"/>
      <c r="CE714" s="120"/>
    </row>
    <row r="715" ht="18.75" customHeight="1">
      <c r="C715" s="64"/>
      <c r="E715" s="64"/>
      <c r="F715" s="64"/>
      <c r="G715" s="64"/>
      <c r="AH715" s="152"/>
      <c r="AI715" s="152"/>
      <c r="AJ715" s="152"/>
      <c r="AK715" s="152"/>
      <c r="BS715" s="120"/>
      <c r="BT715" s="120"/>
      <c r="BU715" s="120"/>
      <c r="BV715" s="120"/>
      <c r="BW715" s="120"/>
      <c r="BX715" s="120"/>
      <c r="BY715" s="120"/>
      <c r="BZ715" s="120"/>
      <c r="CA715" s="120"/>
      <c r="CB715" s="120"/>
      <c r="CC715" s="120"/>
      <c r="CD715" s="120"/>
      <c r="CE715" s="120"/>
    </row>
    <row r="716" ht="18.75" customHeight="1">
      <c r="C716" s="64"/>
      <c r="E716" s="64"/>
      <c r="F716" s="64"/>
      <c r="G716" s="64"/>
      <c r="AH716" s="152"/>
      <c r="AI716" s="152"/>
      <c r="AJ716" s="152"/>
      <c r="AK716" s="152"/>
      <c r="BS716" s="120"/>
      <c r="BT716" s="120"/>
      <c r="BU716" s="120"/>
      <c r="BV716" s="120"/>
      <c r="BW716" s="120"/>
      <c r="BX716" s="120"/>
      <c r="BY716" s="120"/>
      <c r="BZ716" s="120"/>
      <c r="CA716" s="120"/>
      <c r="CB716" s="120"/>
      <c r="CC716" s="120"/>
      <c r="CD716" s="120"/>
      <c r="CE716" s="120"/>
    </row>
    <row r="717" ht="18.75" customHeight="1">
      <c r="C717" s="64"/>
      <c r="E717" s="64"/>
      <c r="F717" s="64"/>
      <c r="G717" s="64"/>
      <c r="AH717" s="152"/>
      <c r="AI717" s="152"/>
      <c r="AJ717" s="152"/>
      <c r="AK717" s="152"/>
      <c r="BS717" s="120"/>
      <c r="BT717" s="120"/>
      <c r="BU717" s="120"/>
      <c r="BV717" s="120"/>
      <c r="BW717" s="120"/>
      <c r="BX717" s="120"/>
      <c r="BY717" s="120"/>
      <c r="BZ717" s="120"/>
      <c r="CA717" s="120"/>
      <c r="CB717" s="120"/>
      <c r="CC717" s="120"/>
      <c r="CD717" s="120"/>
      <c r="CE717" s="120"/>
    </row>
    <row r="718" ht="18.75" customHeight="1">
      <c r="C718" s="64"/>
      <c r="E718" s="64"/>
      <c r="F718" s="64"/>
      <c r="G718" s="64"/>
      <c r="AH718" s="152"/>
      <c r="AI718" s="152"/>
      <c r="AJ718" s="152"/>
      <c r="AK718" s="152"/>
      <c r="BS718" s="120"/>
      <c r="BT718" s="120"/>
      <c r="BU718" s="120"/>
      <c r="BV718" s="120"/>
      <c r="BW718" s="120"/>
      <c r="BX718" s="120"/>
      <c r="BY718" s="120"/>
      <c r="BZ718" s="120"/>
      <c r="CA718" s="120"/>
      <c r="CB718" s="120"/>
      <c r="CC718" s="120"/>
      <c r="CD718" s="120"/>
      <c r="CE718" s="120"/>
    </row>
    <row r="719" ht="18.75" customHeight="1">
      <c r="C719" s="64"/>
      <c r="E719" s="64"/>
      <c r="F719" s="64"/>
      <c r="G719" s="64"/>
      <c r="AH719" s="152"/>
      <c r="AI719" s="152"/>
      <c r="AJ719" s="152"/>
      <c r="AK719" s="152"/>
      <c r="BS719" s="120"/>
      <c r="BT719" s="120"/>
      <c r="BU719" s="120"/>
      <c r="BV719" s="120"/>
      <c r="BW719" s="120"/>
      <c r="BX719" s="120"/>
      <c r="BY719" s="120"/>
      <c r="BZ719" s="120"/>
      <c r="CA719" s="120"/>
      <c r="CB719" s="120"/>
      <c r="CC719" s="120"/>
      <c r="CD719" s="120"/>
      <c r="CE719" s="120"/>
    </row>
    <row r="720" ht="18.75" customHeight="1">
      <c r="C720" s="64"/>
      <c r="E720" s="64"/>
      <c r="F720" s="64"/>
      <c r="G720" s="64"/>
      <c r="AH720" s="152"/>
      <c r="AI720" s="152"/>
      <c r="AJ720" s="152"/>
      <c r="AK720" s="152"/>
      <c r="BS720" s="120"/>
      <c r="BT720" s="120"/>
      <c r="BU720" s="120"/>
      <c r="BV720" s="120"/>
      <c r="BW720" s="120"/>
      <c r="BX720" s="120"/>
      <c r="BY720" s="120"/>
      <c r="BZ720" s="120"/>
      <c r="CA720" s="120"/>
      <c r="CB720" s="120"/>
      <c r="CC720" s="120"/>
      <c r="CD720" s="120"/>
      <c r="CE720" s="120"/>
    </row>
    <row r="721" ht="18.75" customHeight="1">
      <c r="C721" s="64"/>
      <c r="E721" s="64"/>
      <c r="F721" s="64"/>
      <c r="G721" s="64"/>
      <c r="AH721" s="152"/>
      <c r="AI721" s="152"/>
      <c r="AJ721" s="152"/>
      <c r="AK721" s="152"/>
      <c r="BS721" s="120"/>
      <c r="BT721" s="120"/>
      <c r="BU721" s="120"/>
      <c r="BV721" s="120"/>
      <c r="BW721" s="120"/>
      <c r="BX721" s="120"/>
      <c r="BY721" s="120"/>
      <c r="BZ721" s="120"/>
      <c r="CA721" s="120"/>
      <c r="CB721" s="120"/>
      <c r="CC721" s="120"/>
      <c r="CD721" s="120"/>
      <c r="CE721" s="120"/>
    </row>
    <row r="722" ht="18.75" customHeight="1">
      <c r="C722" s="64"/>
      <c r="E722" s="64"/>
      <c r="F722" s="64"/>
      <c r="G722" s="64"/>
      <c r="AH722" s="152"/>
      <c r="AI722" s="152"/>
      <c r="AJ722" s="152"/>
      <c r="AK722" s="152"/>
      <c r="BS722" s="120"/>
      <c r="BT722" s="120"/>
      <c r="BU722" s="120"/>
      <c r="BV722" s="120"/>
      <c r="BW722" s="120"/>
      <c r="BX722" s="120"/>
      <c r="BY722" s="120"/>
      <c r="BZ722" s="120"/>
      <c r="CA722" s="120"/>
      <c r="CB722" s="120"/>
      <c r="CC722" s="120"/>
      <c r="CD722" s="120"/>
      <c r="CE722" s="120"/>
    </row>
    <row r="723" ht="18.75" customHeight="1">
      <c r="C723" s="64"/>
      <c r="E723" s="64"/>
      <c r="F723" s="64"/>
      <c r="G723" s="64"/>
      <c r="AH723" s="152"/>
      <c r="AI723" s="152"/>
      <c r="AJ723" s="152"/>
      <c r="AK723" s="152"/>
      <c r="BS723" s="120"/>
      <c r="BT723" s="120"/>
      <c r="BU723" s="120"/>
      <c r="BV723" s="120"/>
      <c r="BW723" s="120"/>
      <c r="BX723" s="120"/>
      <c r="BY723" s="120"/>
      <c r="BZ723" s="120"/>
      <c r="CA723" s="120"/>
      <c r="CB723" s="120"/>
      <c r="CC723" s="120"/>
      <c r="CD723" s="120"/>
      <c r="CE723" s="120"/>
    </row>
    <row r="724" ht="18.75" customHeight="1">
      <c r="C724" s="64"/>
      <c r="E724" s="64"/>
      <c r="F724" s="64"/>
      <c r="G724" s="64"/>
      <c r="AH724" s="152"/>
      <c r="AI724" s="152"/>
      <c r="AJ724" s="152"/>
      <c r="AK724" s="152"/>
      <c r="BS724" s="120"/>
      <c r="BT724" s="120"/>
      <c r="BU724" s="120"/>
      <c r="BV724" s="120"/>
      <c r="BW724" s="120"/>
      <c r="BX724" s="120"/>
      <c r="BY724" s="120"/>
      <c r="BZ724" s="120"/>
      <c r="CA724" s="120"/>
      <c r="CB724" s="120"/>
      <c r="CC724" s="120"/>
      <c r="CD724" s="120"/>
      <c r="CE724" s="120"/>
    </row>
    <row r="725" ht="18.75" customHeight="1">
      <c r="C725" s="64"/>
      <c r="E725" s="64"/>
      <c r="F725" s="64"/>
      <c r="G725" s="64"/>
      <c r="AH725" s="152"/>
      <c r="AI725" s="152"/>
      <c r="AJ725" s="152"/>
      <c r="AK725" s="152"/>
      <c r="BS725" s="120"/>
      <c r="BT725" s="120"/>
      <c r="BU725" s="120"/>
      <c r="BV725" s="120"/>
      <c r="BW725" s="120"/>
      <c r="BX725" s="120"/>
      <c r="BY725" s="120"/>
      <c r="BZ725" s="120"/>
      <c r="CA725" s="120"/>
      <c r="CB725" s="120"/>
      <c r="CC725" s="120"/>
      <c r="CD725" s="120"/>
      <c r="CE725" s="120"/>
    </row>
    <row r="726" ht="18.75" customHeight="1">
      <c r="C726" s="64"/>
      <c r="E726" s="64"/>
      <c r="F726" s="64"/>
      <c r="G726" s="64"/>
      <c r="AH726" s="152"/>
      <c r="AI726" s="152"/>
      <c r="AJ726" s="152"/>
      <c r="AK726" s="152"/>
      <c r="BS726" s="120"/>
      <c r="BT726" s="120"/>
      <c r="BU726" s="120"/>
      <c r="BV726" s="120"/>
      <c r="BW726" s="120"/>
      <c r="BX726" s="120"/>
      <c r="BY726" s="120"/>
      <c r="BZ726" s="120"/>
      <c r="CA726" s="120"/>
      <c r="CB726" s="120"/>
      <c r="CC726" s="120"/>
      <c r="CD726" s="120"/>
      <c r="CE726" s="120"/>
    </row>
    <row r="727" ht="18.75" customHeight="1">
      <c r="C727" s="64"/>
      <c r="E727" s="64"/>
      <c r="F727" s="64"/>
      <c r="G727" s="64"/>
      <c r="AH727" s="152"/>
      <c r="AI727" s="152"/>
      <c r="AJ727" s="152"/>
      <c r="AK727" s="152"/>
      <c r="BS727" s="120"/>
      <c r="BT727" s="120"/>
      <c r="BU727" s="120"/>
      <c r="BV727" s="120"/>
      <c r="BW727" s="120"/>
      <c r="BX727" s="120"/>
      <c r="BY727" s="120"/>
      <c r="BZ727" s="120"/>
      <c r="CA727" s="120"/>
      <c r="CB727" s="120"/>
      <c r="CC727" s="120"/>
      <c r="CD727" s="120"/>
      <c r="CE727" s="120"/>
    </row>
    <row r="728" ht="18.75" customHeight="1">
      <c r="C728" s="64"/>
      <c r="E728" s="64"/>
      <c r="F728" s="64"/>
      <c r="G728" s="64"/>
      <c r="AH728" s="152"/>
      <c r="AI728" s="152"/>
      <c r="AJ728" s="152"/>
      <c r="AK728" s="152"/>
      <c r="BS728" s="120"/>
      <c r="BT728" s="120"/>
      <c r="BU728" s="120"/>
      <c r="BV728" s="120"/>
      <c r="BW728" s="120"/>
      <c r="BX728" s="120"/>
      <c r="BY728" s="120"/>
      <c r="BZ728" s="120"/>
      <c r="CA728" s="120"/>
      <c r="CB728" s="120"/>
      <c r="CC728" s="120"/>
      <c r="CD728" s="120"/>
      <c r="CE728" s="120"/>
    </row>
    <row r="729" ht="18.75" customHeight="1">
      <c r="C729" s="64"/>
      <c r="E729" s="64"/>
      <c r="F729" s="64"/>
      <c r="G729" s="64"/>
      <c r="AH729" s="152"/>
      <c r="AI729" s="152"/>
      <c r="AJ729" s="152"/>
      <c r="AK729" s="152"/>
      <c r="BS729" s="120"/>
      <c r="BT729" s="120"/>
      <c r="BU729" s="120"/>
      <c r="BV729" s="120"/>
      <c r="BW729" s="120"/>
      <c r="BX729" s="120"/>
      <c r="BY729" s="120"/>
      <c r="BZ729" s="120"/>
      <c r="CA729" s="120"/>
      <c r="CB729" s="120"/>
      <c r="CC729" s="120"/>
      <c r="CD729" s="120"/>
      <c r="CE729" s="120"/>
    </row>
    <row r="730" ht="18.75" customHeight="1">
      <c r="C730" s="64"/>
      <c r="E730" s="64"/>
      <c r="F730" s="64"/>
      <c r="G730" s="64"/>
      <c r="AH730" s="152"/>
      <c r="AI730" s="152"/>
      <c r="AJ730" s="152"/>
      <c r="AK730" s="152"/>
      <c r="BS730" s="120"/>
      <c r="BT730" s="120"/>
      <c r="BU730" s="120"/>
      <c r="BV730" s="120"/>
      <c r="BW730" s="120"/>
      <c r="BX730" s="120"/>
      <c r="BY730" s="120"/>
      <c r="BZ730" s="120"/>
      <c r="CA730" s="120"/>
      <c r="CB730" s="120"/>
      <c r="CC730" s="120"/>
      <c r="CD730" s="120"/>
      <c r="CE730" s="120"/>
    </row>
    <row r="731" ht="18.75" customHeight="1">
      <c r="C731" s="64"/>
      <c r="E731" s="64"/>
      <c r="F731" s="64"/>
      <c r="G731" s="64"/>
      <c r="AH731" s="152"/>
      <c r="AI731" s="152"/>
      <c r="AJ731" s="152"/>
      <c r="AK731" s="152"/>
      <c r="BS731" s="120"/>
      <c r="BT731" s="120"/>
      <c r="BU731" s="120"/>
      <c r="BV731" s="120"/>
      <c r="BW731" s="120"/>
      <c r="BX731" s="120"/>
      <c r="BY731" s="120"/>
      <c r="BZ731" s="120"/>
      <c r="CA731" s="120"/>
      <c r="CB731" s="120"/>
      <c r="CC731" s="120"/>
      <c r="CD731" s="120"/>
      <c r="CE731" s="120"/>
    </row>
    <row r="732" ht="18.75" customHeight="1">
      <c r="C732" s="64"/>
      <c r="E732" s="64"/>
      <c r="F732" s="64"/>
      <c r="G732" s="64"/>
      <c r="AH732" s="152"/>
      <c r="AI732" s="152"/>
      <c r="AJ732" s="152"/>
      <c r="AK732" s="152"/>
      <c r="BS732" s="120"/>
      <c r="BT732" s="120"/>
      <c r="BU732" s="120"/>
      <c r="BV732" s="120"/>
      <c r="BW732" s="120"/>
      <c r="BX732" s="120"/>
      <c r="BY732" s="120"/>
      <c r="BZ732" s="120"/>
      <c r="CA732" s="120"/>
      <c r="CB732" s="120"/>
      <c r="CC732" s="120"/>
      <c r="CD732" s="120"/>
      <c r="CE732" s="120"/>
    </row>
    <row r="733" ht="18.75" customHeight="1">
      <c r="C733" s="64"/>
      <c r="E733" s="64"/>
      <c r="F733" s="64"/>
      <c r="G733" s="64"/>
      <c r="AH733" s="152"/>
      <c r="AI733" s="152"/>
      <c r="AJ733" s="152"/>
      <c r="AK733" s="152"/>
      <c r="BS733" s="120"/>
      <c r="BT733" s="120"/>
      <c r="BU733" s="120"/>
      <c r="BV733" s="120"/>
      <c r="BW733" s="120"/>
      <c r="BX733" s="120"/>
      <c r="BY733" s="120"/>
      <c r="BZ733" s="120"/>
      <c r="CA733" s="120"/>
      <c r="CB733" s="120"/>
      <c r="CC733" s="120"/>
      <c r="CD733" s="120"/>
      <c r="CE733" s="120"/>
    </row>
    <row r="734" ht="18.75" customHeight="1">
      <c r="C734" s="64"/>
      <c r="E734" s="64"/>
      <c r="F734" s="64"/>
      <c r="G734" s="64"/>
      <c r="AH734" s="152"/>
      <c r="AI734" s="152"/>
      <c r="AJ734" s="152"/>
      <c r="AK734" s="152"/>
      <c r="BS734" s="120"/>
      <c r="BT734" s="120"/>
      <c r="BU734" s="120"/>
      <c r="BV734" s="120"/>
      <c r="BW734" s="120"/>
      <c r="BX734" s="120"/>
      <c r="BY734" s="120"/>
      <c r="BZ734" s="120"/>
      <c r="CA734" s="120"/>
      <c r="CB734" s="120"/>
      <c r="CC734" s="120"/>
      <c r="CD734" s="120"/>
      <c r="CE734" s="120"/>
    </row>
    <row r="735" ht="18.75" customHeight="1">
      <c r="C735" s="64"/>
      <c r="E735" s="64"/>
      <c r="F735" s="64"/>
      <c r="G735" s="64"/>
      <c r="AH735" s="152"/>
      <c r="AI735" s="152"/>
      <c r="AJ735" s="152"/>
      <c r="AK735" s="152"/>
      <c r="BS735" s="120"/>
      <c r="BT735" s="120"/>
      <c r="BU735" s="120"/>
      <c r="BV735" s="120"/>
      <c r="BW735" s="120"/>
      <c r="BX735" s="120"/>
      <c r="BY735" s="120"/>
      <c r="BZ735" s="120"/>
      <c r="CA735" s="120"/>
      <c r="CB735" s="120"/>
      <c r="CC735" s="120"/>
      <c r="CD735" s="120"/>
      <c r="CE735" s="120"/>
    </row>
    <row r="736" ht="18.75" customHeight="1">
      <c r="C736" s="64"/>
      <c r="E736" s="64"/>
      <c r="F736" s="64"/>
      <c r="G736" s="64"/>
      <c r="AH736" s="152"/>
      <c r="AI736" s="152"/>
      <c r="AJ736" s="152"/>
      <c r="AK736" s="152"/>
      <c r="BS736" s="120"/>
      <c r="BT736" s="120"/>
      <c r="BU736" s="120"/>
      <c r="BV736" s="120"/>
      <c r="BW736" s="120"/>
      <c r="BX736" s="120"/>
      <c r="BY736" s="120"/>
      <c r="BZ736" s="120"/>
      <c r="CA736" s="120"/>
      <c r="CB736" s="120"/>
      <c r="CC736" s="120"/>
      <c r="CD736" s="120"/>
      <c r="CE736" s="120"/>
    </row>
    <row r="737" ht="18.75" customHeight="1">
      <c r="C737" s="64"/>
      <c r="E737" s="64"/>
      <c r="F737" s="64"/>
      <c r="G737" s="64"/>
      <c r="AH737" s="152"/>
      <c r="AI737" s="152"/>
      <c r="AJ737" s="152"/>
      <c r="AK737" s="152"/>
      <c r="BS737" s="120"/>
      <c r="BT737" s="120"/>
      <c r="BU737" s="120"/>
      <c r="BV737" s="120"/>
      <c r="BW737" s="120"/>
      <c r="BX737" s="120"/>
      <c r="BY737" s="120"/>
      <c r="BZ737" s="120"/>
      <c r="CA737" s="120"/>
      <c r="CB737" s="120"/>
      <c r="CC737" s="120"/>
      <c r="CD737" s="120"/>
      <c r="CE737" s="120"/>
    </row>
    <row r="738" ht="18.75" customHeight="1">
      <c r="C738" s="64"/>
      <c r="E738" s="64"/>
      <c r="F738" s="64"/>
      <c r="G738" s="64"/>
      <c r="AH738" s="152"/>
      <c r="AI738" s="152"/>
      <c r="AJ738" s="152"/>
      <c r="AK738" s="152"/>
      <c r="BS738" s="120"/>
      <c r="BT738" s="120"/>
      <c r="BU738" s="120"/>
      <c r="BV738" s="120"/>
      <c r="BW738" s="120"/>
      <c r="BX738" s="120"/>
      <c r="BY738" s="120"/>
      <c r="BZ738" s="120"/>
      <c r="CA738" s="120"/>
      <c r="CB738" s="120"/>
      <c r="CC738" s="120"/>
      <c r="CD738" s="120"/>
      <c r="CE738" s="120"/>
    </row>
    <row r="739" ht="18.75" customHeight="1">
      <c r="C739" s="64"/>
      <c r="E739" s="64"/>
      <c r="F739" s="64"/>
      <c r="G739" s="64"/>
      <c r="AH739" s="152"/>
      <c r="AI739" s="152"/>
      <c r="AJ739" s="152"/>
      <c r="AK739" s="152"/>
      <c r="BS739" s="120"/>
      <c r="BT739" s="120"/>
      <c r="BU739" s="120"/>
      <c r="BV739" s="120"/>
      <c r="BW739" s="120"/>
      <c r="BX739" s="120"/>
      <c r="BY739" s="120"/>
      <c r="BZ739" s="120"/>
      <c r="CA739" s="120"/>
      <c r="CB739" s="120"/>
      <c r="CC739" s="120"/>
      <c r="CD739" s="120"/>
      <c r="CE739" s="120"/>
    </row>
    <row r="740" ht="18.75" customHeight="1">
      <c r="C740" s="64"/>
      <c r="E740" s="64"/>
      <c r="F740" s="64"/>
      <c r="G740" s="64"/>
      <c r="AH740" s="152"/>
      <c r="AI740" s="152"/>
      <c r="AJ740" s="152"/>
      <c r="AK740" s="152"/>
      <c r="BS740" s="120"/>
      <c r="BT740" s="120"/>
      <c r="BU740" s="120"/>
      <c r="BV740" s="120"/>
      <c r="BW740" s="120"/>
      <c r="BX740" s="120"/>
      <c r="BY740" s="120"/>
      <c r="BZ740" s="120"/>
      <c r="CA740" s="120"/>
      <c r="CB740" s="120"/>
      <c r="CC740" s="120"/>
      <c r="CD740" s="120"/>
      <c r="CE740" s="120"/>
    </row>
    <row r="741" ht="18.75" customHeight="1">
      <c r="C741" s="64"/>
      <c r="E741" s="64"/>
      <c r="F741" s="64"/>
      <c r="G741" s="64"/>
      <c r="AH741" s="152"/>
      <c r="AI741" s="152"/>
      <c r="AJ741" s="152"/>
      <c r="AK741" s="152"/>
      <c r="BS741" s="120"/>
      <c r="BT741" s="120"/>
      <c r="BU741" s="120"/>
      <c r="BV741" s="120"/>
      <c r="BW741" s="120"/>
      <c r="BX741" s="120"/>
      <c r="BY741" s="120"/>
      <c r="BZ741" s="120"/>
      <c r="CA741" s="120"/>
      <c r="CB741" s="120"/>
      <c r="CC741" s="120"/>
      <c r="CD741" s="120"/>
      <c r="CE741" s="120"/>
    </row>
    <row r="742" ht="18.75" customHeight="1">
      <c r="C742" s="64"/>
      <c r="E742" s="64"/>
      <c r="F742" s="64"/>
      <c r="G742" s="64"/>
      <c r="AH742" s="152"/>
      <c r="AI742" s="152"/>
      <c r="AJ742" s="152"/>
      <c r="AK742" s="152"/>
      <c r="BS742" s="120"/>
      <c r="BT742" s="120"/>
      <c r="BU742" s="120"/>
      <c r="BV742" s="120"/>
      <c r="BW742" s="120"/>
      <c r="BX742" s="120"/>
      <c r="BY742" s="120"/>
      <c r="BZ742" s="120"/>
      <c r="CA742" s="120"/>
      <c r="CB742" s="120"/>
      <c r="CC742" s="120"/>
      <c r="CD742" s="120"/>
      <c r="CE742" s="120"/>
    </row>
    <row r="743" ht="18.75" customHeight="1">
      <c r="C743" s="64"/>
      <c r="E743" s="64"/>
      <c r="F743" s="64"/>
      <c r="G743" s="64"/>
      <c r="AH743" s="152"/>
      <c r="AI743" s="152"/>
      <c r="AJ743" s="152"/>
      <c r="AK743" s="152"/>
      <c r="BS743" s="120"/>
      <c r="BT743" s="120"/>
      <c r="BU743" s="120"/>
      <c r="BV743" s="120"/>
      <c r="BW743" s="120"/>
      <c r="BX743" s="120"/>
      <c r="BY743" s="120"/>
      <c r="BZ743" s="120"/>
      <c r="CA743" s="120"/>
      <c r="CB743" s="120"/>
      <c r="CC743" s="120"/>
      <c r="CD743" s="120"/>
      <c r="CE743" s="120"/>
    </row>
    <row r="744" ht="18.75" customHeight="1">
      <c r="C744" s="64"/>
      <c r="E744" s="64"/>
      <c r="F744" s="64"/>
      <c r="G744" s="64"/>
      <c r="AH744" s="152"/>
      <c r="AI744" s="152"/>
      <c r="AJ744" s="152"/>
      <c r="AK744" s="152"/>
      <c r="BS744" s="120"/>
      <c r="BT744" s="120"/>
      <c r="BU744" s="120"/>
      <c r="BV744" s="120"/>
      <c r="BW744" s="120"/>
      <c r="BX744" s="120"/>
      <c r="BY744" s="120"/>
      <c r="BZ744" s="120"/>
      <c r="CA744" s="120"/>
      <c r="CB744" s="120"/>
      <c r="CC744" s="120"/>
      <c r="CD744" s="120"/>
      <c r="CE744" s="120"/>
    </row>
    <row r="745" ht="18.75" customHeight="1">
      <c r="C745" s="64"/>
      <c r="E745" s="64"/>
      <c r="F745" s="64"/>
      <c r="G745" s="64"/>
      <c r="AH745" s="152"/>
      <c r="AI745" s="152"/>
      <c r="AJ745" s="152"/>
      <c r="AK745" s="152"/>
      <c r="BS745" s="120"/>
      <c r="BT745" s="120"/>
      <c r="BU745" s="120"/>
      <c r="BV745" s="120"/>
      <c r="BW745" s="120"/>
      <c r="BX745" s="120"/>
      <c r="BY745" s="120"/>
      <c r="BZ745" s="120"/>
      <c r="CA745" s="120"/>
      <c r="CB745" s="120"/>
      <c r="CC745" s="120"/>
      <c r="CD745" s="120"/>
      <c r="CE745" s="120"/>
    </row>
    <row r="746" ht="18.75" customHeight="1">
      <c r="C746" s="64"/>
      <c r="E746" s="64"/>
      <c r="F746" s="64"/>
      <c r="G746" s="64"/>
      <c r="AH746" s="152"/>
      <c r="AI746" s="152"/>
      <c r="AJ746" s="152"/>
      <c r="AK746" s="152"/>
      <c r="BS746" s="120"/>
      <c r="BT746" s="120"/>
      <c r="BU746" s="120"/>
      <c r="BV746" s="120"/>
      <c r="BW746" s="120"/>
      <c r="BX746" s="120"/>
      <c r="BY746" s="120"/>
      <c r="BZ746" s="120"/>
      <c r="CA746" s="120"/>
      <c r="CB746" s="120"/>
      <c r="CC746" s="120"/>
      <c r="CD746" s="120"/>
      <c r="CE746" s="120"/>
    </row>
    <row r="747" ht="18.75" customHeight="1">
      <c r="C747" s="64"/>
      <c r="E747" s="64"/>
      <c r="F747" s="64"/>
      <c r="G747" s="64"/>
      <c r="AH747" s="152"/>
      <c r="AI747" s="152"/>
      <c r="AJ747" s="152"/>
      <c r="AK747" s="152"/>
      <c r="BS747" s="120"/>
      <c r="BT747" s="120"/>
      <c r="BU747" s="120"/>
      <c r="BV747" s="120"/>
      <c r="BW747" s="120"/>
      <c r="BX747" s="120"/>
      <c r="BY747" s="120"/>
      <c r="BZ747" s="120"/>
      <c r="CA747" s="120"/>
      <c r="CB747" s="120"/>
      <c r="CC747" s="120"/>
      <c r="CD747" s="120"/>
      <c r="CE747" s="120"/>
    </row>
    <row r="748" ht="18.75" customHeight="1">
      <c r="C748" s="64"/>
      <c r="E748" s="64"/>
      <c r="F748" s="64"/>
      <c r="G748" s="64"/>
      <c r="AH748" s="152"/>
      <c r="AI748" s="152"/>
      <c r="AJ748" s="152"/>
      <c r="AK748" s="152"/>
      <c r="BS748" s="120"/>
      <c r="BT748" s="120"/>
      <c r="BU748" s="120"/>
      <c r="BV748" s="120"/>
      <c r="BW748" s="120"/>
      <c r="BX748" s="120"/>
      <c r="BY748" s="120"/>
      <c r="BZ748" s="120"/>
      <c r="CA748" s="120"/>
      <c r="CB748" s="120"/>
      <c r="CC748" s="120"/>
      <c r="CD748" s="120"/>
      <c r="CE748" s="120"/>
    </row>
    <row r="749" ht="18.75" customHeight="1">
      <c r="C749" s="64"/>
      <c r="E749" s="64"/>
      <c r="F749" s="64"/>
      <c r="G749" s="64"/>
      <c r="AH749" s="152"/>
      <c r="AI749" s="152"/>
      <c r="AJ749" s="152"/>
      <c r="AK749" s="152"/>
      <c r="BS749" s="120"/>
      <c r="BT749" s="120"/>
      <c r="BU749" s="120"/>
      <c r="BV749" s="120"/>
      <c r="BW749" s="120"/>
      <c r="BX749" s="120"/>
      <c r="BY749" s="120"/>
      <c r="BZ749" s="120"/>
      <c r="CA749" s="120"/>
      <c r="CB749" s="120"/>
      <c r="CC749" s="120"/>
      <c r="CD749" s="120"/>
      <c r="CE749" s="120"/>
    </row>
    <row r="750" ht="18.75" customHeight="1">
      <c r="C750" s="64"/>
      <c r="E750" s="64"/>
      <c r="F750" s="64"/>
      <c r="G750" s="64"/>
      <c r="AH750" s="152"/>
      <c r="AI750" s="152"/>
      <c r="AJ750" s="152"/>
      <c r="AK750" s="152"/>
      <c r="BS750" s="120"/>
      <c r="BT750" s="120"/>
      <c r="BU750" s="120"/>
      <c r="BV750" s="120"/>
      <c r="BW750" s="120"/>
      <c r="BX750" s="120"/>
      <c r="BY750" s="120"/>
      <c r="BZ750" s="120"/>
      <c r="CA750" s="120"/>
      <c r="CB750" s="120"/>
      <c r="CC750" s="120"/>
      <c r="CD750" s="120"/>
      <c r="CE750" s="120"/>
    </row>
    <row r="751" ht="18.75" customHeight="1">
      <c r="C751" s="64"/>
      <c r="E751" s="64"/>
      <c r="F751" s="64"/>
      <c r="G751" s="64"/>
      <c r="AH751" s="152"/>
      <c r="AI751" s="152"/>
      <c r="AJ751" s="152"/>
      <c r="AK751" s="152"/>
      <c r="BS751" s="120"/>
      <c r="BT751" s="120"/>
      <c r="BU751" s="120"/>
      <c r="BV751" s="120"/>
      <c r="BW751" s="120"/>
      <c r="BX751" s="120"/>
      <c r="BY751" s="120"/>
      <c r="BZ751" s="120"/>
      <c r="CA751" s="120"/>
      <c r="CB751" s="120"/>
      <c r="CC751" s="120"/>
      <c r="CD751" s="120"/>
      <c r="CE751" s="120"/>
    </row>
    <row r="752" ht="18.75" customHeight="1">
      <c r="C752" s="64"/>
      <c r="E752" s="64"/>
      <c r="F752" s="64"/>
      <c r="G752" s="64"/>
      <c r="AH752" s="152"/>
      <c r="AI752" s="152"/>
      <c r="AJ752" s="152"/>
      <c r="AK752" s="152"/>
      <c r="BS752" s="120"/>
      <c r="BT752" s="120"/>
      <c r="BU752" s="120"/>
      <c r="BV752" s="120"/>
      <c r="BW752" s="120"/>
      <c r="BX752" s="120"/>
      <c r="BY752" s="120"/>
      <c r="BZ752" s="120"/>
      <c r="CA752" s="120"/>
      <c r="CB752" s="120"/>
      <c r="CC752" s="120"/>
      <c r="CD752" s="120"/>
      <c r="CE752" s="120"/>
    </row>
    <row r="753" ht="18.75" customHeight="1">
      <c r="C753" s="64"/>
      <c r="E753" s="64"/>
      <c r="F753" s="64"/>
      <c r="G753" s="64"/>
      <c r="AH753" s="152"/>
      <c r="AI753" s="152"/>
      <c r="AJ753" s="152"/>
      <c r="AK753" s="152"/>
      <c r="BS753" s="120"/>
      <c r="BT753" s="120"/>
      <c r="BU753" s="120"/>
      <c r="BV753" s="120"/>
      <c r="BW753" s="120"/>
      <c r="BX753" s="120"/>
      <c r="BY753" s="120"/>
      <c r="BZ753" s="120"/>
      <c r="CA753" s="120"/>
      <c r="CB753" s="120"/>
      <c r="CC753" s="120"/>
      <c r="CD753" s="120"/>
      <c r="CE753" s="120"/>
    </row>
    <row r="754" ht="18.75" customHeight="1">
      <c r="C754" s="64"/>
      <c r="E754" s="64"/>
      <c r="F754" s="64"/>
      <c r="G754" s="64"/>
      <c r="AH754" s="152"/>
      <c r="AI754" s="152"/>
      <c r="AJ754" s="152"/>
      <c r="AK754" s="152"/>
      <c r="BS754" s="120"/>
      <c r="BT754" s="120"/>
      <c r="BU754" s="120"/>
      <c r="BV754" s="120"/>
      <c r="BW754" s="120"/>
      <c r="BX754" s="120"/>
      <c r="BY754" s="120"/>
      <c r="BZ754" s="120"/>
      <c r="CA754" s="120"/>
      <c r="CB754" s="120"/>
      <c r="CC754" s="120"/>
      <c r="CD754" s="120"/>
      <c r="CE754" s="120"/>
    </row>
    <row r="755" ht="18.75" customHeight="1">
      <c r="C755" s="64"/>
      <c r="E755" s="64"/>
      <c r="F755" s="64"/>
      <c r="G755" s="64"/>
      <c r="AH755" s="152"/>
      <c r="AI755" s="152"/>
      <c r="AJ755" s="152"/>
      <c r="AK755" s="152"/>
      <c r="BS755" s="120"/>
      <c r="BT755" s="120"/>
      <c r="BU755" s="120"/>
      <c r="BV755" s="120"/>
      <c r="BW755" s="120"/>
      <c r="BX755" s="120"/>
      <c r="BY755" s="120"/>
      <c r="BZ755" s="120"/>
      <c r="CA755" s="120"/>
      <c r="CB755" s="120"/>
      <c r="CC755" s="120"/>
      <c r="CD755" s="120"/>
      <c r="CE755" s="120"/>
    </row>
    <row r="756" ht="18.75" customHeight="1">
      <c r="C756" s="64"/>
      <c r="E756" s="64"/>
      <c r="F756" s="64"/>
      <c r="G756" s="64"/>
      <c r="AH756" s="152"/>
      <c r="AI756" s="152"/>
      <c r="AJ756" s="152"/>
      <c r="AK756" s="152"/>
      <c r="BS756" s="120"/>
      <c r="BT756" s="120"/>
      <c r="BU756" s="120"/>
      <c r="BV756" s="120"/>
      <c r="BW756" s="120"/>
      <c r="BX756" s="120"/>
      <c r="BY756" s="120"/>
      <c r="BZ756" s="120"/>
      <c r="CA756" s="120"/>
      <c r="CB756" s="120"/>
      <c r="CC756" s="120"/>
      <c r="CD756" s="120"/>
      <c r="CE756" s="120"/>
    </row>
    <row r="757" ht="18.75" customHeight="1">
      <c r="C757" s="64"/>
      <c r="E757" s="64"/>
      <c r="F757" s="64"/>
      <c r="G757" s="64"/>
      <c r="AH757" s="152"/>
      <c r="AI757" s="152"/>
      <c r="AJ757" s="152"/>
      <c r="AK757" s="152"/>
      <c r="BS757" s="120"/>
      <c r="BT757" s="120"/>
      <c r="BU757" s="120"/>
      <c r="BV757" s="120"/>
      <c r="BW757" s="120"/>
      <c r="BX757" s="120"/>
      <c r="BY757" s="120"/>
      <c r="BZ757" s="120"/>
      <c r="CA757" s="120"/>
      <c r="CB757" s="120"/>
      <c r="CC757" s="120"/>
      <c r="CD757" s="120"/>
      <c r="CE757" s="120"/>
    </row>
    <row r="758" ht="18.75" customHeight="1">
      <c r="C758" s="64"/>
      <c r="E758" s="64"/>
      <c r="F758" s="64"/>
      <c r="G758" s="64"/>
      <c r="AH758" s="152"/>
      <c r="AI758" s="152"/>
      <c r="AJ758" s="152"/>
      <c r="AK758" s="152"/>
      <c r="BS758" s="120"/>
      <c r="BT758" s="120"/>
      <c r="BU758" s="120"/>
      <c r="BV758" s="120"/>
      <c r="BW758" s="120"/>
      <c r="BX758" s="120"/>
      <c r="BY758" s="120"/>
      <c r="BZ758" s="120"/>
      <c r="CA758" s="120"/>
      <c r="CB758" s="120"/>
      <c r="CC758" s="120"/>
      <c r="CD758" s="120"/>
      <c r="CE758" s="120"/>
    </row>
    <row r="759" ht="18.75" customHeight="1">
      <c r="C759" s="64"/>
      <c r="E759" s="64"/>
      <c r="F759" s="64"/>
      <c r="G759" s="64"/>
      <c r="AH759" s="152"/>
      <c r="AI759" s="152"/>
      <c r="AJ759" s="152"/>
      <c r="AK759" s="152"/>
      <c r="BS759" s="120"/>
      <c r="BT759" s="120"/>
      <c r="BU759" s="120"/>
      <c r="BV759" s="120"/>
      <c r="BW759" s="120"/>
      <c r="BX759" s="120"/>
      <c r="BY759" s="120"/>
      <c r="BZ759" s="120"/>
      <c r="CA759" s="120"/>
      <c r="CB759" s="120"/>
      <c r="CC759" s="120"/>
      <c r="CD759" s="120"/>
      <c r="CE759" s="120"/>
    </row>
    <row r="760" ht="18.75" customHeight="1">
      <c r="C760" s="64"/>
      <c r="E760" s="64"/>
      <c r="F760" s="64"/>
      <c r="G760" s="64"/>
      <c r="AH760" s="152"/>
      <c r="AI760" s="152"/>
      <c r="AJ760" s="152"/>
      <c r="AK760" s="152"/>
      <c r="BS760" s="120"/>
      <c r="BT760" s="120"/>
      <c r="BU760" s="120"/>
      <c r="BV760" s="120"/>
      <c r="BW760" s="120"/>
      <c r="BX760" s="120"/>
      <c r="BY760" s="120"/>
      <c r="BZ760" s="120"/>
      <c r="CA760" s="120"/>
      <c r="CB760" s="120"/>
      <c r="CC760" s="120"/>
      <c r="CD760" s="120"/>
      <c r="CE760" s="120"/>
    </row>
    <row r="761" ht="18.75" customHeight="1">
      <c r="C761" s="64"/>
      <c r="E761" s="64"/>
      <c r="F761" s="64"/>
      <c r="G761" s="64"/>
      <c r="AH761" s="152"/>
      <c r="AI761" s="152"/>
      <c r="AJ761" s="152"/>
      <c r="AK761" s="152"/>
      <c r="BS761" s="120"/>
      <c r="BT761" s="120"/>
      <c r="BU761" s="120"/>
      <c r="BV761" s="120"/>
      <c r="BW761" s="120"/>
      <c r="BX761" s="120"/>
      <c r="BY761" s="120"/>
      <c r="BZ761" s="120"/>
      <c r="CA761" s="120"/>
      <c r="CB761" s="120"/>
      <c r="CC761" s="120"/>
      <c r="CD761" s="120"/>
      <c r="CE761" s="120"/>
    </row>
    <row r="762" ht="18.75" customHeight="1">
      <c r="C762" s="64"/>
      <c r="E762" s="64"/>
      <c r="F762" s="64"/>
      <c r="G762" s="64"/>
      <c r="AH762" s="152"/>
      <c r="AI762" s="152"/>
      <c r="AJ762" s="152"/>
      <c r="AK762" s="152"/>
      <c r="BS762" s="120"/>
      <c r="BT762" s="120"/>
      <c r="BU762" s="120"/>
      <c r="BV762" s="120"/>
      <c r="BW762" s="120"/>
      <c r="BX762" s="120"/>
      <c r="BY762" s="120"/>
      <c r="BZ762" s="120"/>
      <c r="CA762" s="120"/>
      <c r="CB762" s="120"/>
      <c r="CC762" s="120"/>
      <c r="CD762" s="120"/>
      <c r="CE762" s="120"/>
    </row>
    <row r="763" ht="18.75" customHeight="1">
      <c r="C763" s="64"/>
      <c r="E763" s="64"/>
      <c r="F763" s="64"/>
      <c r="G763" s="64"/>
      <c r="AH763" s="152"/>
      <c r="AI763" s="152"/>
      <c r="AJ763" s="152"/>
      <c r="AK763" s="152"/>
      <c r="BS763" s="120"/>
      <c r="BT763" s="120"/>
      <c r="BU763" s="120"/>
      <c r="BV763" s="120"/>
      <c r="BW763" s="120"/>
      <c r="BX763" s="120"/>
      <c r="BY763" s="120"/>
      <c r="BZ763" s="120"/>
      <c r="CA763" s="120"/>
      <c r="CB763" s="120"/>
      <c r="CC763" s="120"/>
      <c r="CD763" s="120"/>
      <c r="CE763" s="120"/>
    </row>
    <row r="764" ht="18.75" customHeight="1">
      <c r="C764" s="64"/>
      <c r="E764" s="64"/>
      <c r="F764" s="64"/>
      <c r="G764" s="64"/>
      <c r="AH764" s="152"/>
      <c r="AI764" s="152"/>
      <c r="AJ764" s="152"/>
      <c r="AK764" s="152"/>
      <c r="BS764" s="120"/>
      <c r="BT764" s="120"/>
      <c r="BU764" s="120"/>
      <c r="BV764" s="120"/>
      <c r="BW764" s="120"/>
      <c r="BX764" s="120"/>
      <c r="BY764" s="120"/>
      <c r="BZ764" s="120"/>
      <c r="CA764" s="120"/>
      <c r="CB764" s="120"/>
      <c r="CC764" s="120"/>
      <c r="CD764" s="120"/>
      <c r="CE764" s="120"/>
    </row>
    <row r="765" ht="18.75" customHeight="1">
      <c r="C765" s="64"/>
      <c r="E765" s="64"/>
      <c r="F765" s="64"/>
      <c r="G765" s="64"/>
      <c r="AH765" s="152"/>
      <c r="AI765" s="152"/>
      <c r="AJ765" s="152"/>
      <c r="AK765" s="152"/>
      <c r="BS765" s="120"/>
      <c r="BT765" s="120"/>
      <c r="BU765" s="120"/>
      <c r="BV765" s="120"/>
      <c r="BW765" s="120"/>
      <c r="BX765" s="120"/>
      <c r="BY765" s="120"/>
      <c r="BZ765" s="120"/>
      <c r="CA765" s="120"/>
      <c r="CB765" s="120"/>
      <c r="CC765" s="120"/>
      <c r="CD765" s="120"/>
      <c r="CE765" s="120"/>
    </row>
    <row r="766" ht="18.75" customHeight="1">
      <c r="C766" s="64"/>
      <c r="E766" s="64"/>
      <c r="F766" s="64"/>
      <c r="G766" s="64"/>
      <c r="AH766" s="152"/>
      <c r="AI766" s="152"/>
      <c r="AJ766" s="152"/>
      <c r="AK766" s="152"/>
      <c r="BS766" s="120"/>
      <c r="BT766" s="120"/>
      <c r="BU766" s="120"/>
      <c r="BV766" s="120"/>
      <c r="BW766" s="120"/>
      <c r="BX766" s="120"/>
      <c r="BY766" s="120"/>
      <c r="BZ766" s="120"/>
      <c r="CA766" s="120"/>
      <c r="CB766" s="120"/>
      <c r="CC766" s="120"/>
      <c r="CD766" s="120"/>
      <c r="CE766" s="120"/>
    </row>
    <row r="767" ht="18.75" customHeight="1">
      <c r="C767" s="64"/>
      <c r="E767" s="64"/>
      <c r="F767" s="64"/>
      <c r="G767" s="64"/>
      <c r="AH767" s="152"/>
      <c r="AI767" s="152"/>
      <c r="AJ767" s="152"/>
      <c r="AK767" s="152"/>
      <c r="BS767" s="120"/>
      <c r="BT767" s="120"/>
      <c r="BU767" s="120"/>
      <c r="BV767" s="120"/>
      <c r="BW767" s="120"/>
      <c r="BX767" s="120"/>
      <c r="BY767" s="120"/>
      <c r="BZ767" s="120"/>
      <c r="CA767" s="120"/>
      <c r="CB767" s="120"/>
      <c r="CC767" s="120"/>
      <c r="CD767" s="120"/>
      <c r="CE767" s="120"/>
    </row>
    <row r="768" ht="18.75" customHeight="1">
      <c r="C768" s="64"/>
      <c r="E768" s="64"/>
      <c r="F768" s="64"/>
      <c r="G768" s="64"/>
      <c r="AH768" s="152"/>
      <c r="AI768" s="152"/>
      <c r="AJ768" s="152"/>
      <c r="AK768" s="152"/>
      <c r="BS768" s="120"/>
      <c r="BT768" s="120"/>
      <c r="BU768" s="120"/>
      <c r="BV768" s="120"/>
      <c r="BW768" s="120"/>
      <c r="BX768" s="120"/>
      <c r="BY768" s="120"/>
      <c r="BZ768" s="120"/>
      <c r="CA768" s="120"/>
      <c r="CB768" s="120"/>
      <c r="CC768" s="120"/>
      <c r="CD768" s="120"/>
      <c r="CE768" s="120"/>
    </row>
    <row r="769" ht="18.75" customHeight="1">
      <c r="C769" s="64"/>
      <c r="E769" s="64"/>
      <c r="F769" s="64"/>
      <c r="G769" s="64"/>
      <c r="AH769" s="152"/>
      <c r="AI769" s="152"/>
      <c r="AJ769" s="152"/>
      <c r="AK769" s="152"/>
      <c r="BS769" s="120"/>
      <c r="BT769" s="120"/>
      <c r="BU769" s="120"/>
      <c r="BV769" s="120"/>
      <c r="BW769" s="120"/>
      <c r="BX769" s="120"/>
      <c r="BY769" s="120"/>
      <c r="BZ769" s="120"/>
      <c r="CA769" s="120"/>
      <c r="CB769" s="120"/>
      <c r="CC769" s="120"/>
      <c r="CD769" s="120"/>
      <c r="CE769" s="120"/>
    </row>
    <row r="770" ht="18.75" customHeight="1">
      <c r="C770" s="64"/>
      <c r="E770" s="64"/>
      <c r="F770" s="64"/>
      <c r="G770" s="64"/>
      <c r="AH770" s="152"/>
      <c r="AI770" s="152"/>
      <c r="AJ770" s="152"/>
      <c r="AK770" s="152"/>
      <c r="BS770" s="120"/>
      <c r="BT770" s="120"/>
      <c r="BU770" s="120"/>
      <c r="BV770" s="120"/>
      <c r="BW770" s="120"/>
      <c r="BX770" s="120"/>
      <c r="BY770" s="120"/>
      <c r="BZ770" s="120"/>
      <c r="CA770" s="120"/>
      <c r="CB770" s="120"/>
      <c r="CC770" s="120"/>
      <c r="CD770" s="120"/>
      <c r="CE770" s="120"/>
    </row>
    <row r="771" ht="18.75" customHeight="1">
      <c r="C771" s="64"/>
      <c r="E771" s="64"/>
      <c r="F771" s="64"/>
      <c r="G771" s="64"/>
      <c r="AH771" s="152"/>
      <c r="AI771" s="152"/>
      <c r="AJ771" s="152"/>
      <c r="AK771" s="152"/>
      <c r="BS771" s="120"/>
      <c r="BT771" s="120"/>
      <c r="BU771" s="120"/>
      <c r="BV771" s="120"/>
      <c r="BW771" s="120"/>
      <c r="BX771" s="120"/>
      <c r="BY771" s="120"/>
      <c r="BZ771" s="120"/>
      <c r="CA771" s="120"/>
      <c r="CB771" s="120"/>
      <c r="CC771" s="120"/>
      <c r="CD771" s="120"/>
      <c r="CE771" s="120"/>
    </row>
    <row r="772" ht="18.75" customHeight="1">
      <c r="C772" s="64"/>
      <c r="E772" s="64"/>
      <c r="F772" s="64"/>
      <c r="G772" s="64"/>
      <c r="AH772" s="152"/>
      <c r="AI772" s="152"/>
      <c r="AJ772" s="152"/>
      <c r="AK772" s="152"/>
      <c r="BS772" s="120"/>
      <c r="BT772" s="120"/>
      <c r="BU772" s="120"/>
      <c r="BV772" s="120"/>
      <c r="BW772" s="120"/>
      <c r="BX772" s="120"/>
      <c r="BY772" s="120"/>
      <c r="BZ772" s="120"/>
      <c r="CA772" s="120"/>
      <c r="CB772" s="120"/>
      <c r="CC772" s="120"/>
      <c r="CD772" s="120"/>
      <c r="CE772" s="120"/>
    </row>
    <row r="773" ht="18.75" customHeight="1">
      <c r="C773" s="64"/>
      <c r="E773" s="64"/>
      <c r="F773" s="64"/>
      <c r="G773" s="64"/>
      <c r="AH773" s="152"/>
      <c r="AI773" s="152"/>
      <c r="AJ773" s="152"/>
      <c r="AK773" s="152"/>
      <c r="BS773" s="120"/>
      <c r="BT773" s="120"/>
      <c r="BU773" s="120"/>
      <c r="BV773" s="120"/>
      <c r="BW773" s="120"/>
      <c r="BX773" s="120"/>
      <c r="BY773" s="120"/>
      <c r="BZ773" s="120"/>
      <c r="CA773" s="120"/>
      <c r="CB773" s="120"/>
      <c r="CC773" s="120"/>
      <c r="CD773" s="120"/>
      <c r="CE773" s="120"/>
    </row>
    <row r="774" ht="18.75" customHeight="1">
      <c r="C774" s="64"/>
      <c r="E774" s="64"/>
      <c r="F774" s="64"/>
      <c r="G774" s="64"/>
      <c r="AH774" s="152"/>
      <c r="AI774" s="152"/>
      <c r="AJ774" s="152"/>
      <c r="AK774" s="152"/>
      <c r="BS774" s="120"/>
      <c r="BT774" s="120"/>
      <c r="BU774" s="120"/>
      <c r="BV774" s="120"/>
      <c r="BW774" s="120"/>
      <c r="BX774" s="120"/>
      <c r="BY774" s="120"/>
      <c r="BZ774" s="120"/>
      <c r="CA774" s="120"/>
      <c r="CB774" s="120"/>
      <c r="CC774" s="120"/>
      <c r="CD774" s="120"/>
      <c r="CE774" s="120"/>
    </row>
    <row r="775" ht="18.75" customHeight="1">
      <c r="C775" s="64"/>
      <c r="E775" s="64"/>
      <c r="F775" s="64"/>
      <c r="G775" s="64"/>
      <c r="AH775" s="152"/>
      <c r="AI775" s="152"/>
      <c r="AJ775" s="152"/>
      <c r="AK775" s="152"/>
      <c r="BS775" s="120"/>
      <c r="BT775" s="120"/>
      <c r="BU775" s="120"/>
      <c r="BV775" s="120"/>
      <c r="BW775" s="120"/>
      <c r="BX775" s="120"/>
      <c r="BY775" s="120"/>
      <c r="BZ775" s="120"/>
      <c r="CA775" s="120"/>
      <c r="CB775" s="120"/>
      <c r="CC775" s="120"/>
      <c r="CD775" s="120"/>
      <c r="CE775" s="120"/>
    </row>
    <row r="776" ht="18.75" customHeight="1">
      <c r="C776" s="64"/>
      <c r="E776" s="64"/>
      <c r="F776" s="64"/>
      <c r="G776" s="64"/>
      <c r="AH776" s="152"/>
      <c r="AI776" s="152"/>
      <c r="AJ776" s="152"/>
      <c r="AK776" s="152"/>
      <c r="BS776" s="120"/>
      <c r="BT776" s="120"/>
      <c r="BU776" s="120"/>
      <c r="BV776" s="120"/>
      <c r="BW776" s="120"/>
      <c r="BX776" s="120"/>
      <c r="BY776" s="120"/>
      <c r="BZ776" s="120"/>
      <c r="CA776" s="120"/>
      <c r="CB776" s="120"/>
      <c r="CC776" s="120"/>
      <c r="CD776" s="120"/>
      <c r="CE776" s="120"/>
    </row>
    <row r="777" ht="18.75" customHeight="1">
      <c r="C777" s="64"/>
      <c r="E777" s="64"/>
      <c r="F777" s="64"/>
      <c r="G777" s="64"/>
      <c r="AH777" s="152"/>
      <c r="AI777" s="152"/>
      <c r="AJ777" s="152"/>
      <c r="AK777" s="152"/>
      <c r="BS777" s="120"/>
      <c r="BT777" s="120"/>
      <c r="BU777" s="120"/>
      <c r="BV777" s="120"/>
      <c r="BW777" s="120"/>
      <c r="BX777" s="120"/>
      <c r="BY777" s="120"/>
      <c r="BZ777" s="120"/>
      <c r="CA777" s="120"/>
      <c r="CB777" s="120"/>
      <c r="CC777" s="120"/>
      <c r="CD777" s="120"/>
      <c r="CE777" s="120"/>
    </row>
    <row r="778" ht="18.75" customHeight="1">
      <c r="C778" s="64"/>
      <c r="E778" s="64"/>
      <c r="F778" s="64"/>
      <c r="G778" s="64"/>
      <c r="AH778" s="152"/>
      <c r="AI778" s="152"/>
      <c r="AJ778" s="152"/>
      <c r="AK778" s="152"/>
      <c r="BS778" s="120"/>
      <c r="BT778" s="120"/>
      <c r="BU778" s="120"/>
      <c r="BV778" s="120"/>
      <c r="BW778" s="120"/>
      <c r="BX778" s="120"/>
      <c r="BY778" s="120"/>
      <c r="BZ778" s="120"/>
      <c r="CA778" s="120"/>
      <c r="CB778" s="120"/>
      <c r="CC778" s="120"/>
      <c r="CD778" s="120"/>
      <c r="CE778" s="120"/>
    </row>
    <row r="779" ht="18.75" customHeight="1">
      <c r="C779" s="64"/>
      <c r="E779" s="64"/>
      <c r="F779" s="64"/>
      <c r="G779" s="64"/>
      <c r="AH779" s="152"/>
      <c r="AI779" s="152"/>
      <c r="AJ779" s="152"/>
      <c r="AK779" s="152"/>
      <c r="BS779" s="120"/>
      <c r="BT779" s="120"/>
      <c r="BU779" s="120"/>
      <c r="BV779" s="120"/>
      <c r="BW779" s="120"/>
      <c r="BX779" s="120"/>
      <c r="BY779" s="120"/>
      <c r="BZ779" s="120"/>
      <c r="CA779" s="120"/>
      <c r="CB779" s="120"/>
      <c r="CC779" s="120"/>
      <c r="CD779" s="120"/>
      <c r="CE779" s="120"/>
    </row>
    <row r="780" ht="18.75" customHeight="1">
      <c r="C780" s="64"/>
      <c r="E780" s="64"/>
      <c r="F780" s="64"/>
      <c r="G780" s="64"/>
      <c r="AH780" s="152"/>
      <c r="AI780" s="152"/>
      <c r="AJ780" s="152"/>
      <c r="AK780" s="152"/>
      <c r="BS780" s="120"/>
      <c r="BT780" s="120"/>
      <c r="BU780" s="120"/>
      <c r="BV780" s="120"/>
      <c r="BW780" s="120"/>
      <c r="BX780" s="120"/>
      <c r="BY780" s="120"/>
      <c r="BZ780" s="120"/>
      <c r="CA780" s="120"/>
      <c r="CB780" s="120"/>
      <c r="CC780" s="120"/>
      <c r="CD780" s="120"/>
      <c r="CE780" s="120"/>
    </row>
    <row r="781" ht="18.75" customHeight="1">
      <c r="C781" s="64"/>
      <c r="E781" s="64"/>
      <c r="F781" s="64"/>
      <c r="G781" s="64"/>
      <c r="AH781" s="152"/>
      <c r="AI781" s="152"/>
      <c r="AJ781" s="152"/>
      <c r="AK781" s="152"/>
      <c r="BS781" s="120"/>
      <c r="BT781" s="120"/>
      <c r="BU781" s="120"/>
      <c r="BV781" s="120"/>
      <c r="BW781" s="120"/>
      <c r="BX781" s="120"/>
      <c r="BY781" s="120"/>
      <c r="BZ781" s="120"/>
      <c r="CA781" s="120"/>
      <c r="CB781" s="120"/>
      <c r="CC781" s="120"/>
      <c r="CD781" s="120"/>
      <c r="CE781" s="120"/>
    </row>
    <row r="782" ht="18.75" customHeight="1">
      <c r="C782" s="64"/>
      <c r="E782" s="64"/>
      <c r="F782" s="64"/>
      <c r="G782" s="64"/>
      <c r="AH782" s="152"/>
      <c r="AI782" s="152"/>
      <c r="AJ782" s="152"/>
      <c r="AK782" s="152"/>
      <c r="BS782" s="120"/>
      <c r="BT782" s="120"/>
      <c r="BU782" s="120"/>
      <c r="BV782" s="120"/>
      <c r="BW782" s="120"/>
      <c r="BX782" s="120"/>
      <c r="BY782" s="120"/>
      <c r="BZ782" s="120"/>
      <c r="CA782" s="120"/>
      <c r="CB782" s="120"/>
      <c r="CC782" s="120"/>
      <c r="CD782" s="120"/>
      <c r="CE782" s="120"/>
    </row>
    <row r="783" ht="18.75" customHeight="1">
      <c r="C783" s="64"/>
      <c r="E783" s="64"/>
      <c r="F783" s="64"/>
      <c r="G783" s="64"/>
      <c r="AH783" s="152"/>
      <c r="AI783" s="152"/>
      <c r="AJ783" s="152"/>
      <c r="AK783" s="152"/>
      <c r="BS783" s="120"/>
      <c r="BT783" s="120"/>
      <c r="BU783" s="120"/>
      <c r="BV783" s="120"/>
      <c r="BW783" s="120"/>
      <c r="BX783" s="120"/>
      <c r="BY783" s="120"/>
      <c r="BZ783" s="120"/>
      <c r="CA783" s="120"/>
      <c r="CB783" s="120"/>
      <c r="CC783" s="120"/>
      <c r="CD783" s="120"/>
      <c r="CE783" s="120"/>
    </row>
    <row r="784" ht="18.75" customHeight="1">
      <c r="C784" s="64"/>
      <c r="E784" s="64"/>
      <c r="F784" s="64"/>
      <c r="G784" s="64"/>
      <c r="AH784" s="152"/>
      <c r="AI784" s="152"/>
      <c r="AJ784" s="152"/>
      <c r="AK784" s="152"/>
      <c r="BS784" s="120"/>
      <c r="BT784" s="120"/>
      <c r="BU784" s="120"/>
      <c r="BV784" s="120"/>
      <c r="BW784" s="120"/>
      <c r="BX784" s="120"/>
      <c r="BY784" s="120"/>
      <c r="BZ784" s="120"/>
      <c r="CA784" s="120"/>
      <c r="CB784" s="120"/>
      <c r="CC784" s="120"/>
      <c r="CD784" s="120"/>
      <c r="CE784" s="120"/>
    </row>
    <row r="785" ht="18.75" customHeight="1">
      <c r="C785" s="64"/>
      <c r="E785" s="64"/>
      <c r="F785" s="64"/>
      <c r="G785" s="64"/>
      <c r="AH785" s="152"/>
      <c r="AI785" s="152"/>
      <c r="AJ785" s="152"/>
      <c r="AK785" s="152"/>
      <c r="BS785" s="120"/>
      <c r="BT785" s="120"/>
      <c r="BU785" s="120"/>
      <c r="BV785" s="120"/>
      <c r="BW785" s="120"/>
      <c r="BX785" s="120"/>
      <c r="BY785" s="120"/>
      <c r="BZ785" s="120"/>
      <c r="CA785" s="120"/>
      <c r="CB785" s="120"/>
      <c r="CC785" s="120"/>
      <c r="CD785" s="120"/>
      <c r="CE785" s="120"/>
    </row>
    <row r="786" ht="18.75" customHeight="1">
      <c r="C786" s="64"/>
      <c r="E786" s="64"/>
      <c r="F786" s="64"/>
      <c r="G786" s="64"/>
      <c r="AH786" s="152"/>
      <c r="AI786" s="152"/>
      <c r="AJ786" s="152"/>
      <c r="AK786" s="152"/>
      <c r="BS786" s="120"/>
      <c r="BT786" s="120"/>
      <c r="BU786" s="120"/>
      <c r="BV786" s="120"/>
      <c r="BW786" s="120"/>
      <c r="BX786" s="120"/>
      <c r="BY786" s="120"/>
      <c r="BZ786" s="120"/>
      <c r="CA786" s="120"/>
      <c r="CB786" s="120"/>
      <c r="CC786" s="120"/>
      <c r="CD786" s="120"/>
      <c r="CE786" s="120"/>
    </row>
    <row r="787" ht="18.75" customHeight="1">
      <c r="C787" s="64"/>
      <c r="E787" s="64"/>
      <c r="F787" s="64"/>
      <c r="G787" s="64"/>
      <c r="AH787" s="152"/>
      <c r="AI787" s="152"/>
      <c r="AJ787" s="152"/>
      <c r="AK787" s="152"/>
      <c r="BS787" s="120"/>
      <c r="BT787" s="120"/>
      <c r="BU787" s="120"/>
      <c r="BV787" s="120"/>
      <c r="BW787" s="120"/>
      <c r="BX787" s="120"/>
      <c r="BY787" s="120"/>
      <c r="BZ787" s="120"/>
      <c r="CA787" s="120"/>
      <c r="CB787" s="120"/>
      <c r="CC787" s="120"/>
      <c r="CD787" s="120"/>
      <c r="CE787" s="120"/>
    </row>
    <row r="788" ht="18.75" customHeight="1">
      <c r="C788" s="64"/>
      <c r="E788" s="64"/>
      <c r="F788" s="64"/>
      <c r="G788" s="64"/>
      <c r="AH788" s="152"/>
      <c r="AI788" s="152"/>
      <c r="AJ788" s="152"/>
      <c r="AK788" s="152"/>
      <c r="BS788" s="120"/>
      <c r="BT788" s="120"/>
      <c r="BU788" s="120"/>
      <c r="BV788" s="120"/>
      <c r="BW788" s="120"/>
      <c r="BX788" s="120"/>
      <c r="BY788" s="120"/>
      <c r="BZ788" s="120"/>
      <c r="CA788" s="120"/>
      <c r="CB788" s="120"/>
      <c r="CC788" s="120"/>
      <c r="CD788" s="120"/>
      <c r="CE788" s="120"/>
    </row>
    <row r="789" ht="18.75" customHeight="1">
      <c r="C789" s="64"/>
      <c r="E789" s="64"/>
      <c r="F789" s="64"/>
      <c r="G789" s="64"/>
      <c r="AH789" s="152"/>
      <c r="AI789" s="152"/>
      <c r="AJ789" s="152"/>
      <c r="AK789" s="152"/>
      <c r="BS789" s="120"/>
      <c r="BT789" s="120"/>
      <c r="BU789" s="120"/>
      <c r="BV789" s="120"/>
      <c r="BW789" s="120"/>
      <c r="BX789" s="120"/>
      <c r="BY789" s="120"/>
      <c r="BZ789" s="120"/>
      <c r="CA789" s="120"/>
      <c r="CB789" s="120"/>
      <c r="CC789" s="120"/>
      <c r="CD789" s="120"/>
      <c r="CE789" s="120"/>
    </row>
    <row r="790" ht="18.75" customHeight="1">
      <c r="C790" s="64"/>
      <c r="E790" s="64"/>
      <c r="F790" s="64"/>
      <c r="G790" s="64"/>
      <c r="AH790" s="152"/>
      <c r="AI790" s="152"/>
      <c r="AJ790" s="152"/>
      <c r="AK790" s="152"/>
      <c r="BS790" s="120"/>
      <c r="BT790" s="120"/>
      <c r="BU790" s="120"/>
      <c r="BV790" s="120"/>
      <c r="BW790" s="120"/>
      <c r="BX790" s="120"/>
      <c r="BY790" s="120"/>
      <c r="BZ790" s="120"/>
      <c r="CA790" s="120"/>
      <c r="CB790" s="120"/>
      <c r="CC790" s="120"/>
      <c r="CD790" s="120"/>
      <c r="CE790" s="120"/>
    </row>
    <row r="791" ht="18.75" customHeight="1">
      <c r="C791" s="64"/>
      <c r="E791" s="64"/>
      <c r="F791" s="64"/>
      <c r="G791" s="64"/>
      <c r="AH791" s="152"/>
      <c r="AI791" s="152"/>
      <c r="AJ791" s="152"/>
      <c r="AK791" s="152"/>
      <c r="BS791" s="120"/>
      <c r="BT791" s="120"/>
      <c r="BU791" s="120"/>
      <c r="BV791" s="120"/>
      <c r="BW791" s="120"/>
      <c r="BX791" s="120"/>
      <c r="BY791" s="120"/>
      <c r="BZ791" s="120"/>
      <c r="CA791" s="120"/>
      <c r="CB791" s="120"/>
      <c r="CC791" s="120"/>
      <c r="CD791" s="120"/>
      <c r="CE791" s="120"/>
    </row>
    <row r="792" ht="18.75" customHeight="1">
      <c r="C792" s="64"/>
      <c r="E792" s="64"/>
      <c r="F792" s="64"/>
      <c r="G792" s="64"/>
      <c r="AH792" s="152"/>
      <c r="AI792" s="152"/>
      <c r="AJ792" s="152"/>
      <c r="AK792" s="152"/>
      <c r="BS792" s="120"/>
      <c r="BT792" s="120"/>
      <c r="BU792" s="120"/>
      <c r="BV792" s="120"/>
      <c r="BW792" s="120"/>
      <c r="BX792" s="120"/>
      <c r="BY792" s="120"/>
      <c r="BZ792" s="120"/>
      <c r="CA792" s="120"/>
      <c r="CB792" s="120"/>
      <c r="CC792" s="120"/>
      <c r="CD792" s="120"/>
      <c r="CE792" s="120"/>
    </row>
    <row r="793" ht="18.75" customHeight="1">
      <c r="C793" s="64"/>
      <c r="E793" s="64"/>
      <c r="F793" s="64"/>
      <c r="G793" s="64"/>
      <c r="AH793" s="152"/>
      <c r="AI793" s="152"/>
      <c r="AJ793" s="152"/>
      <c r="AK793" s="152"/>
      <c r="BS793" s="120"/>
      <c r="BT793" s="120"/>
      <c r="BU793" s="120"/>
      <c r="BV793" s="120"/>
      <c r="BW793" s="120"/>
      <c r="BX793" s="120"/>
      <c r="BY793" s="120"/>
      <c r="BZ793" s="120"/>
      <c r="CA793" s="120"/>
      <c r="CB793" s="120"/>
      <c r="CC793" s="120"/>
      <c r="CD793" s="120"/>
      <c r="CE793" s="120"/>
    </row>
    <row r="794" ht="18.75" customHeight="1">
      <c r="C794" s="64"/>
      <c r="E794" s="64"/>
      <c r="F794" s="64"/>
      <c r="G794" s="64"/>
      <c r="AH794" s="152"/>
      <c r="AI794" s="152"/>
      <c r="AJ794" s="152"/>
      <c r="AK794" s="152"/>
      <c r="BS794" s="120"/>
      <c r="BT794" s="120"/>
      <c r="BU794" s="120"/>
      <c r="BV794" s="120"/>
      <c r="BW794" s="120"/>
      <c r="BX794" s="120"/>
      <c r="BY794" s="120"/>
      <c r="BZ794" s="120"/>
      <c r="CA794" s="120"/>
      <c r="CB794" s="120"/>
      <c r="CC794" s="120"/>
      <c r="CD794" s="120"/>
      <c r="CE794" s="120"/>
    </row>
    <row r="795" ht="18.75" customHeight="1">
      <c r="C795" s="64"/>
      <c r="E795" s="64"/>
      <c r="F795" s="64"/>
      <c r="G795" s="64"/>
      <c r="AH795" s="152"/>
      <c r="AI795" s="152"/>
      <c r="AJ795" s="152"/>
      <c r="AK795" s="152"/>
      <c r="BS795" s="120"/>
      <c r="BT795" s="120"/>
      <c r="BU795" s="120"/>
      <c r="BV795" s="120"/>
      <c r="BW795" s="120"/>
      <c r="BX795" s="120"/>
      <c r="BY795" s="120"/>
      <c r="BZ795" s="120"/>
      <c r="CA795" s="120"/>
      <c r="CB795" s="120"/>
      <c r="CC795" s="120"/>
      <c r="CD795" s="120"/>
      <c r="CE795" s="120"/>
    </row>
    <row r="796" ht="18.75" customHeight="1">
      <c r="C796" s="64"/>
      <c r="E796" s="64"/>
      <c r="F796" s="64"/>
      <c r="G796" s="64"/>
      <c r="AH796" s="152"/>
      <c r="AI796" s="152"/>
      <c r="AJ796" s="152"/>
      <c r="AK796" s="152"/>
      <c r="BS796" s="120"/>
      <c r="BT796" s="120"/>
      <c r="BU796" s="120"/>
      <c r="BV796" s="120"/>
      <c r="BW796" s="120"/>
      <c r="BX796" s="120"/>
      <c r="BY796" s="120"/>
      <c r="BZ796" s="120"/>
      <c r="CA796" s="120"/>
      <c r="CB796" s="120"/>
      <c r="CC796" s="120"/>
      <c r="CD796" s="120"/>
      <c r="CE796" s="120"/>
    </row>
    <row r="797" ht="18.75" customHeight="1">
      <c r="C797" s="64"/>
      <c r="E797" s="64"/>
      <c r="F797" s="64"/>
      <c r="G797" s="64"/>
      <c r="AH797" s="152"/>
      <c r="AI797" s="152"/>
      <c r="AJ797" s="152"/>
      <c r="AK797" s="152"/>
      <c r="BS797" s="120"/>
      <c r="BT797" s="120"/>
      <c r="BU797" s="120"/>
      <c r="BV797" s="120"/>
      <c r="BW797" s="120"/>
      <c r="BX797" s="120"/>
      <c r="BY797" s="120"/>
      <c r="BZ797" s="120"/>
      <c r="CA797" s="120"/>
      <c r="CB797" s="120"/>
      <c r="CC797" s="120"/>
      <c r="CD797" s="120"/>
      <c r="CE797" s="120"/>
    </row>
    <row r="798" ht="18.75" customHeight="1">
      <c r="C798" s="64"/>
      <c r="E798" s="64"/>
      <c r="F798" s="64"/>
      <c r="G798" s="64"/>
      <c r="AH798" s="152"/>
      <c r="AI798" s="152"/>
      <c r="AJ798" s="152"/>
      <c r="AK798" s="152"/>
      <c r="BS798" s="120"/>
      <c r="BT798" s="120"/>
      <c r="BU798" s="120"/>
      <c r="BV798" s="120"/>
      <c r="BW798" s="120"/>
      <c r="BX798" s="120"/>
      <c r="BY798" s="120"/>
      <c r="BZ798" s="120"/>
      <c r="CA798" s="120"/>
      <c r="CB798" s="120"/>
      <c r="CC798" s="120"/>
      <c r="CD798" s="120"/>
      <c r="CE798" s="120"/>
    </row>
    <row r="799" ht="18.75" customHeight="1">
      <c r="C799" s="64"/>
      <c r="E799" s="64"/>
      <c r="F799" s="64"/>
      <c r="G799" s="64"/>
      <c r="AH799" s="152"/>
      <c r="AI799" s="152"/>
      <c r="AJ799" s="152"/>
      <c r="AK799" s="152"/>
      <c r="BS799" s="120"/>
      <c r="BT799" s="120"/>
      <c r="BU799" s="120"/>
      <c r="BV799" s="120"/>
      <c r="BW799" s="120"/>
      <c r="BX799" s="120"/>
      <c r="BY799" s="120"/>
      <c r="BZ799" s="120"/>
      <c r="CA799" s="120"/>
      <c r="CB799" s="120"/>
      <c r="CC799" s="120"/>
      <c r="CD799" s="120"/>
      <c r="CE799" s="120"/>
    </row>
    <row r="800" ht="18.75" customHeight="1">
      <c r="C800" s="64"/>
      <c r="E800" s="64"/>
      <c r="F800" s="64"/>
      <c r="G800" s="64"/>
      <c r="AH800" s="152"/>
      <c r="AI800" s="152"/>
      <c r="AJ800" s="152"/>
      <c r="AK800" s="152"/>
      <c r="BS800" s="120"/>
      <c r="BT800" s="120"/>
      <c r="BU800" s="120"/>
      <c r="BV800" s="120"/>
      <c r="BW800" s="120"/>
      <c r="BX800" s="120"/>
      <c r="BY800" s="120"/>
      <c r="BZ800" s="120"/>
      <c r="CA800" s="120"/>
      <c r="CB800" s="120"/>
      <c r="CC800" s="120"/>
      <c r="CD800" s="120"/>
      <c r="CE800" s="120"/>
    </row>
    <row r="801" ht="18.75" customHeight="1">
      <c r="C801" s="64"/>
      <c r="E801" s="64"/>
      <c r="F801" s="64"/>
      <c r="G801" s="64"/>
      <c r="AH801" s="152"/>
      <c r="AI801" s="152"/>
      <c r="AJ801" s="152"/>
      <c r="AK801" s="152"/>
      <c r="BS801" s="120"/>
      <c r="BT801" s="120"/>
      <c r="BU801" s="120"/>
      <c r="BV801" s="120"/>
      <c r="BW801" s="120"/>
      <c r="BX801" s="120"/>
      <c r="BY801" s="120"/>
      <c r="BZ801" s="120"/>
      <c r="CA801" s="120"/>
      <c r="CB801" s="120"/>
      <c r="CC801" s="120"/>
      <c r="CD801" s="120"/>
      <c r="CE801" s="120"/>
    </row>
    <row r="802" ht="18.75" customHeight="1">
      <c r="C802" s="64"/>
      <c r="E802" s="64"/>
      <c r="F802" s="64"/>
      <c r="G802" s="64"/>
      <c r="AH802" s="152"/>
      <c r="AI802" s="152"/>
      <c r="AJ802" s="152"/>
      <c r="AK802" s="152"/>
      <c r="BS802" s="120"/>
      <c r="BT802" s="120"/>
      <c r="BU802" s="120"/>
      <c r="BV802" s="120"/>
      <c r="BW802" s="120"/>
      <c r="BX802" s="120"/>
      <c r="BY802" s="120"/>
      <c r="BZ802" s="120"/>
      <c r="CA802" s="120"/>
      <c r="CB802" s="120"/>
      <c r="CC802" s="120"/>
      <c r="CD802" s="120"/>
      <c r="CE802" s="120"/>
    </row>
    <row r="803" ht="18.75" customHeight="1">
      <c r="C803" s="64"/>
      <c r="E803" s="64"/>
      <c r="F803" s="64"/>
      <c r="G803" s="64"/>
      <c r="AH803" s="152"/>
      <c r="AI803" s="152"/>
      <c r="AJ803" s="152"/>
      <c r="AK803" s="152"/>
      <c r="BS803" s="120"/>
      <c r="BT803" s="120"/>
      <c r="BU803" s="120"/>
      <c r="BV803" s="120"/>
      <c r="BW803" s="120"/>
      <c r="BX803" s="120"/>
      <c r="BY803" s="120"/>
      <c r="BZ803" s="120"/>
      <c r="CA803" s="120"/>
      <c r="CB803" s="120"/>
      <c r="CC803" s="120"/>
      <c r="CD803" s="120"/>
      <c r="CE803" s="120"/>
    </row>
    <row r="804" ht="18.75" customHeight="1">
      <c r="C804" s="64"/>
      <c r="E804" s="64"/>
      <c r="F804" s="64"/>
      <c r="G804" s="64"/>
      <c r="AH804" s="152"/>
      <c r="AI804" s="152"/>
      <c r="AJ804" s="152"/>
      <c r="AK804" s="152"/>
      <c r="BS804" s="120"/>
      <c r="BT804" s="120"/>
      <c r="BU804" s="120"/>
      <c r="BV804" s="120"/>
      <c r="BW804" s="120"/>
      <c r="BX804" s="120"/>
      <c r="BY804" s="120"/>
      <c r="BZ804" s="120"/>
      <c r="CA804" s="120"/>
      <c r="CB804" s="120"/>
      <c r="CC804" s="120"/>
      <c r="CD804" s="120"/>
      <c r="CE804" s="120"/>
    </row>
    <row r="805" ht="18.75" customHeight="1">
      <c r="C805" s="64"/>
      <c r="E805" s="64"/>
      <c r="F805" s="64"/>
      <c r="G805" s="64"/>
      <c r="AH805" s="152"/>
      <c r="AI805" s="152"/>
      <c r="AJ805" s="152"/>
      <c r="AK805" s="152"/>
      <c r="BS805" s="120"/>
      <c r="BT805" s="120"/>
      <c r="BU805" s="120"/>
      <c r="BV805" s="120"/>
      <c r="BW805" s="120"/>
      <c r="BX805" s="120"/>
      <c r="BY805" s="120"/>
      <c r="BZ805" s="120"/>
      <c r="CA805" s="120"/>
      <c r="CB805" s="120"/>
      <c r="CC805" s="120"/>
      <c r="CD805" s="120"/>
      <c r="CE805" s="120"/>
    </row>
    <row r="806" ht="18.75" customHeight="1">
      <c r="C806" s="64"/>
      <c r="E806" s="64"/>
      <c r="F806" s="64"/>
      <c r="G806" s="64"/>
      <c r="AH806" s="152"/>
      <c r="AI806" s="152"/>
      <c r="AJ806" s="152"/>
      <c r="AK806" s="152"/>
      <c r="BS806" s="120"/>
      <c r="BT806" s="120"/>
      <c r="BU806" s="120"/>
      <c r="BV806" s="120"/>
      <c r="BW806" s="120"/>
      <c r="BX806" s="120"/>
      <c r="BY806" s="120"/>
      <c r="BZ806" s="120"/>
      <c r="CA806" s="120"/>
      <c r="CB806" s="120"/>
      <c r="CC806" s="120"/>
      <c r="CD806" s="120"/>
      <c r="CE806" s="120"/>
    </row>
    <row r="807" ht="18.75" customHeight="1">
      <c r="C807" s="64"/>
      <c r="E807" s="64"/>
      <c r="F807" s="64"/>
      <c r="G807" s="64"/>
      <c r="AH807" s="152"/>
      <c r="AI807" s="152"/>
      <c r="AJ807" s="152"/>
      <c r="AK807" s="152"/>
      <c r="BS807" s="120"/>
      <c r="BT807" s="120"/>
      <c r="BU807" s="120"/>
      <c r="BV807" s="120"/>
      <c r="BW807" s="120"/>
      <c r="BX807" s="120"/>
      <c r="BY807" s="120"/>
      <c r="BZ807" s="120"/>
      <c r="CA807" s="120"/>
      <c r="CB807" s="120"/>
      <c r="CC807" s="120"/>
      <c r="CD807" s="120"/>
      <c r="CE807" s="120"/>
    </row>
    <row r="808" ht="18.75" customHeight="1">
      <c r="C808" s="64"/>
      <c r="E808" s="64"/>
      <c r="F808" s="64"/>
      <c r="G808" s="64"/>
      <c r="AH808" s="152"/>
      <c r="AI808" s="152"/>
      <c r="AJ808" s="152"/>
      <c r="AK808" s="152"/>
      <c r="BS808" s="120"/>
      <c r="BT808" s="120"/>
      <c r="BU808" s="120"/>
      <c r="BV808" s="120"/>
      <c r="BW808" s="120"/>
      <c r="BX808" s="120"/>
      <c r="BY808" s="120"/>
      <c r="BZ808" s="120"/>
      <c r="CA808" s="120"/>
      <c r="CB808" s="120"/>
      <c r="CC808" s="120"/>
      <c r="CD808" s="120"/>
      <c r="CE808" s="120"/>
    </row>
    <row r="809" ht="18.75" customHeight="1">
      <c r="C809" s="64"/>
      <c r="E809" s="64"/>
      <c r="F809" s="64"/>
      <c r="G809" s="64"/>
      <c r="AH809" s="152"/>
      <c r="AI809" s="152"/>
      <c r="AJ809" s="152"/>
      <c r="AK809" s="152"/>
      <c r="BS809" s="120"/>
      <c r="BT809" s="120"/>
      <c r="BU809" s="120"/>
      <c r="BV809" s="120"/>
      <c r="BW809" s="120"/>
      <c r="BX809" s="120"/>
      <c r="BY809" s="120"/>
      <c r="BZ809" s="120"/>
      <c r="CA809" s="120"/>
      <c r="CB809" s="120"/>
      <c r="CC809" s="120"/>
      <c r="CD809" s="120"/>
      <c r="CE809" s="120"/>
    </row>
    <row r="810" ht="18.75" customHeight="1">
      <c r="C810" s="64"/>
      <c r="E810" s="64"/>
      <c r="F810" s="64"/>
      <c r="G810" s="64"/>
      <c r="AH810" s="152"/>
      <c r="AI810" s="152"/>
      <c r="AJ810" s="152"/>
      <c r="AK810" s="152"/>
      <c r="BS810" s="120"/>
      <c r="BT810" s="120"/>
      <c r="BU810" s="120"/>
      <c r="BV810" s="120"/>
      <c r="BW810" s="120"/>
      <c r="BX810" s="120"/>
      <c r="BY810" s="120"/>
      <c r="BZ810" s="120"/>
      <c r="CA810" s="120"/>
      <c r="CB810" s="120"/>
      <c r="CC810" s="120"/>
      <c r="CD810" s="120"/>
      <c r="CE810" s="120"/>
    </row>
    <row r="811" ht="18.75" customHeight="1">
      <c r="C811" s="64"/>
      <c r="E811" s="64"/>
      <c r="F811" s="64"/>
      <c r="G811" s="64"/>
      <c r="AH811" s="152"/>
      <c r="AI811" s="152"/>
      <c r="AJ811" s="152"/>
      <c r="AK811" s="152"/>
      <c r="BS811" s="120"/>
      <c r="BT811" s="120"/>
      <c r="BU811" s="120"/>
      <c r="BV811" s="120"/>
      <c r="BW811" s="120"/>
      <c r="BX811" s="120"/>
      <c r="BY811" s="120"/>
      <c r="BZ811" s="120"/>
      <c r="CA811" s="120"/>
      <c r="CB811" s="120"/>
      <c r="CC811" s="120"/>
      <c r="CD811" s="120"/>
      <c r="CE811" s="120"/>
    </row>
    <row r="812" ht="18.75" customHeight="1">
      <c r="C812" s="64"/>
      <c r="E812" s="64"/>
      <c r="F812" s="64"/>
      <c r="G812" s="64"/>
      <c r="AH812" s="152"/>
      <c r="AI812" s="152"/>
      <c r="AJ812" s="152"/>
      <c r="AK812" s="152"/>
      <c r="BS812" s="120"/>
      <c r="BT812" s="120"/>
      <c r="BU812" s="120"/>
      <c r="BV812" s="120"/>
      <c r="BW812" s="120"/>
      <c r="BX812" s="120"/>
      <c r="BY812" s="120"/>
      <c r="BZ812" s="120"/>
      <c r="CA812" s="120"/>
      <c r="CB812" s="120"/>
      <c r="CC812" s="120"/>
      <c r="CD812" s="120"/>
      <c r="CE812" s="120"/>
    </row>
    <row r="813" ht="18.75" customHeight="1">
      <c r="C813" s="64"/>
      <c r="E813" s="64"/>
      <c r="F813" s="64"/>
      <c r="G813" s="64"/>
      <c r="AH813" s="152"/>
      <c r="AI813" s="152"/>
      <c r="AJ813" s="152"/>
      <c r="AK813" s="152"/>
      <c r="BS813" s="120"/>
      <c r="BT813" s="120"/>
      <c r="BU813" s="120"/>
      <c r="BV813" s="120"/>
      <c r="BW813" s="120"/>
      <c r="BX813" s="120"/>
      <c r="BY813" s="120"/>
      <c r="BZ813" s="120"/>
      <c r="CA813" s="120"/>
      <c r="CB813" s="120"/>
      <c r="CC813" s="120"/>
      <c r="CD813" s="120"/>
      <c r="CE813" s="120"/>
    </row>
    <row r="814" ht="18.75" customHeight="1">
      <c r="C814" s="64"/>
      <c r="E814" s="64"/>
      <c r="F814" s="64"/>
      <c r="G814" s="64"/>
      <c r="AH814" s="152"/>
      <c r="AI814" s="152"/>
      <c r="AJ814" s="152"/>
      <c r="AK814" s="152"/>
      <c r="BS814" s="120"/>
      <c r="BT814" s="120"/>
      <c r="BU814" s="120"/>
      <c r="BV814" s="120"/>
      <c r="BW814" s="120"/>
      <c r="BX814" s="120"/>
      <c r="BY814" s="120"/>
      <c r="BZ814" s="120"/>
      <c r="CA814" s="120"/>
      <c r="CB814" s="120"/>
      <c r="CC814" s="120"/>
      <c r="CD814" s="120"/>
      <c r="CE814" s="120"/>
    </row>
    <row r="815" ht="18.75" customHeight="1">
      <c r="C815" s="64"/>
      <c r="E815" s="64"/>
      <c r="F815" s="64"/>
      <c r="G815" s="64"/>
      <c r="AH815" s="152"/>
      <c r="AI815" s="152"/>
      <c r="AJ815" s="152"/>
      <c r="AK815" s="152"/>
      <c r="BS815" s="120"/>
      <c r="BT815" s="120"/>
      <c r="BU815" s="120"/>
      <c r="BV815" s="120"/>
      <c r="BW815" s="120"/>
      <c r="BX815" s="120"/>
      <c r="BY815" s="120"/>
      <c r="BZ815" s="120"/>
      <c r="CA815" s="120"/>
      <c r="CB815" s="120"/>
      <c r="CC815" s="120"/>
      <c r="CD815" s="120"/>
      <c r="CE815" s="120"/>
    </row>
    <row r="816" ht="18.75" customHeight="1">
      <c r="C816" s="64"/>
      <c r="E816" s="64"/>
      <c r="F816" s="64"/>
      <c r="G816" s="64"/>
      <c r="AH816" s="152"/>
      <c r="AI816" s="152"/>
      <c r="AJ816" s="152"/>
      <c r="AK816" s="152"/>
      <c r="BS816" s="120"/>
      <c r="BT816" s="120"/>
      <c r="BU816" s="120"/>
      <c r="BV816" s="120"/>
      <c r="BW816" s="120"/>
      <c r="BX816" s="120"/>
      <c r="BY816" s="120"/>
      <c r="BZ816" s="120"/>
      <c r="CA816" s="120"/>
      <c r="CB816" s="120"/>
      <c r="CC816" s="120"/>
      <c r="CD816" s="120"/>
      <c r="CE816" s="120"/>
    </row>
    <row r="817" ht="18.75" customHeight="1">
      <c r="C817" s="64"/>
      <c r="E817" s="64"/>
      <c r="F817" s="64"/>
      <c r="G817" s="64"/>
      <c r="AH817" s="152"/>
      <c r="AI817" s="152"/>
      <c r="AJ817" s="152"/>
      <c r="AK817" s="152"/>
      <c r="BS817" s="120"/>
      <c r="BT817" s="120"/>
      <c r="BU817" s="120"/>
      <c r="BV817" s="120"/>
      <c r="BW817" s="120"/>
      <c r="BX817" s="120"/>
      <c r="BY817" s="120"/>
      <c r="BZ817" s="120"/>
      <c r="CA817" s="120"/>
      <c r="CB817" s="120"/>
      <c r="CC817" s="120"/>
      <c r="CD817" s="120"/>
      <c r="CE817" s="120"/>
    </row>
    <row r="818" ht="18.75" customHeight="1">
      <c r="C818" s="64"/>
      <c r="E818" s="64"/>
      <c r="F818" s="64"/>
      <c r="G818" s="64"/>
      <c r="AH818" s="152"/>
      <c r="AI818" s="152"/>
      <c r="AJ818" s="152"/>
      <c r="AK818" s="152"/>
      <c r="BS818" s="120"/>
      <c r="BT818" s="120"/>
      <c r="BU818" s="120"/>
      <c r="BV818" s="120"/>
      <c r="BW818" s="120"/>
      <c r="BX818" s="120"/>
      <c r="BY818" s="120"/>
      <c r="BZ818" s="120"/>
      <c r="CA818" s="120"/>
      <c r="CB818" s="120"/>
      <c r="CC818" s="120"/>
      <c r="CD818" s="120"/>
      <c r="CE818" s="120"/>
    </row>
    <row r="819" ht="18.75" customHeight="1">
      <c r="C819" s="64"/>
      <c r="E819" s="64"/>
      <c r="F819" s="64"/>
      <c r="G819" s="64"/>
      <c r="AH819" s="152"/>
      <c r="AI819" s="152"/>
      <c r="AJ819" s="152"/>
      <c r="AK819" s="152"/>
      <c r="BS819" s="120"/>
      <c r="BT819" s="120"/>
      <c r="BU819" s="120"/>
      <c r="BV819" s="120"/>
      <c r="BW819" s="120"/>
      <c r="BX819" s="120"/>
      <c r="BY819" s="120"/>
      <c r="BZ819" s="120"/>
      <c r="CA819" s="120"/>
      <c r="CB819" s="120"/>
      <c r="CC819" s="120"/>
      <c r="CD819" s="120"/>
      <c r="CE819" s="120"/>
    </row>
    <row r="820" ht="18.75" customHeight="1">
      <c r="C820" s="64"/>
      <c r="E820" s="64"/>
      <c r="F820" s="64"/>
      <c r="G820" s="64"/>
      <c r="AH820" s="152"/>
      <c r="AI820" s="152"/>
      <c r="AJ820" s="152"/>
      <c r="AK820" s="152"/>
      <c r="BS820" s="120"/>
      <c r="BT820" s="120"/>
      <c r="BU820" s="120"/>
      <c r="BV820" s="120"/>
      <c r="BW820" s="120"/>
      <c r="BX820" s="120"/>
      <c r="BY820" s="120"/>
      <c r="BZ820" s="120"/>
      <c r="CA820" s="120"/>
      <c r="CB820" s="120"/>
      <c r="CC820" s="120"/>
      <c r="CD820" s="120"/>
      <c r="CE820" s="120"/>
    </row>
    <row r="821" ht="18.75" customHeight="1">
      <c r="C821" s="64"/>
      <c r="E821" s="64"/>
      <c r="F821" s="64"/>
      <c r="G821" s="64"/>
      <c r="AH821" s="152"/>
      <c r="AI821" s="152"/>
      <c r="AJ821" s="152"/>
      <c r="AK821" s="152"/>
      <c r="BS821" s="120"/>
      <c r="BT821" s="120"/>
      <c r="BU821" s="120"/>
      <c r="BV821" s="120"/>
      <c r="BW821" s="120"/>
      <c r="BX821" s="120"/>
      <c r="BY821" s="120"/>
      <c r="BZ821" s="120"/>
      <c r="CA821" s="120"/>
      <c r="CB821" s="120"/>
      <c r="CC821" s="120"/>
      <c r="CD821" s="120"/>
      <c r="CE821" s="120"/>
    </row>
    <row r="822" ht="18.75" customHeight="1">
      <c r="C822" s="64"/>
      <c r="E822" s="64"/>
      <c r="F822" s="64"/>
      <c r="G822" s="64"/>
      <c r="AH822" s="152"/>
      <c r="AI822" s="152"/>
      <c r="AJ822" s="152"/>
      <c r="AK822" s="152"/>
      <c r="BS822" s="120"/>
      <c r="BT822" s="120"/>
      <c r="BU822" s="120"/>
      <c r="BV822" s="120"/>
      <c r="BW822" s="120"/>
      <c r="BX822" s="120"/>
      <c r="BY822" s="120"/>
      <c r="BZ822" s="120"/>
      <c r="CA822" s="120"/>
      <c r="CB822" s="120"/>
      <c r="CC822" s="120"/>
      <c r="CD822" s="120"/>
      <c r="CE822" s="120"/>
    </row>
    <row r="823" ht="18.75" customHeight="1">
      <c r="C823" s="64"/>
      <c r="E823" s="64"/>
      <c r="F823" s="64"/>
      <c r="G823" s="64"/>
      <c r="AH823" s="152"/>
      <c r="AI823" s="152"/>
      <c r="AJ823" s="152"/>
      <c r="AK823" s="152"/>
      <c r="BS823" s="120"/>
      <c r="BT823" s="120"/>
      <c r="BU823" s="120"/>
      <c r="BV823" s="120"/>
      <c r="BW823" s="120"/>
      <c r="BX823" s="120"/>
      <c r="BY823" s="120"/>
      <c r="BZ823" s="120"/>
      <c r="CA823" s="120"/>
      <c r="CB823" s="120"/>
      <c r="CC823" s="120"/>
      <c r="CD823" s="120"/>
      <c r="CE823" s="120"/>
    </row>
    <row r="824" ht="18.75" customHeight="1">
      <c r="C824" s="64"/>
      <c r="E824" s="64"/>
      <c r="F824" s="64"/>
      <c r="G824" s="64"/>
      <c r="AH824" s="152"/>
      <c r="AI824" s="152"/>
      <c r="AJ824" s="152"/>
      <c r="AK824" s="152"/>
      <c r="BS824" s="120"/>
      <c r="BT824" s="120"/>
      <c r="BU824" s="120"/>
      <c r="BV824" s="120"/>
      <c r="BW824" s="120"/>
      <c r="BX824" s="120"/>
      <c r="BY824" s="120"/>
      <c r="BZ824" s="120"/>
      <c r="CA824" s="120"/>
      <c r="CB824" s="120"/>
      <c r="CC824" s="120"/>
      <c r="CD824" s="120"/>
      <c r="CE824" s="120"/>
    </row>
    <row r="825" ht="18.75" customHeight="1">
      <c r="C825" s="64"/>
      <c r="E825" s="64"/>
      <c r="F825" s="64"/>
      <c r="G825" s="64"/>
      <c r="AH825" s="152"/>
      <c r="AI825" s="152"/>
      <c r="AJ825" s="152"/>
      <c r="AK825" s="152"/>
      <c r="BS825" s="120"/>
      <c r="BT825" s="120"/>
      <c r="BU825" s="120"/>
      <c r="BV825" s="120"/>
      <c r="BW825" s="120"/>
      <c r="BX825" s="120"/>
      <c r="BY825" s="120"/>
      <c r="BZ825" s="120"/>
      <c r="CA825" s="120"/>
      <c r="CB825" s="120"/>
      <c r="CC825" s="120"/>
      <c r="CD825" s="120"/>
      <c r="CE825" s="120"/>
    </row>
    <row r="826" ht="18.75" customHeight="1">
      <c r="C826" s="64"/>
      <c r="E826" s="64"/>
      <c r="F826" s="64"/>
      <c r="G826" s="64"/>
      <c r="AH826" s="152"/>
      <c r="AI826" s="152"/>
      <c r="AJ826" s="152"/>
      <c r="AK826" s="152"/>
      <c r="BS826" s="120"/>
      <c r="BT826" s="120"/>
      <c r="BU826" s="120"/>
      <c r="BV826" s="120"/>
      <c r="BW826" s="120"/>
      <c r="BX826" s="120"/>
      <c r="BY826" s="120"/>
      <c r="BZ826" s="120"/>
      <c r="CA826" s="120"/>
      <c r="CB826" s="120"/>
      <c r="CC826" s="120"/>
      <c r="CD826" s="120"/>
      <c r="CE826" s="120"/>
    </row>
    <row r="827" ht="18.75" customHeight="1">
      <c r="C827" s="64"/>
      <c r="E827" s="64"/>
      <c r="F827" s="64"/>
      <c r="G827" s="64"/>
      <c r="AH827" s="152"/>
      <c r="AI827" s="152"/>
      <c r="AJ827" s="152"/>
      <c r="AK827" s="152"/>
      <c r="BS827" s="120"/>
      <c r="BT827" s="120"/>
      <c r="BU827" s="120"/>
      <c r="BV827" s="120"/>
      <c r="BW827" s="120"/>
      <c r="BX827" s="120"/>
      <c r="BY827" s="120"/>
      <c r="BZ827" s="120"/>
      <c r="CA827" s="120"/>
      <c r="CB827" s="120"/>
      <c r="CC827" s="120"/>
      <c r="CD827" s="120"/>
      <c r="CE827" s="120"/>
    </row>
    <row r="828" ht="18.75" customHeight="1">
      <c r="C828" s="64"/>
      <c r="E828" s="64"/>
      <c r="F828" s="64"/>
      <c r="G828" s="64"/>
      <c r="AH828" s="152"/>
      <c r="AI828" s="152"/>
      <c r="AJ828" s="152"/>
      <c r="AK828" s="152"/>
      <c r="BS828" s="120"/>
      <c r="BT828" s="120"/>
      <c r="BU828" s="120"/>
      <c r="BV828" s="120"/>
      <c r="BW828" s="120"/>
      <c r="BX828" s="120"/>
      <c r="BY828" s="120"/>
      <c r="BZ828" s="120"/>
      <c r="CA828" s="120"/>
      <c r="CB828" s="120"/>
      <c r="CC828" s="120"/>
      <c r="CD828" s="120"/>
      <c r="CE828" s="120"/>
    </row>
    <row r="829" ht="18.75" customHeight="1">
      <c r="C829" s="64"/>
      <c r="E829" s="64"/>
      <c r="F829" s="64"/>
      <c r="G829" s="64"/>
      <c r="AH829" s="152"/>
      <c r="AI829" s="152"/>
      <c r="AJ829" s="152"/>
      <c r="AK829" s="152"/>
      <c r="BS829" s="120"/>
      <c r="BT829" s="120"/>
      <c r="BU829" s="120"/>
      <c r="BV829" s="120"/>
      <c r="BW829" s="120"/>
      <c r="BX829" s="120"/>
      <c r="BY829" s="120"/>
      <c r="BZ829" s="120"/>
      <c r="CA829" s="120"/>
      <c r="CB829" s="120"/>
      <c r="CC829" s="120"/>
      <c r="CD829" s="120"/>
      <c r="CE829" s="120"/>
    </row>
    <row r="830" ht="18.75" customHeight="1">
      <c r="C830" s="64"/>
      <c r="E830" s="64"/>
      <c r="F830" s="64"/>
      <c r="G830" s="64"/>
      <c r="AH830" s="152"/>
      <c r="AI830" s="152"/>
      <c r="AJ830" s="152"/>
      <c r="AK830" s="152"/>
      <c r="BS830" s="120"/>
      <c r="BT830" s="120"/>
      <c r="BU830" s="120"/>
      <c r="BV830" s="120"/>
      <c r="BW830" s="120"/>
      <c r="BX830" s="120"/>
      <c r="BY830" s="120"/>
      <c r="BZ830" s="120"/>
      <c r="CA830" s="120"/>
      <c r="CB830" s="120"/>
      <c r="CC830" s="120"/>
      <c r="CD830" s="120"/>
      <c r="CE830" s="120"/>
    </row>
    <row r="831" ht="18.75" customHeight="1">
      <c r="C831" s="64"/>
      <c r="E831" s="64"/>
      <c r="F831" s="64"/>
      <c r="G831" s="64"/>
      <c r="AH831" s="152"/>
      <c r="AI831" s="152"/>
      <c r="AJ831" s="152"/>
      <c r="AK831" s="152"/>
      <c r="BS831" s="120"/>
      <c r="BT831" s="120"/>
      <c r="BU831" s="120"/>
      <c r="BV831" s="120"/>
      <c r="BW831" s="120"/>
      <c r="BX831" s="120"/>
      <c r="BY831" s="120"/>
      <c r="BZ831" s="120"/>
      <c r="CA831" s="120"/>
      <c r="CB831" s="120"/>
      <c r="CC831" s="120"/>
      <c r="CD831" s="120"/>
      <c r="CE831" s="120"/>
    </row>
    <row r="832" ht="18.75" customHeight="1">
      <c r="C832" s="64"/>
      <c r="E832" s="64"/>
      <c r="F832" s="64"/>
      <c r="G832" s="64"/>
      <c r="AH832" s="152"/>
      <c r="AI832" s="152"/>
      <c r="AJ832" s="152"/>
      <c r="AK832" s="152"/>
      <c r="BS832" s="120"/>
      <c r="BT832" s="120"/>
      <c r="BU832" s="120"/>
      <c r="BV832" s="120"/>
      <c r="BW832" s="120"/>
      <c r="BX832" s="120"/>
      <c r="BY832" s="120"/>
      <c r="BZ832" s="120"/>
      <c r="CA832" s="120"/>
      <c r="CB832" s="120"/>
      <c r="CC832" s="120"/>
      <c r="CD832" s="120"/>
      <c r="CE832" s="120"/>
    </row>
    <row r="833" ht="18.75" customHeight="1">
      <c r="C833" s="64"/>
      <c r="E833" s="64"/>
      <c r="F833" s="64"/>
      <c r="G833" s="64"/>
      <c r="AH833" s="152"/>
      <c r="AI833" s="152"/>
      <c r="AJ833" s="152"/>
      <c r="AK833" s="152"/>
      <c r="BS833" s="120"/>
      <c r="BT833" s="120"/>
      <c r="BU833" s="120"/>
      <c r="BV833" s="120"/>
      <c r="BW833" s="120"/>
      <c r="BX833" s="120"/>
      <c r="BY833" s="120"/>
      <c r="BZ833" s="120"/>
      <c r="CA833" s="120"/>
      <c r="CB833" s="120"/>
      <c r="CC833" s="120"/>
      <c r="CD833" s="120"/>
      <c r="CE833" s="120"/>
    </row>
    <row r="834" ht="18.75" customHeight="1">
      <c r="C834" s="64"/>
      <c r="E834" s="64"/>
      <c r="F834" s="64"/>
      <c r="G834" s="64"/>
      <c r="AH834" s="152"/>
      <c r="AI834" s="152"/>
      <c r="AJ834" s="152"/>
      <c r="AK834" s="152"/>
      <c r="BS834" s="120"/>
      <c r="BT834" s="120"/>
      <c r="BU834" s="120"/>
      <c r="BV834" s="120"/>
      <c r="BW834" s="120"/>
      <c r="BX834" s="120"/>
      <c r="BY834" s="120"/>
      <c r="BZ834" s="120"/>
      <c r="CA834" s="120"/>
      <c r="CB834" s="120"/>
      <c r="CC834" s="120"/>
      <c r="CD834" s="120"/>
      <c r="CE834" s="120"/>
    </row>
    <row r="835" ht="18.75" customHeight="1">
      <c r="C835" s="64"/>
      <c r="E835" s="64"/>
      <c r="F835" s="64"/>
      <c r="G835" s="64"/>
      <c r="AH835" s="152"/>
      <c r="AI835" s="152"/>
      <c r="AJ835" s="152"/>
      <c r="AK835" s="152"/>
      <c r="BS835" s="120"/>
      <c r="BT835" s="120"/>
      <c r="BU835" s="120"/>
      <c r="BV835" s="120"/>
      <c r="BW835" s="120"/>
      <c r="BX835" s="120"/>
      <c r="BY835" s="120"/>
      <c r="BZ835" s="120"/>
      <c r="CA835" s="120"/>
      <c r="CB835" s="120"/>
      <c r="CC835" s="120"/>
      <c r="CD835" s="120"/>
      <c r="CE835" s="120"/>
    </row>
    <row r="836" ht="18.75" customHeight="1">
      <c r="C836" s="64"/>
      <c r="E836" s="64"/>
      <c r="F836" s="64"/>
      <c r="G836" s="64"/>
      <c r="AH836" s="152"/>
      <c r="AI836" s="152"/>
      <c r="AJ836" s="152"/>
      <c r="AK836" s="152"/>
      <c r="BS836" s="120"/>
      <c r="BT836" s="120"/>
      <c r="BU836" s="120"/>
      <c r="BV836" s="120"/>
      <c r="BW836" s="120"/>
      <c r="BX836" s="120"/>
      <c r="BY836" s="120"/>
      <c r="BZ836" s="120"/>
      <c r="CA836" s="120"/>
      <c r="CB836" s="120"/>
      <c r="CC836" s="120"/>
      <c r="CD836" s="120"/>
      <c r="CE836" s="120"/>
    </row>
    <row r="837" ht="18.75" customHeight="1">
      <c r="C837" s="64"/>
      <c r="E837" s="64"/>
      <c r="F837" s="64"/>
      <c r="G837" s="64"/>
      <c r="AH837" s="152"/>
      <c r="AI837" s="152"/>
      <c r="AJ837" s="152"/>
      <c r="AK837" s="152"/>
      <c r="BS837" s="120"/>
      <c r="BT837" s="120"/>
      <c r="BU837" s="120"/>
      <c r="BV837" s="120"/>
      <c r="BW837" s="120"/>
      <c r="BX837" s="120"/>
      <c r="BY837" s="120"/>
      <c r="BZ837" s="120"/>
      <c r="CA837" s="120"/>
      <c r="CB837" s="120"/>
      <c r="CC837" s="120"/>
      <c r="CD837" s="120"/>
      <c r="CE837" s="120"/>
    </row>
    <row r="838" ht="18.75" customHeight="1">
      <c r="C838" s="64"/>
      <c r="E838" s="64"/>
      <c r="F838" s="64"/>
      <c r="G838" s="64"/>
      <c r="AH838" s="152"/>
      <c r="AI838" s="152"/>
      <c r="AJ838" s="152"/>
      <c r="AK838" s="152"/>
      <c r="BS838" s="120"/>
      <c r="BT838" s="120"/>
      <c r="BU838" s="120"/>
      <c r="BV838" s="120"/>
      <c r="BW838" s="120"/>
      <c r="BX838" s="120"/>
      <c r="BY838" s="120"/>
      <c r="BZ838" s="120"/>
      <c r="CA838" s="120"/>
      <c r="CB838" s="120"/>
      <c r="CC838" s="120"/>
      <c r="CD838" s="120"/>
      <c r="CE838" s="120"/>
    </row>
    <row r="839" ht="18.75" customHeight="1">
      <c r="C839" s="64"/>
      <c r="E839" s="64"/>
      <c r="F839" s="64"/>
      <c r="G839" s="64"/>
      <c r="AH839" s="152"/>
      <c r="AI839" s="152"/>
      <c r="AJ839" s="152"/>
      <c r="AK839" s="152"/>
      <c r="BS839" s="120"/>
      <c r="BT839" s="120"/>
      <c r="BU839" s="120"/>
      <c r="BV839" s="120"/>
      <c r="BW839" s="120"/>
      <c r="BX839" s="120"/>
      <c r="BY839" s="120"/>
      <c r="BZ839" s="120"/>
      <c r="CA839" s="120"/>
      <c r="CB839" s="120"/>
      <c r="CC839" s="120"/>
      <c r="CD839" s="120"/>
      <c r="CE839" s="120"/>
    </row>
    <row r="840" ht="18.75" customHeight="1">
      <c r="C840" s="64"/>
      <c r="E840" s="64"/>
      <c r="F840" s="64"/>
      <c r="G840" s="64"/>
      <c r="AH840" s="152"/>
      <c r="AI840" s="152"/>
      <c r="AJ840" s="152"/>
      <c r="AK840" s="152"/>
      <c r="BS840" s="120"/>
      <c r="BT840" s="120"/>
      <c r="BU840" s="120"/>
      <c r="BV840" s="120"/>
      <c r="BW840" s="120"/>
      <c r="BX840" s="120"/>
      <c r="BY840" s="120"/>
      <c r="BZ840" s="120"/>
      <c r="CA840" s="120"/>
      <c r="CB840" s="120"/>
      <c r="CC840" s="120"/>
      <c r="CD840" s="120"/>
      <c r="CE840" s="120"/>
    </row>
    <row r="841" ht="18.75" customHeight="1">
      <c r="C841" s="64"/>
      <c r="E841" s="64"/>
      <c r="F841" s="64"/>
      <c r="G841" s="64"/>
      <c r="AH841" s="152"/>
      <c r="AI841" s="152"/>
      <c r="AJ841" s="152"/>
      <c r="AK841" s="152"/>
      <c r="BS841" s="120"/>
      <c r="BT841" s="120"/>
      <c r="BU841" s="120"/>
      <c r="BV841" s="120"/>
      <c r="BW841" s="120"/>
      <c r="BX841" s="120"/>
      <c r="BY841" s="120"/>
      <c r="BZ841" s="120"/>
      <c r="CA841" s="120"/>
      <c r="CB841" s="120"/>
      <c r="CC841" s="120"/>
      <c r="CD841" s="120"/>
      <c r="CE841" s="120"/>
    </row>
    <row r="842" ht="18.75" customHeight="1">
      <c r="C842" s="64"/>
      <c r="E842" s="64"/>
      <c r="F842" s="64"/>
      <c r="G842" s="64"/>
      <c r="AH842" s="152"/>
      <c r="AI842" s="152"/>
      <c r="AJ842" s="152"/>
      <c r="AK842" s="152"/>
      <c r="BS842" s="120"/>
      <c r="BT842" s="120"/>
      <c r="BU842" s="120"/>
      <c r="BV842" s="120"/>
      <c r="BW842" s="120"/>
      <c r="BX842" s="120"/>
      <c r="BY842" s="120"/>
      <c r="BZ842" s="120"/>
      <c r="CA842" s="120"/>
      <c r="CB842" s="120"/>
      <c r="CC842" s="120"/>
      <c r="CD842" s="120"/>
      <c r="CE842" s="120"/>
    </row>
    <row r="843" ht="18.75" customHeight="1">
      <c r="C843" s="64"/>
      <c r="E843" s="64"/>
      <c r="F843" s="64"/>
      <c r="G843" s="64"/>
      <c r="AH843" s="152"/>
      <c r="AI843" s="152"/>
      <c r="AJ843" s="152"/>
      <c r="AK843" s="152"/>
      <c r="BS843" s="120"/>
      <c r="BT843" s="120"/>
      <c r="BU843" s="120"/>
      <c r="BV843" s="120"/>
      <c r="BW843" s="120"/>
      <c r="BX843" s="120"/>
      <c r="BY843" s="120"/>
      <c r="BZ843" s="120"/>
      <c r="CA843" s="120"/>
      <c r="CB843" s="120"/>
      <c r="CC843" s="120"/>
      <c r="CD843" s="120"/>
      <c r="CE843" s="120"/>
    </row>
    <row r="844" ht="18.75" customHeight="1">
      <c r="C844" s="64"/>
      <c r="E844" s="64"/>
      <c r="F844" s="64"/>
      <c r="G844" s="64"/>
      <c r="AH844" s="152"/>
      <c r="AI844" s="152"/>
      <c r="AJ844" s="152"/>
      <c r="AK844" s="152"/>
      <c r="BS844" s="120"/>
      <c r="BT844" s="120"/>
      <c r="BU844" s="120"/>
      <c r="BV844" s="120"/>
      <c r="BW844" s="120"/>
      <c r="BX844" s="120"/>
      <c r="BY844" s="120"/>
      <c r="BZ844" s="120"/>
      <c r="CA844" s="120"/>
      <c r="CB844" s="120"/>
      <c r="CC844" s="120"/>
      <c r="CD844" s="120"/>
      <c r="CE844" s="120"/>
    </row>
    <row r="845" ht="18.75" customHeight="1">
      <c r="C845" s="64"/>
      <c r="E845" s="64"/>
      <c r="F845" s="64"/>
      <c r="G845" s="64"/>
      <c r="AH845" s="152"/>
      <c r="AI845" s="152"/>
      <c r="AJ845" s="152"/>
      <c r="AK845" s="152"/>
      <c r="BS845" s="120"/>
      <c r="BT845" s="120"/>
      <c r="BU845" s="120"/>
      <c r="BV845" s="120"/>
      <c r="BW845" s="120"/>
      <c r="BX845" s="120"/>
      <c r="BY845" s="120"/>
      <c r="BZ845" s="120"/>
      <c r="CA845" s="120"/>
      <c r="CB845" s="120"/>
      <c r="CC845" s="120"/>
      <c r="CD845" s="120"/>
      <c r="CE845" s="120"/>
    </row>
    <row r="846" ht="18.75" customHeight="1">
      <c r="C846" s="64"/>
      <c r="E846" s="64"/>
      <c r="F846" s="64"/>
      <c r="G846" s="64"/>
      <c r="AH846" s="152"/>
      <c r="AI846" s="152"/>
      <c r="AJ846" s="152"/>
      <c r="AK846" s="152"/>
      <c r="BS846" s="120"/>
      <c r="BT846" s="120"/>
      <c r="BU846" s="120"/>
      <c r="BV846" s="120"/>
      <c r="BW846" s="120"/>
      <c r="BX846" s="120"/>
      <c r="BY846" s="120"/>
      <c r="BZ846" s="120"/>
      <c r="CA846" s="120"/>
      <c r="CB846" s="120"/>
      <c r="CC846" s="120"/>
      <c r="CD846" s="120"/>
      <c r="CE846" s="120"/>
    </row>
    <row r="847" ht="18.75" customHeight="1">
      <c r="C847" s="64"/>
      <c r="E847" s="64"/>
      <c r="F847" s="64"/>
      <c r="G847" s="64"/>
      <c r="AH847" s="152"/>
      <c r="AI847" s="152"/>
      <c r="AJ847" s="152"/>
      <c r="AK847" s="152"/>
      <c r="BS847" s="120"/>
      <c r="BT847" s="120"/>
      <c r="BU847" s="120"/>
      <c r="BV847" s="120"/>
      <c r="BW847" s="120"/>
      <c r="BX847" s="120"/>
      <c r="BY847" s="120"/>
      <c r="BZ847" s="120"/>
      <c r="CA847" s="120"/>
      <c r="CB847" s="120"/>
      <c r="CC847" s="120"/>
      <c r="CD847" s="120"/>
      <c r="CE847" s="120"/>
    </row>
    <row r="848" ht="18.75" customHeight="1">
      <c r="C848" s="64"/>
      <c r="E848" s="64"/>
      <c r="F848" s="64"/>
      <c r="G848" s="64"/>
      <c r="AH848" s="152"/>
      <c r="AI848" s="152"/>
      <c r="AJ848" s="152"/>
      <c r="AK848" s="152"/>
      <c r="BS848" s="120"/>
      <c r="BT848" s="120"/>
      <c r="BU848" s="120"/>
      <c r="BV848" s="120"/>
      <c r="BW848" s="120"/>
      <c r="BX848" s="120"/>
      <c r="BY848" s="120"/>
      <c r="BZ848" s="120"/>
      <c r="CA848" s="120"/>
      <c r="CB848" s="120"/>
      <c r="CC848" s="120"/>
      <c r="CD848" s="120"/>
      <c r="CE848" s="120"/>
    </row>
    <row r="849" ht="18.75" customHeight="1">
      <c r="C849" s="64"/>
      <c r="E849" s="64"/>
      <c r="F849" s="64"/>
      <c r="G849" s="64"/>
      <c r="AH849" s="152"/>
      <c r="AI849" s="152"/>
      <c r="AJ849" s="152"/>
      <c r="AK849" s="152"/>
      <c r="BS849" s="120"/>
      <c r="BT849" s="120"/>
      <c r="BU849" s="120"/>
      <c r="BV849" s="120"/>
      <c r="BW849" s="120"/>
      <c r="BX849" s="120"/>
      <c r="BY849" s="120"/>
      <c r="BZ849" s="120"/>
      <c r="CA849" s="120"/>
      <c r="CB849" s="120"/>
      <c r="CC849" s="120"/>
      <c r="CD849" s="120"/>
      <c r="CE849" s="120"/>
    </row>
    <row r="850" ht="18.75" customHeight="1">
      <c r="C850" s="64"/>
      <c r="E850" s="64"/>
      <c r="F850" s="64"/>
      <c r="G850" s="64"/>
      <c r="AH850" s="152"/>
      <c r="AI850" s="152"/>
      <c r="AJ850" s="152"/>
      <c r="AK850" s="152"/>
      <c r="BS850" s="120"/>
      <c r="BT850" s="120"/>
      <c r="BU850" s="120"/>
      <c r="BV850" s="120"/>
      <c r="BW850" s="120"/>
      <c r="BX850" s="120"/>
      <c r="BY850" s="120"/>
      <c r="BZ850" s="120"/>
      <c r="CA850" s="120"/>
      <c r="CB850" s="120"/>
      <c r="CC850" s="120"/>
      <c r="CD850" s="120"/>
      <c r="CE850" s="120"/>
    </row>
    <row r="851" ht="18.75" customHeight="1">
      <c r="C851" s="64"/>
      <c r="E851" s="64"/>
      <c r="F851" s="64"/>
      <c r="G851" s="64"/>
      <c r="AH851" s="152"/>
      <c r="AI851" s="152"/>
      <c r="AJ851" s="152"/>
      <c r="AK851" s="152"/>
      <c r="BS851" s="120"/>
      <c r="BT851" s="120"/>
      <c r="BU851" s="120"/>
      <c r="BV851" s="120"/>
      <c r="BW851" s="120"/>
      <c r="BX851" s="120"/>
      <c r="BY851" s="120"/>
      <c r="BZ851" s="120"/>
      <c r="CA851" s="120"/>
      <c r="CB851" s="120"/>
      <c r="CC851" s="120"/>
      <c r="CD851" s="120"/>
      <c r="CE851" s="120"/>
    </row>
    <row r="852" ht="18.75" customHeight="1">
      <c r="C852" s="64"/>
      <c r="E852" s="64"/>
      <c r="F852" s="64"/>
      <c r="G852" s="64"/>
      <c r="AH852" s="152"/>
      <c r="AI852" s="152"/>
      <c r="AJ852" s="152"/>
      <c r="AK852" s="152"/>
      <c r="BS852" s="120"/>
      <c r="BT852" s="120"/>
      <c r="BU852" s="120"/>
      <c r="BV852" s="120"/>
      <c r="BW852" s="120"/>
      <c r="BX852" s="120"/>
      <c r="BY852" s="120"/>
      <c r="BZ852" s="120"/>
      <c r="CA852" s="120"/>
      <c r="CB852" s="120"/>
      <c r="CC852" s="120"/>
      <c r="CD852" s="120"/>
      <c r="CE852" s="120"/>
    </row>
    <row r="853" ht="18.75" customHeight="1">
      <c r="C853" s="64"/>
      <c r="E853" s="64"/>
      <c r="F853" s="64"/>
      <c r="G853" s="64"/>
      <c r="AH853" s="152"/>
      <c r="AI853" s="152"/>
      <c r="AJ853" s="152"/>
      <c r="AK853" s="152"/>
      <c r="BS853" s="120"/>
      <c r="BT853" s="120"/>
      <c r="BU853" s="120"/>
      <c r="BV853" s="120"/>
      <c r="BW853" s="120"/>
      <c r="BX853" s="120"/>
      <c r="BY853" s="120"/>
      <c r="BZ853" s="120"/>
      <c r="CA853" s="120"/>
      <c r="CB853" s="120"/>
      <c r="CC853" s="120"/>
      <c r="CD853" s="120"/>
      <c r="CE853" s="120"/>
    </row>
    <row r="854" ht="18.75" customHeight="1">
      <c r="C854" s="64"/>
      <c r="E854" s="64"/>
      <c r="F854" s="64"/>
      <c r="G854" s="64"/>
      <c r="AH854" s="152"/>
      <c r="AI854" s="152"/>
      <c r="AJ854" s="152"/>
      <c r="AK854" s="152"/>
      <c r="BS854" s="120"/>
      <c r="BT854" s="120"/>
      <c r="BU854" s="120"/>
      <c r="BV854" s="120"/>
      <c r="BW854" s="120"/>
      <c r="BX854" s="120"/>
      <c r="BY854" s="120"/>
      <c r="BZ854" s="120"/>
      <c r="CA854" s="120"/>
      <c r="CB854" s="120"/>
      <c r="CC854" s="120"/>
      <c r="CD854" s="120"/>
      <c r="CE854" s="120"/>
    </row>
    <row r="855" ht="18.75" customHeight="1">
      <c r="C855" s="64"/>
      <c r="E855" s="64"/>
      <c r="F855" s="64"/>
      <c r="G855" s="64"/>
      <c r="AH855" s="152"/>
      <c r="AI855" s="152"/>
      <c r="AJ855" s="152"/>
      <c r="AK855" s="152"/>
      <c r="BS855" s="120"/>
      <c r="BT855" s="120"/>
      <c r="BU855" s="120"/>
      <c r="BV855" s="120"/>
      <c r="BW855" s="120"/>
      <c r="BX855" s="120"/>
      <c r="BY855" s="120"/>
      <c r="BZ855" s="120"/>
      <c r="CA855" s="120"/>
      <c r="CB855" s="120"/>
      <c r="CC855" s="120"/>
      <c r="CD855" s="120"/>
      <c r="CE855" s="120"/>
    </row>
    <row r="856" ht="18.75" customHeight="1">
      <c r="C856" s="64"/>
      <c r="E856" s="64"/>
      <c r="F856" s="64"/>
      <c r="G856" s="64"/>
      <c r="AH856" s="152"/>
      <c r="AI856" s="152"/>
      <c r="AJ856" s="152"/>
      <c r="AK856" s="152"/>
      <c r="BS856" s="120"/>
      <c r="BT856" s="120"/>
      <c r="BU856" s="120"/>
      <c r="BV856" s="120"/>
      <c r="BW856" s="120"/>
      <c r="BX856" s="120"/>
      <c r="BY856" s="120"/>
      <c r="BZ856" s="120"/>
      <c r="CA856" s="120"/>
      <c r="CB856" s="120"/>
      <c r="CC856" s="120"/>
      <c r="CD856" s="120"/>
      <c r="CE856" s="120"/>
    </row>
    <row r="857" ht="18.75" customHeight="1">
      <c r="C857" s="64"/>
      <c r="E857" s="64"/>
      <c r="F857" s="64"/>
      <c r="G857" s="64"/>
      <c r="AH857" s="152"/>
      <c r="AI857" s="152"/>
      <c r="AJ857" s="152"/>
      <c r="AK857" s="152"/>
      <c r="BS857" s="120"/>
      <c r="BT857" s="120"/>
      <c r="BU857" s="120"/>
      <c r="BV857" s="120"/>
      <c r="BW857" s="120"/>
      <c r="BX857" s="120"/>
      <c r="BY857" s="120"/>
      <c r="BZ857" s="120"/>
      <c r="CA857" s="120"/>
      <c r="CB857" s="120"/>
      <c r="CC857" s="120"/>
      <c r="CD857" s="120"/>
      <c r="CE857" s="120"/>
    </row>
    <row r="858" ht="18.75" customHeight="1">
      <c r="C858" s="64"/>
      <c r="E858" s="64"/>
      <c r="F858" s="64"/>
      <c r="G858" s="64"/>
      <c r="AH858" s="152"/>
      <c r="AI858" s="152"/>
      <c r="AJ858" s="152"/>
      <c r="AK858" s="152"/>
      <c r="BS858" s="120"/>
      <c r="BT858" s="120"/>
      <c r="BU858" s="120"/>
      <c r="BV858" s="120"/>
      <c r="BW858" s="120"/>
      <c r="BX858" s="120"/>
      <c r="BY858" s="120"/>
      <c r="BZ858" s="120"/>
      <c r="CA858" s="120"/>
      <c r="CB858" s="120"/>
      <c r="CC858" s="120"/>
      <c r="CD858" s="120"/>
      <c r="CE858" s="120"/>
    </row>
    <row r="859" ht="18.75" customHeight="1">
      <c r="C859" s="64"/>
      <c r="E859" s="64"/>
      <c r="F859" s="64"/>
      <c r="G859" s="64"/>
      <c r="AH859" s="152"/>
      <c r="AI859" s="152"/>
      <c r="AJ859" s="152"/>
      <c r="AK859" s="152"/>
      <c r="BS859" s="120"/>
      <c r="BT859" s="120"/>
      <c r="BU859" s="120"/>
      <c r="BV859" s="120"/>
      <c r="BW859" s="120"/>
      <c r="BX859" s="120"/>
      <c r="BY859" s="120"/>
      <c r="BZ859" s="120"/>
      <c r="CA859" s="120"/>
      <c r="CB859" s="120"/>
      <c r="CC859" s="120"/>
      <c r="CD859" s="120"/>
      <c r="CE859" s="120"/>
    </row>
    <row r="860" ht="18.75" customHeight="1">
      <c r="C860" s="64"/>
      <c r="E860" s="64"/>
      <c r="F860" s="64"/>
      <c r="G860" s="64"/>
      <c r="AH860" s="152"/>
      <c r="AI860" s="152"/>
      <c r="AJ860" s="152"/>
      <c r="AK860" s="152"/>
      <c r="BS860" s="120"/>
      <c r="BT860" s="120"/>
      <c r="BU860" s="120"/>
      <c r="BV860" s="120"/>
      <c r="BW860" s="120"/>
      <c r="BX860" s="120"/>
      <c r="BY860" s="120"/>
      <c r="BZ860" s="120"/>
      <c r="CA860" s="120"/>
      <c r="CB860" s="120"/>
      <c r="CC860" s="120"/>
      <c r="CD860" s="120"/>
      <c r="CE860" s="120"/>
    </row>
    <row r="861" ht="18.75" customHeight="1">
      <c r="C861" s="64"/>
      <c r="E861" s="64"/>
      <c r="F861" s="64"/>
      <c r="G861" s="64"/>
      <c r="AH861" s="152"/>
      <c r="AI861" s="152"/>
      <c r="AJ861" s="152"/>
      <c r="AK861" s="152"/>
      <c r="BS861" s="120"/>
      <c r="BT861" s="120"/>
      <c r="BU861" s="120"/>
      <c r="BV861" s="120"/>
      <c r="BW861" s="120"/>
      <c r="BX861" s="120"/>
      <c r="BY861" s="120"/>
      <c r="BZ861" s="120"/>
      <c r="CA861" s="120"/>
      <c r="CB861" s="120"/>
      <c r="CC861" s="120"/>
      <c r="CD861" s="120"/>
      <c r="CE861" s="120"/>
    </row>
    <row r="862" ht="18.75" customHeight="1">
      <c r="C862" s="64"/>
      <c r="E862" s="64"/>
      <c r="F862" s="64"/>
      <c r="G862" s="64"/>
      <c r="AH862" s="152"/>
      <c r="AI862" s="152"/>
      <c r="AJ862" s="152"/>
      <c r="AK862" s="152"/>
      <c r="BS862" s="120"/>
      <c r="BT862" s="120"/>
      <c r="BU862" s="120"/>
      <c r="BV862" s="120"/>
      <c r="BW862" s="120"/>
      <c r="BX862" s="120"/>
      <c r="BY862" s="120"/>
      <c r="BZ862" s="120"/>
      <c r="CA862" s="120"/>
      <c r="CB862" s="120"/>
      <c r="CC862" s="120"/>
      <c r="CD862" s="120"/>
      <c r="CE862" s="120"/>
    </row>
    <row r="863" ht="18.75" customHeight="1">
      <c r="C863" s="64"/>
      <c r="E863" s="64"/>
      <c r="F863" s="64"/>
      <c r="G863" s="64"/>
      <c r="AH863" s="152"/>
      <c r="AI863" s="152"/>
      <c r="AJ863" s="152"/>
      <c r="AK863" s="152"/>
      <c r="BS863" s="120"/>
      <c r="BT863" s="120"/>
      <c r="BU863" s="120"/>
      <c r="BV863" s="120"/>
      <c r="BW863" s="120"/>
      <c r="BX863" s="120"/>
      <c r="BY863" s="120"/>
      <c r="BZ863" s="120"/>
      <c r="CA863" s="120"/>
      <c r="CB863" s="120"/>
      <c r="CC863" s="120"/>
      <c r="CD863" s="120"/>
      <c r="CE863" s="120"/>
    </row>
    <row r="864" ht="18.75" customHeight="1">
      <c r="C864" s="64"/>
      <c r="E864" s="64"/>
      <c r="F864" s="64"/>
      <c r="G864" s="64"/>
      <c r="AH864" s="152"/>
      <c r="AI864" s="152"/>
      <c r="AJ864" s="152"/>
      <c r="AK864" s="152"/>
      <c r="BS864" s="120"/>
      <c r="BT864" s="120"/>
      <c r="BU864" s="120"/>
      <c r="BV864" s="120"/>
      <c r="BW864" s="120"/>
      <c r="BX864" s="120"/>
      <c r="BY864" s="120"/>
      <c r="BZ864" s="120"/>
      <c r="CA864" s="120"/>
      <c r="CB864" s="120"/>
      <c r="CC864" s="120"/>
      <c r="CD864" s="120"/>
      <c r="CE864" s="120"/>
    </row>
    <row r="865" ht="18.75" customHeight="1">
      <c r="C865" s="64"/>
      <c r="E865" s="64"/>
      <c r="F865" s="64"/>
      <c r="G865" s="64"/>
      <c r="AH865" s="152"/>
      <c r="AI865" s="152"/>
      <c r="AJ865" s="152"/>
      <c r="AK865" s="152"/>
      <c r="BS865" s="120"/>
      <c r="BT865" s="120"/>
      <c r="BU865" s="120"/>
      <c r="BV865" s="120"/>
      <c r="BW865" s="120"/>
      <c r="BX865" s="120"/>
      <c r="BY865" s="120"/>
      <c r="BZ865" s="120"/>
      <c r="CA865" s="120"/>
      <c r="CB865" s="120"/>
      <c r="CC865" s="120"/>
      <c r="CD865" s="120"/>
      <c r="CE865" s="120"/>
    </row>
    <row r="866" ht="18.75" customHeight="1">
      <c r="C866" s="64"/>
      <c r="E866" s="64"/>
      <c r="F866" s="64"/>
      <c r="G866" s="64"/>
      <c r="AH866" s="152"/>
      <c r="AI866" s="152"/>
      <c r="AJ866" s="152"/>
      <c r="AK866" s="152"/>
      <c r="BS866" s="120"/>
      <c r="BT866" s="120"/>
      <c r="BU866" s="120"/>
      <c r="BV866" s="120"/>
      <c r="BW866" s="120"/>
      <c r="BX866" s="120"/>
      <c r="BY866" s="120"/>
      <c r="BZ866" s="120"/>
      <c r="CA866" s="120"/>
      <c r="CB866" s="120"/>
      <c r="CC866" s="120"/>
      <c r="CD866" s="120"/>
      <c r="CE866" s="120"/>
    </row>
    <row r="867" ht="18.75" customHeight="1">
      <c r="C867" s="64"/>
      <c r="E867" s="64"/>
      <c r="F867" s="64"/>
      <c r="G867" s="64"/>
      <c r="AH867" s="152"/>
      <c r="AI867" s="152"/>
      <c r="AJ867" s="152"/>
      <c r="AK867" s="152"/>
      <c r="BS867" s="120"/>
      <c r="BT867" s="120"/>
      <c r="BU867" s="120"/>
      <c r="BV867" s="120"/>
      <c r="BW867" s="120"/>
      <c r="BX867" s="120"/>
      <c r="BY867" s="120"/>
      <c r="BZ867" s="120"/>
      <c r="CA867" s="120"/>
      <c r="CB867" s="120"/>
      <c r="CC867" s="120"/>
      <c r="CD867" s="120"/>
      <c r="CE867" s="120"/>
    </row>
    <row r="868" ht="18.75" customHeight="1">
      <c r="C868" s="64"/>
      <c r="E868" s="64"/>
      <c r="F868" s="64"/>
      <c r="G868" s="64"/>
      <c r="AH868" s="152"/>
      <c r="AI868" s="152"/>
      <c r="AJ868" s="152"/>
      <c r="AK868" s="152"/>
      <c r="BS868" s="120"/>
      <c r="BT868" s="120"/>
      <c r="BU868" s="120"/>
      <c r="BV868" s="120"/>
      <c r="BW868" s="120"/>
      <c r="BX868" s="120"/>
      <c r="BY868" s="120"/>
      <c r="BZ868" s="120"/>
      <c r="CA868" s="120"/>
      <c r="CB868" s="120"/>
      <c r="CC868" s="120"/>
      <c r="CD868" s="120"/>
      <c r="CE868" s="120"/>
    </row>
    <row r="869" ht="18.75" customHeight="1">
      <c r="C869" s="64"/>
      <c r="E869" s="64"/>
      <c r="F869" s="64"/>
      <c r="G869" s="64"/>
      <c r="AH869" s="152"/>
      <c r="AI869" s="152"/>
      <c r="AJ869" s="152"/>
      <c r="AK869" s="152"/>
      <c r="BS869" s="120"/>
      <c r="BT869" s="120"/>
      <c r="BU869" s="120"/>
      <c r="BV869" s="120"/>
      <c r="BW869" s="120"/>
      <c r="BX869" s="120"/>
      <c r="BY869" s="120"/>
      <c r="BZ869" s="120"/>
      <c r="CA869" s="120"/>
      <c r="CB869" s="120"/>
      <c r="CC869" s="120"/>
      <c r="CD869" s="120"/>
      <c r="CE869" s="120"/>
    </row>
    <row r="870" ht="18.75" customHeight="1">
      <c r="C870" s="64"/>
      <c r="E870" s="64"/>
      <c r="F870" s="64"/>
      <c r="G870" s="64"/>
      <c r="AH870" s="152"/>
      <c r="AI870" s="152"/>
      <c r="AJ870" s="152"/>
      <c r="AK870" s="152"/>
      <c r="BS870" s="120"/>
      <c r="BT870" s="120"/>
      <c r="BU870" s="120"/>
      <c r="BV870" s="120"/>
      <c r="BW870" s="120"/>
      <c r="BX870" s="120"/>
      <c r="BY870" s="120"/>
      <c r="BZ870" s="120"/>
      <c r="CA870" s="120"/>
      <c r="CB870" s="120"/>
      <c r="CC870" s="120"/>
      <c r="CD870" s="120"/>
      <c r="CE870" s="120"/>
    </row>
    <row r="871" ht="18.75" customHeight="1">
      <c r="C871" s="64"/>
      <c r="E871" s="64"/>
      <c r="F871" s="64"/>
      <c r="G871" s="64"/>
      <c r="AH871" s="152"/>
      <c r="AI871" s="152"/>
      <c r="AJ871" s="152"/>
      <c r="AK871" s="152"/>
      <c r="BS871" s="120"/>
      <c r="BT871" s="120"/>
      <c r="BU871" s="120"/>
      <c r="BV871" s="120"/>
      <c r="BW871" s="120"/>
      <c r="BX871" s="120"/>
      <c r="BY871" s="120"/>
      <c r="BZ871" s="120"/>
      <c r="CA871" s="120"/>
      <c r="CB871" s="120"/>
      <c r="CC871" s="120"/>
      <c r="CD871" s="120"/>
      <c r="CE871" s="120"/>
    </row>
    <row r="872" ht="18.75" customHeight="1">
      <c r="C872" s="64"/>
      <c r="E872" s="64"/>
      <c r="F872" s="64"/>
      <c r="G872" s="64"/>
      <c r="AH872" s="152"/>
      <c r="AI872" s="152"/>
      <c r="AJ872" s="152"/>
      <c r="AK872" s="152"/>
      <c r="BS872" s="120"/>
      <c r="BT872" s="120"/>
      <c r="BU872" s="120"/>
      <c r="BV872" s="120"/>
      <c r="BW872" s="120"/>
      <c r="BX872" s="120"/>
      <c r="BY872" s="120"/>
      <c r="BZ872" s="120"/>
      <c r="CA872" s="120"/>
      <c r="CB872" s="120"/>
      <c r="CC872" s="120"/>
      <c r="CD872" s="120"/>
      <c r="CE872" s="120"/>
    </row>
    <row r="873" ht="18.75" customHeight="1">
      <c r="C873" s="64"/>
      <c r="E873" s="64"/>
      <c r="F873" s="64"/>
      <c r="G873" s="64"/>
      <c r="AH873" s="152"/>
      <c r="AI873" s="152"/>
      <c r="AJ873" s="152"/>
      <c r="AK873" s="152"/>
      <c r="BS873" s="120"/>
      <c r="BT873" s="120"/>
      <c r="BU873" s="120"/>
      <c r="BV873" s="120"/>
      <c r="BW873" s="120"/>
      <c r="BX873" s="120"/>
      <c r="BY873" s="120"/>
      <c r="BZ873" s="120"/>
      <c r="CA873" s="120"/>
      <c r="CB873" s="120"/>
      <c r="CC873" s="120"/>
      <c r="CD873" s="120"/>
      <c r="CE873" s="120"/>
    </row>
    <row r="874" ht="18.75" customHeight="1">
      <c r="C874" s="64"/>
      <c r="E874" s="64"/>
      <c r="F874" s="64"/>
      <c r="G874" s="64"/>
      <c r="AH874" s="152"/>
      <c r="AI874" s="152"/>
      <c r="AJ874" s="152"/>
      <c r="AK874" s="152"/>
      <c r="BS874" s="120"/>
      <c r="BT874" s="120"/>
      <c r="BU874" s="120"/>
      <c r="BV874" s="120"/>
      <c r="BW874" s="120"/>
      <c r="BX874" s="120"/>
      <c r="BY874" s="120"/>
      <c r="BZ874" s="120"/>
      <c r="CA874" s="120"/>
      <c r="CB874" s="120"/>
      <c r="CC874" s="120"/>
      <c r="CD874" s="120"/>
      <c r="CE874" s="120"/>
    </row>
    <row r="875" ht="18.75" customHeight="1">
      <c r="C875" s="64"/>
      <c r="E875" s="64"/>
      <c r="F875" s="64"/>
      <c r="G875" s="64"/>
      <c r="AH875" s="152"/>
      <c r="AI875" s="152"/>
      <c r="AJ875" s="152"/>
      <c r="AK875" s="152"/>
      <c r="BS875" s="120"/>
      <c r="BT875" s="120"/>
      <c r="BU875" s="120"/>
      <c r="BV875" s="120"/>
      <c r="BW875" s="120"/>
      <c r="BX875" s="120"/>
      <c r="BY875" s="120"/>
      <c r="BZ875" s="120"/>
      <c r="CA875" s="120"/>
      <c r="CB875" s="120"/>
      <c r="CC875" s="120"/>
      <c r="CD875" s="120"/>
      <c r="CE875" s="120"/>
    </row>
    <row r="876" ht="18.75" customHeight="1">
      <c r="C876" s="64"/>
      <c r="E876" s="64"/>
      <c r="F876" s="64"/>
      <c r="G876" s="64"/>
      <c r="AH876" s="152"/>
      <c r="AI876" s="152"/>
      <c r="AJ876" s="152"/>
      <c r="AK876" s="152"/>
      <c r="BS876" s="120"/>
      <c r="BT876" s="120"/>
      <c r="BU876" s="120"/>
      <c r="BV876" s="120"/>
      <c r="BW876" s="120"/>
      <c r="BX876" s="120"/>
      <c r="BY876" s="120"/>
      <c r="BZ876" s="120"/>
      <c r="CA876" s="120"/>
      <c r="CB876" s="120"/>
      <c r="CC876" s="120"/>
      <c r="CD876" s="120"/>
      <c r="CE876" s="120"/>
    </row>
    <row r="877" ht="18.75" customHeight="1">
      <c r="C877" s="64"/>
      <c r="E877" s="64"/>
      <c r="F877" s="64"/>
      <c r="G877" s="64"/>
      <c r="AH877" s="152"/>
      <c r="AI877" s="152"/>
      <c r="AJ877" s="152"/>
      <c r="AK877" s="152"/>
      <c r="BS877" s="120"/>
      <c r="BT877" s="120"/>
      <c r="BU877" s="120"/>
      <c r="BV877" s="120"/>
      <c r="BW877" s="120"/>
      <c r="BX877" s="120"/>
      <c r="BY877" s="120"/>
      <c r="BZ877" s="120"/>
      <c r="CA877" s="120"/>
      <c r="CB877" s="120"/>
      <c r="CC877" s="120"/>
      <c r="CD877" s="120"/>
      <c r="CE877" s="120"/>
    </row>
    <row r="878" ht="18.75" customHeight="1">
      <c r="C878" s="64"/>
      <c r="E878" s="64"/>
      <c r="F878" s="64"/>
      <c r="G878" s="64"/>
      <c r="AH878" s="152"/>
      <c r="AI878" s="152"/>
      <c r="AJ878" s="152"/>
      <c r="AK878" s="152"/>
      <c r="BS878" s="120"/>
      <c r="BT878" s="120"/>
      <c r="BU878" s="120"/>
      <c r="BV878" s="120"/>
      <c r="BW878" s="120"/>
      <c r="BX878" s="120"/>
      <c r="BY878" s="120"/>
      <c r="BZ878" s="120"/>
      <c r="CA878" s="120"/>
      <c r="CB878" s="120"/>
      <c r="CC878" s="120"/>
      <c r="CD878" s="120"/>
      <c r="CE878" s="120"/>
    </row>
    <row r="879" ht="18.75" customHeight="1">
      <c r="C879" s="64"/>
      <c r="E879" s="64"/>
      <c r="F879" s="64"/>
      <c r="G879" s="64"/>
      <c r="AH879" s="152"/>
      <c r="AI879" s="152"/>
      <c r="AJ879" s="152"/>
      <c r="AK879" s="152"/>
      <c r="BS879" s="120"/>
      <c r="BT879" s="120"/>
      <c r="BU879" s="120"/>
      <c r="BV879" s="120"/>
      <c r="BW879" s="120"/>
      <c r="BX879" s="120"/>
      <c r="BY879" s="120"/>
      <c r="BZ879" s="120"/>
      <c r="CA879" s="120"/>
      <c r="CB879" s="120"/>
      <c r="CC879" s="120"/>
      <c r="CD879" s="120"/>
      <c r="CE879" s="120"/>
    </row>
    <row r="880" ht="18.75" customHeight="1">
      <c r="C880" s="64"/>
      <c r="E880" s="64"/>
      <c r="F880" s="64"/>
      <c r="G880" s="64"/>
      <c r="AH880" s="152"/>
      <c r="AI880" s="152"/>
      <c r="AJ880" s="152"/>
      <c r="AK880" s="152"/>
      <c r="BS880" s="120"/>
      <c r="BT880" s="120"/>
      <c r="BU880" s="120"/>
      <c r="BV880" s="120"/>
      <c r="BW880" s="120"/>
      <c r="BX880" s="120"/>
      <c r="BY880" s="120"/>
      <c r="BZ880" s="120"/>
      <c r="CA880" s="120"/>
      <c r="CB880" s="120"/>
      <c r="CC880" s="120"/>
      <c r="CD880" s="120"/>
      <c r="CE880" s="120"/>
    </row>
    <row r="881" ht="18.75" customHeight="1">
      <c r="C881" s="64"/>
      <c r="E881" s="64"/>
      <c r="F881" s="64"/>
      <c r="G881" s="64"/>
      <c r="AH881" s="152"/>
      <c r="AI881" s="152"/>
      <c r="AJ881" s="152"/>
      <c r="AK881" s="152"/>
      <c r="BS881" s="120"/>
      <c r="BT881" s="120"/>
      <c r="BU881" s="120"/>
      <c r="BV881" s="120"/>
      <c r="BW881" s="120"/>
      <c r="BX881" s="120"/>
      <c r="BY881" s="120"/>
      <c r="BZ881" s="120"/>
      <c r="CA881" s="120"/>
      <c r="CB881" s="120"/>
      <c r="CC881" s="120"/>
      <c r="CD881" s="120"/>
      <c r="CE881" s="120"/>
    </row>
    <row r="882" ht="18.75" customHeight="1">
      <c r="C882" s="64"/>
      <c r="E882" s="64"/>
      <c r="F882" s="64"/>
      <c r="G882" s="64"/>
      <c r="AH882" s="152"/>
      <c r="AI882" s="152"/>
      <c r="AJ882" s="152"/>
      <c r="AK882" s="152"/>
      <c r="BS882" s="120"/>
      <c r="BT882" s="120"/>
      <c r="BU882" s="120"/>
      <c r="BV882" s="120"/>
      <c r="BW882" s="120"/>
      <c r="BX882" s="120"/>
      <c r="BY882" s="120"/>
      <c r="BZ882" s="120"/>
      <c r="CA882" s="120"/>
      <c r="CB882" s="120"/>
      <c r="CC882" s="120"/>
      <c r="CD882" s="120"/>
      <c r="CE882" s="120"/>
    </row>
    <row r="883" ht="18.75" customHeight="1">
      <c r="C883" s="64"/>
      <c r="E883" s="64"/>
      <c r="F883" s="64"/>
      <c r="G883" s="64"/>
      <c r="AH883" s="152"/>
      <c r="AI883" s="152"/>
      <c r="AJ883" s="152"/>
      <c r="AK883" s="152"/>
      <c r="BS883" s="120"/>
      <c r="BT883" s="120"/>
      <c r="BU883" s="120"/>
      <c r="BV883" s="120"/>
      <c r="BW883" s="120"/>
      <c r="BX883" s="120"/>
      <c r="BY883" s="120"/>
      <c r="BZ883" s="120"/>
      <c r="CA883" s="120"/>
      <c r="CB883" s="120"/>
      <c r="CC883" s="120"/>
      <c r="CD883" s="120"/>
      <c r="CE883" s="120"/>
    </row>
    <row r="884" ht="18.75" customHeight="1">
      <c r="C884" s="64"/>
      <c r="E884" s="64"/>
      <c r="F884" s="64"/>
      <c r="G884" s="64"/>
      <c r="AH884" s="152"/>
      <c r="AI884" s="152"/>
      <c r="AJ884" s="152"/>
      <c r="AK884" s="152"/>
      <c r="BS884" s="120"/>
      <c r="BT884" s="120"/>
      <c r="BU884" s="120"/>
      <c r="BV884" s="120"/>
      <c r="BW884" s="120"/>
      <c r="BX884" s="120"/>
      <c r="BY884" s="120"/>
      <c r="BZ884" s="120"/>
      <c r="CA884" s="120"/>
      <c r="CB884" s="120"/>
      <c r="CC884" s="120"/>
      <c r="CD884" s="120"/>
      <c r="CE884" s="120"/>
    </row>
    <row r="885" ht="18.75" customHeight="1">
      <c r="C885" s="64"/>
      <c r="E885" s="64"/>
      <c r="F885" s="64"/>
      <c r="G885" s="64"/>
      <c r="AH885" s="152"/>
      <c r="AI885" s="152"/>
      <c r="AJ885" s="152"/>
      <c r="AK885" s="152"/>
      <c r="BS885" s="120"/>
      <c r="BT885" s="120"/>
      <c r="BU885" s="120"/>
      <c r="BV885" s="120"/>
      <c r="BW885" s="120"/>
      <c r="BX885" s="120"/>
      <c r="BY885" s="120"/>
      <c r="BZ885" s="120"/>
      <c r="CA885" s="120"/>
      <c r="CB885" s="120"/>
      <c r="CC885" s="120"/>
      <c r="CD885" s="120"/>
      <c r="CE885" s="120"/>
    </row>
    <row r="886" ht="18.75" customHeight="1">
      <c r="C886" s="64"/>
      <c r="E886" s="64"/>
      <c r="F886" s="64"/>
      <c r="G886" s="64"/>
      <c r="AH886" s="152"/>
      <c r="AI886" s="152"/>
      <c r="AJ886" s="152"/>
      <c r="AK886" s="152"/>
      <c r="BS886" s="120"/>
      <c r="BT886" s="120"/>
      <c r="BU886" s="120"/>
      <c r="BV886" s="120"/>
      <c r="BW886" s="120"/>
      <c r="BX886" s="120"/>
      <c r="BY886" s="120"/>
      <c r="BZ886" s="120"/>
      <c r="CA886" s="120"/>
      <c r="CB886" s="120"/>
      <c r="CC886" s="120"/>
      <c r="CD886" s="120"/>
      <c r="CE886" s="120"/>
    </row>
    <row r="887" ht="18.75" customHeight="1">
      <c r="C887" s="64"/>
      <c r="E887" s="64"/>
      <c r="F887" s="64"/>
      <c r="G887" s="64"/>
      <c r="AH887" s="152"/>
      <c r="AI887" s="152"/>
      <c r="AJ887" s="152"/>
      <c r="AK887" s="152"/>
      <c r="BS887" s="120"/>
      <c r="BT887" s="120"/>
      <c r="BU887" s="120"/>
      <c r="BV887" s="120"/>
      <c r="BW887" s="120"/>
      <c r="BX887" s="120"/>
      <c r="BY887" s="120"/>
      <c r="BZ887" s="120"/>
      <c r="CA887" s="120"/>
      <c r="CB887" s="120"/>
      <c r="CC887" s="120"/>
      <c r="CD887" s="120"/>
      <c r="CE887" s="120"/>
    </row>
    <row r="888" ht="18.75" customHeight="1">
      <c r="C888" s="64"/>
      <c r="E888" s="64"/>
      <c r="F888" s="64"/>
      <c r="G888" s="64"/>
      <c r="AH888" s="152"/>
      <c r="AI888" s="152"/>
      <c r="AJ888" s="152"/>
      <c r="AK888" s="152"/>
      <c r="BS888" s="120"/>
      <c r="BT888" s="120"/>
      <c r="BU888" s="120"/>
      <c r="BV888" s="120"/>
      <c r="BW888" s="120"/>
      <c r="BX888" s="120"/>
      <c r="BY888" s="120"/>
      <c r="BZ888" s="120"/>
      <c r="CA888" s="120"/>
      <c r="CB888" s="120"/>
      <c r="CC888" s="120"/>
      <c r="CD888" s="120"/>
      <c r="CE888" s="120"/>
    </row>
    <row r="889" ht="18.75" customHeight="1">
      <c r="C889" s="64"/>
      <c r="E889" s="64"/>
      <c r="F889" s="64"/>
      <c r="G889" s="64"/>
      <c r="AH889" s="152"/>
      <c r="AI889" s="152"/>
      <c r="AJ889" s="152"/>
      <c r="AK889" s="152"/>
      <c r="BS889" s="120"/>
      <c r="BT889" s="120"/>
      <c r="BU889" s="120"/>
      <c r="BV889" s="120"/>
      <c r="BW889" s="120"/>
      <c r="BX889" s="120"/>
      <c r="BY889" s="120"/>
      <c r="BZ889" s="120"/>
      <c r="CA889" s="120"/>
      <c r="CB889" s="120"/>
      <c r="CC889" s="120"/>
      <c r="CD889" s="120"/>
      <c r="CE889" s="120"/>
    </row>
    <row r="890" ht="18.75" customHeight="1">
      <c r="C890" s="64"/>
      <c r="E890" s="64"/>
      <c r="F890" s="64"/>
      <c r="G890" s="64"/>
      <c r="AH890" s="152"/>
      <c r="AI890" s="152"/>
      <c r="AJ890" s="152"/>
      <c r="AK890" s="152"/>
      <c r="BS890" s="120"/>
      <c r="BT890" s="120"/>
      <c r="BU890" s="120"/>
      <c r="BV890" s="120"/>
      <c r="BW890" s="120"/>
      <c r="BX890" s="120"/>
      <c r="BY890" s="120"/>
      <c r="BZ890" s="120"/>
      <c r="CA890" s="120"/>
      <c r="CB890" s="120"/>
      <c r="CC890" s="120"/>
      <c r="CD890" s="120"/>
      <c r="CE890" s="120"/>
    </row>
    <row r="891" ht="18.75" customHeight="1">
      <c r="C891" s="64"/>
      <c r="E891" s="64"/>
      <c r="F891" s="64"/>
      <c r="G891" s="64"/>
      <c r="AH891" s="152"/>
      <c r="AI891" s="152"/>
      <c r="AJ891" s="152"/>
      <c r="AK891" s="152"/>
      <c r="BS891" s="120"/>
      <c r="BT891" s="120"/>
      <c r="BU891" s="120"/>
      <c r="BV891" s="120"/>
      <c r="BW891" s="120"/>
      <c r="BX891" s="120"/>
      <c r="BY891" s="120"/>
      <c r="BZ891" s="120"/>
      <c r="CA891" s="120"/>
      <c r="CB891" s="120"/>
      <c r="CC891" s="120"/>
      <c r="CD891" s="120"/>
      <c r="CE891" s="120"/>
    </row>
    <row r="892" ht="18.75" customHeight="1">
      <c r="C892" s="64"/>
      <c r="E892" s="64"/>
      <c r="F892" s="64"/>
      <c r="G892" s="64"/>
      <c r="AH892" s="152"/>
      <c r="AI892" s="152"/>
      <c r="AJ892" s="152"/>
      <c r="AK892" s="152"/>
      <c r="BS892" s="120"/>
      <c r="BT892" s="120"/>
      <c r="BU892" s="120"/>
      <c r="BV892" s="120"/>
      <c r="BW892" s="120"/>
      <c r="BX892" s="120"/>
      <c r="BY892" s="120"/>
      <c r="BZ892" s="120"/>
      <c r="CA892" s="120"/>
      <c r="CB892" s="120"/>
      <c r="CC892" s="120"/>
      <c r="CD892" s="120"/>
      <c r="CE892" s="120"/>
    </row>
    <row r="893" ht="18.75" customHeight="1">
      <c r="C893" s="64"/>
      <c r="E893" s="64"/>
      <c r="F893" s="64"/>
      <c r="G893" s="64"/>
      <c r="AH893" s="152"/>
      <c r="AI893" s="152"/>
      <c r="AJ893" s="152"/>
      <c r="AK893" s="152"/>
      <c r="BS893" s="120"/>
      <c r="BT893" s="120"/>
      <c r="BU893" s="120"/>
      <c r="BV893" s="120"/>
      <c r="BW893" s="120"/>
      <c r="BX893" s="120"/>
      <c r="BY893" s="120"/>
      <c r="BZ893" s="120"/>
      <c r="CA893" s="120"/>
      <c r="CB893" s="120"/>
      <c r="CC893" s="120"/>
      <c r="CD893" s="120"/>
      <c r="CE893" s="120"/>
    </row>
    <row r="894" ht="18.75" customHeight="1">
      <c r="C894" s="64"/>
      <c r="E894" s="64"/>
      <c r="F894" s="64"/>
      <c r="G894" s="64"/>
      <c r="AH894" s="152"/>
      <c r="AI894" s="152"/>
      <c r="AJ894" s="152"/>
      <c r="AK894" s="152"/>
      <c r="BS894" s="120"/>
      <c r="BT894" s="120"/>
      <c r="BU894" s="120"/>
      <c r="BV894" s="120"/>
      <c r="BW894" s="120"/>
      <c r="BX894" s="120"/>
      <c r="BY894" s="120"/>
      <c r="BZ894" s="120"/>
      <c r="CA894" s="120"/>
      <c r="CB894" s="120"/>
      <c r="CC894" s="120"/>
      <c r="CD894" s="120"/>
      <c r="CE894" s="120"/>
    </row>
    <row r="895" ht="18.75" customHeight="1">
      <c r="C895" s="64"/>
      <c r="E895" s="64"/>
      <c r="F895" s="64"/>
      <c r="G895" s="64"/>
      <c r="AH895" s="152"/>
      <c r="AI895" s="152"/>
      <c r="AJ895" s="152"/>
      <c r="AK895" s="152"/>
      <c r="BS895" s="120"/>
      <c r="BT895" s="120"/>
      <c r="BU895" s="120"/>
      <c r="BV895" s="120"/>
      <c r="BW895" s="120"/>
      <c r="BX895" s="120"/>
      <c r="BY895" s="120"/>
      <c r="BZ895" s="120"/>
      <c r="CA895" s="120"/>
      <c r="CB895" s="120"/>
      <c r="CC895" s="120"/>
      <c r="CD895" s="120"/>
      <c r="CE895" s="120"/>
    </row>
    <row r="896" ht="18.75" customHeight="1">
      <c r="C896" s="64"/>
      <c r="E896" s="64"/>
      <c r="F896" s="64"/>
      <c r="G896" s="64"/>
      <c r="AH896" s="152"/>
      <c r="AI896" s="152"/>
      <c r="AJ896" s="152"/>
      <c r="AK896" s="152"/>
      <c r="BS896" s="120"/>
      <c r="BT896" s="120"/>
      <c r="BU896" s="120"/>
      <c r="BV896" s="120"/>
      <c r="BW896" s="120"/>
      <c r="BX896" s="120"/>
      <c r="BY896" s="120"/>
      <c r="BZ896" s="120"/>
      <c r="CA896" s="120"/>
      <c r="CB896" s="120"/>
      <c r="CC896" s="120"/>
      <c r="CD896" s="120"/>
      <c r="CE896" s="120"/>
    </row>
    <row r="897" ht="18.75" customHeight="1">
      <c r="C897" s="64"/>
      <c r="E897" s="64"/>
      <c r="F897" s="64"/>
      <c r="G897" s="64"/>
      <c r="AH897" s="152"/>
      <c r="AI897" s="152"/>
      <c r="AJ897" s="152"/>
      <c r="AK897" s="152"/>
      <c r="BS897" s="120"/>
      <c r="BT897" s="120"/>
      <c r="BU897" s="120"/>
      <c r="BV897" s="120"/>
      <c r="BW897" s="120"/>
      <c r="BX897" s="120"/>
      <c r="BY897" s="120"/>
      <c r="BZ897" s="120"/>
      <c r="CA897" s="120"/>
      <c r="CB897" s="120"/>
      <c r="CC897" s="120"/>
      <c r="CD897" s="120"/>
      <c r="CE897" s="120"/>
    </row>
    <row r="898" ht="18.75" customHeight="1">
      <c r="C898" s="64"/>
      <c r="E898" s="64"/>
      <c r="F898" s="64"/>
      <c r="G898" s="64"/>
      <c r="AH898" s="152"/>
      <c r="AI898" s="152"/>
      <c r="AJ898" s="152"/>
      <c r="AK898" s="152"/>
      <c r="BS898" s="120"/>
      <c r="BT898" s="120"/>
      <c r="BU898" s="120"/>
      <c r="BV898" s="120"/>
      <c r="BW898" s="120"/>
      <c r="BX898" s="120"/>
      <c r="BY898" s="120"/>
      <c r="BZ898" s="120"/>
      <c r="CA898" s="120"/>
      <c r="CB898" s="120"/>
      <c r="CC898" s="120"/>
      <c r="CD898" s="120"/>
      <c r="CE898" s="120"/>
    </row>
    <row r="899" ht="18.75" customHeight="1">
      <c r="C899" s="64"/>
      <c r="E899" s="64"/>
      <c r="F899" s="64"/>
      <c r="G899" s="64"/>
      <c r="AH899" s="152"/>
      <c r="AI899" s="152"/>
      <c r="AJ899" s="152"/>
      <c r="AK899" s="152"/>
      <c r="BS899" s="120"/>
      <c r="BT899" s="120"/>
      <c r="BU899" s="120"/>
      <c r="BV899" s="120"/>
      <c r="BW899" s="120"/>
      <c r="BX899" s="120"/>
      <c r="BY899" s="120"/>
      <c r="BZ899" s="120"/>
      <c r="CA899" s="120"/>
      <c r="CB899" s="120"/>
      <c r="CC899" s="120"/>
      <c r="CD899" s="120"/>
      <c r="CE899" s="120"/>
    </row>
    <row r="900" ht="18.75" customHeight="1">
      <c r="C900" s="64"/>
      <c r="E900" s="64"/>
      <c r="F900" s="64"/>
      <c r="G900" s="64"/>
      <c r="AH900" s="152"/>
      <c r="AI900" s="152"/>
      <c r="AJ900" s="152"/>
      <c r="AK900" s="152"/>
      <c r="BS900" s="120"/>
      <c r="BT900" s="120"/>
      <c r="BU900" s="120"/>
      <c r="BV900" s="120"/>
      <c r="BW900" s="120"/>
      <c r="BX900" s="120"/>
      <c r="BY900" s="120"/>
      <c r="BZ900" s="120"/>
      <c r="CA900" s="120"/>
      <c r="CB900" s="120"/>
      <c r="CC900" s="120"/>
      <c r="CD900" s="120"/>
      <c r="CE900" s="120"/>
    </row>
    <row r="901" ht="18.75" customHeight="1">
      <c r="C901" s="64"/>
      <c r="E901" s="64"/>
      <c r="F901" s="64"/>
      <c r="G901" s="64"/>
      <c r="AH901" s="152"/>
      <c r="AI901" s="152"/>
      <c r="AJ901" s="152"/>
      <c r="AK901" s="152"/>
      <c r="BS901" s="120"/>
      <c r="BT901" s="120"/>
      <c r="BU901" s="120"/>
      <c r="BV901" s="120"/>
      <c r="BW901" s="120"/>
      <c r="BX901" s="120"/>
      <c r="BY901" s="120"/>
      <c r="BZ901" s="120"/>
      <c r="CA901" s="120"/>
      <c r="CB901" s="120"/>
      <c r="CC901" s="120"/>
      <c r="CD901" s="120"/>
      <c r="CE901" s="120"/>
    </row>
    <row r="902" ht="18.75" customHeight="1">
      <c r="C902" s="64"/>
      <c r="E902" s="64"/>
      <c r="F902" s="64"/>
      <c r="G902" s="64"/>
      <c r="AH902" s="152"/>
      <c r="AI902" s="152"/>
      <c r="AJ902" s="152"/>
      <c r="AK902" s="152"/>
      <c r="BS902" s="120"/>
      <c r="BT902" s="120"/>
      <c r="BU902" s="120"/>
      <c r="BV902" s="120"/>
      <c r="BW902" s="120"/>
      <c r="BX902" s="120"/>
      <c r="BY902" s="120"/>
      <c r="BZ902" s="120"/>
      <c r="CA902" s="120"/>
      <c r="CB902" s="120"/>
      <c r="CC902" s="120"/>
      <c r="CD902" s="120"/>
      <c r="CE902" s="120"/>
    </row>
    <row r="903" ht="18.75" customHeight="1">
      <c r="C903" s="64"/>
      <c r="E903" s="64"/>
      <c r="F903" s="64"/>
      <c r="G903" s="64"/>
      <c r="AH903" s="152"/>
      <c r="AI903" s="152"/>
      <c r="AJ903" s="152"/>
      <c r="AK903" s="152"/>
      <c r="BS903" s="120"/>
      <c r="BT903" s="120"/>
      <c r="BU903" s="120"/>
      <c r="BV903" s="120"/>
      <c r="BW903" s="120"/>
      <c r="BX903" s="120"/>
      <c r="BY903" s="120"/>
      <c r="BZ903" s="120"/>
      <c r="CA903" s="120"/>
      <c r="CB903" s="120"/>
      <c r="CC903" s="120"/>
      <c r="CD903" s="120"/>
      <c r="CE903" s="120"/>
    </row>
    <row r="904" ht="18.75" customHeight="1">
      <c r="C904" s="64"/>
      <c r="E904" s="64"/>
      <c r="F904" s="64"/>
      <c r="G904" s="64"/>
      <c r="AH904" s="152"/>
      <c r="AI904" s="152"/>
      <c r="AJ904" s="152"/>
      <c r="AK904" s="152"/>
      <c r="BS904" s="120"/>
      <c r="BT904" s="120"/>
      <c r="BU904" s="120"/>
      <c r="BV904" s="120"/>
      <c r="BW904" s="120"/>
      <c r="BX904" s="120"/>
      <c r="BY904" s="120"/>
      <c r="BZ904" s="120"/>
      <c r="CA904" s="120"/>
      <c r="CB904" s="120"/>
      <c r="CC904" s="120"/>
      <c r="CD904" s="120"/>
      <c r="CE904" s="120"/>
    </row>
    <row r="905" ht="18.75" customHeight="1">
      <c r="C905" s="64"/>
      <c r="E905" s="64"/>
      <c r="F905" s="64"/>
      <c r="G905" s="64"/>
      <c r="AH905" s="152"/>
      <c r="AI905" s="152"/>
      <c r="AJ905" s="152"/>
      <c r="AK905" s="152"/>
      <c r="BS905" s="120"/>
      <c r="BT905" s="120"/>
      <c r="BU905" s="120"/>
      <c r="BV905" s="120"/>
      <c r="BW905" s="120"/>
      <c r="BX905" s="120"/>
      <c r="BY905" s="120"/>
      <c r="BZ905" s="120"/>
      <c r="CA905" s="120"/>
      <c r="CB905" s="120"/>
      <c r="CC905" s="120"/>
      <c r="CD905" s="120"/>
      <c r="CE905" s="120"/>
    </row>
    <row r="906" ht="18.75" customHeight="1">
      <c r="C906" s="64"/>
      <c r="E906" s="64"/>
      <c r="F906" s="64"/>
      <c r="G906" s="64"/>
      <c r="AH906" s="152"/>
      <c r="AI906" s="152"/>
      <c r="AJ906" s="152"/>
      <c r="AK906" s="152"/>
      <c r="BS906" s="120"/>
      <c r="BT906" s="120"/>
      <c r="BU906" s="120"/>
      <c r="BV906" s="120"/>
      <c r="BW906" s="120"/>
      <c r="BX906" s="120"/>
      <c r="BY906" s="120"/>
      <c r="BZ906" s="120"/>
      <c r="CA906" s="120"/>
      <c r="CB906" s="120"/>
      <c r="CC906" s="120"/>
      <c r="CD906" s="120"/>
      <c r="CE906" s="120"/>
    </row>
    <row r="907" ht="18.75" customHeight="1">
      <c r="C907" s="64"/>
      <c r="E907" s="64"/>
      <c r="F907" s="64"/>
      <c r="G907" s="64"/>
      <c r="AH907" s="152"/>
      <c r="AI907" s="152"/>
      <c r="AJ907" s="152"/>
      <c r="AK907" s="152"/>
      <c r="BS907" s="120"/>
      <c r="BT907" s="120"/>
      <c r="BU907" s="120"/>
      <c r="BV907" s="120"/>
      <c r="BW907" s="120"/>
      <c r="BX907" s="120"/>
      <c r="BY907" s="120"/>
      <c r="BZ907" s="120"/>
      <c r="CA907" s="120"/>
      <c r="CB907" s="120"/>
      <c r="CC907" s="120"/>
      <c r="CD907" s="120"/>
      <c r="CE907" s="120"/>
    </row>
    <row r="908" ht="18.75" customHeight="1">
      <c r="C908" s="64"/>
      <c r="E908" s="64"/>
      <c r="F908" s="64"/>
      <c r="G908" s="64"/>
      <c r="AH908" s="152"/>
      <c r="AI908" s="152"/>
      <c r="AJ908" s="152"/>
      <c r="AK908" s="152"/>
      <c r="BS908" s="120"/>
      <c r="BT908" s="120"/>
      <c r="BU908" s="120"/>
      <c r="BV908" s="120"/>
      <c r="BW908" s="120"/>
      <c r="BX908" s="120"/>
      <c r="BY908" s="120"/>
      <c r="BZ908" s="120"/>
      <c r="CA908" s="120"/>
      <c r="CB908" s="120"/>
      <c r="CC908" s="120"/>
      <c r="CD908" s="120"/>
      <c r="CE908" s="120"/>
    </row>
    <row r="909" ht="18.75" customHeight="1">
      <c r="C909" s="64"/>
      <c r="E909" s="64"/>
      <c r="F909" s="64"/>
      <c r="G909" s="64"/>
      <c r="AH909" s="152"/>
      <c r="AI909" s="152"/>
      <c r="AJ909" s="152"/>
      <c r="AK909" s="152"/>
      <c r="BS909" s="120"/>
      <c r="BT909" s="120"/>
      <c r="BU909" s="120"/>
      <c r="BV909" s="120"/>
      <c r="BW909" s="120"/>
      <c r="BX909" s="120"/>
      <c r="BY909" s="120"/>
      <c r="BZ909" s="120"/>
      <c r="CA909" s="120"/>
      <c r="CB909" s="120"/>
      <c r="CC909" s="120"/>
      <c r="CD909" s="120"/>
      <c r="CE909" s="120"/>
    </row>
    <row r="910" ht="18.75" customHeight="1">
      <c r="C910" s="64"/>
      <c r="E910" s="64"/>
      <c r="F910" s="64"/>
      <c r="G910" s="64"/>
      <c r="AH910" s="152"/>
      <c r="AI910" s="152"/>
      <c r="AJ910" s="152"/>
      <c r="AK910" s="152"/>
      <c r="BS910" s="120"/>
      <c r="BT910" s="120"/>
      <c r="BU910" s="120"/>
      <c r="BV910" s="120"/>
      <c r="BW910" s="120"/>
      <c r="BX910" s="120"/>
      <c r="BY910" s="120"/>
      <c r="BZ910" s="120"/>
      <c r="CA910" s="120"/>
      <c r="CB910" s="120"/>
      <c r="CC910" s="120"/>
      <c r="CD910" s="120"/>
      <c r="CE910" s="120"/>
    </row>
    <row r="911" ht="18.75" customHeight="1">
      <c r="C911" s="64"/>
      <c r="E911" s="64"/>
      <c r="F911" s="64"/>
      <c r="G911" s="64"/>
      <c r="AH911" s="152"/>
      <c r="AI911" s="152"/>
      <c r="AJ911" s="152"/>
      <c r="AK911" s="152"/>
      <c r="BS911" s="120"/>
      <c r="BT911" s="120"/>
      <c r="BU911" s="120"/>
      <c r="BV911" s="120"/>
      <c r="BW911" s="120"/>
      <c r="BX911" s="120"/>
      <c r="BY911" s="120"/>
      <c r="BZ911" s="120"/>
      <c r="CA911" s="120"/>
      <c r="CB911" s="120"/>
      <c r="CC911" s="120"/>
      <c r="CD911" s="120"/>
      <c r="CE911" s="120"/>
    </row>
    <row r="912" ht="18.75" customHeight="1">
      <c r="C912" s="64"/>
      <c r="E912" s="64"/>
      <c r="F912" s="64"/>
      <c r="G912" s="64"/>
      <c r="AH912" s="152"/>
      <c r="AI912" s="152"/>
      <c r="AJ912" s="152"/>
      <c r="AK912" s="152"/>
      <c r="BS912" s="120"/>
      <c r="BT912" s="120"/>
      <c r="BU912" s="120"/>
      <c r="BV912" s="120"/>
      <c r="BW912" s="120"/>
      <c r="BX912" s="120"/>
      <c r="BY912" s="120"/>
      <c r="BZ912" s="120"/>
      <c r="CA912" s="120"/>
      <c r="CB912" s="120"/>
      <c r="CC912" s="120"/>
      <c r="CD912" s="120"/>
      <c r="CE912" s="120"/>
    </row>
    <row r="913" ht="18.75" customHeight="1">
      <c r="C913" s="64"/>
      <c r="E913" s="64"/>
      <c r="F913" s="64"/>
      <c r="G913" s="64"/>
      <c r="AH913" s="152"/>
      <c r="AI913" s="152"/>
      <c r="AJ913" s="152"/>
      <c r="AK913" s="152"/>
      <c r="BS913" s="120"/>
      <c r="BT913" s="120"/>
      <c r="BU913" s="120"/>
      <c r="BV913" s="120"/>
      <c r="BW913" s="120"/>
      <c r="BX913" s="120"/>
      <c r="BY913" s="120"/>
      <c r="BZ913" s="120"/>
      <c r="CA913" s="120"/>
      <c r="CB913" s="120"/>
      <c r="CC913" s="120"/>
      <c r="CD913" s="120"/>
      <c r="CE913" s="120"/>
    </row>
    <row r="914" ht="18.75" customHeight="1">
      <c r="C914" s="64"/>
      <c r="E914" s="64"/>
      <c r="F914" s="64"/>
      <c r="G914" s="64"/>
      <c r="AH914" s="152"/>
      <c r="AI914" s="152"/>
      <c r="AJ914" s="152"/>
      <c r="AK914" s="152"/>
      <c r="BS914" s="120"/>
      <c r="BT914" s="120"/>
      <c r="BU914" s="120"/>
      <c r="BV914" s="120"/>
      <c r="BW914" s="120"/>
      <c r="BX914" s="120"/>
      <c r="BY914" s="120"/>
      <c r="BZ914" s="120"/>
      <c r="CA914" s="120"/>
      <c r="CB914" s="120"/>
      <c r="CC914" s="120"/>
      <c r="CD914" s="120"/>
      <c r="CE914" s="120"/>
    </row>
    <row r="915" ht="18.75" customHeight="1">
      <c r="C915" s="64"/>
      <c r="E915" s="64"/>
      <c r="F915" s="64"/>
      <c r="G915" s="64"/>
      <c r="AH915" s="152"/>
      <c r="AI915" s="152"/>
      <c r="AJ915" s="152"/>
      <c r="AK915" s="152"/>
      <c r="BS915" s="120"/>
      <c r="BT915" s="120"/>
      <c r="BU915" s="120"/>
      <c r="BV915" s="120"/>
      <c r="BW915" s="120"/>
      <c r="BX915" s="120"/>
      <c r="BY915" s="120"/>
      <c r="BZ915" s="120"/>
      <c r="CA915" s="120"/>
      <c r="CB915" s="120"/>
      <c r="CC915" s="120"/>
      <c r="CD915" s="120"/>
      <c r="CE915" s="120"/>
    </row>
    <row r="916" ht="18.75" customHeight="1">
      <c r="C916" s="64"/>
      <c r="E916" s="64"/>
      <c r="F916" s="64"/>
      <c r="G916" s="64"/>
      <c r="AH916" s="152"/>
      <c r="AI916" s="152"/>
      <c r="AJ916" s="152"/>
      <c r="AK916" s="152"/>
      <c r="BS916" s="120"/>
      <c r="BT916" s="120"/>
      <c r="BU916" s="120"/>
      <c r="BV916" s="120"/>
      <c r="BW916" s="120"/>
      <c r="BX916" s="120"/>
      <c r="BY916" s="120"/>
      <c r="BZ916" s="120"/>
      <c r="CA916" s="120"/>
      <c r="CB916" s="120"/>
      <c r="CC916" s="120"/>
      <c r="CD916" s="120"/>
      <c r="CE916" s="120"/>
    </row>
    <row r="917" ht="18.75" customHeight="1">
      <c r="C917" s="64"/>
      <c r="E917" s="64"/>
      <c r="F917" s="64"/>
      <c r="G917" s="64"/>
      <c r="AH917" s="152"/>
      <c r="AI917" s="152"/>
      <c r="AJ917" s="152"/>
      <c r="AK917" s="152"/>
      <c r="BS917" s="120"/>
      <c r="BT917" s="120"/>
      <c r="BU917" s="120"/>
      <c r="BV917" s="120"/>
      <c r="BW917" s="120"/>
      <c r="BX917" s="120"/>
      <c r="BY917" s="120"/>
      <c r="BZ917" s="120"/>
      <c r="CA917" s="120"/>
      <c r="CB917" s="120"/>
      <c r="CC917" s="120"/>
      <c r="CD917" s="120"/>
      <c r="CE917" s="120"/>
    </row>
    <row r="918" ht="18.75" customHeight="1">
      <c r="C918" s="64"/>
      <c r="E918" s="64"/>
      <c r="F918" s="64"/>
      <c r="G918" s="64"/>
      <c r="AH918" s="152"/>
      <c r="AI918" s="152"/>
      <c r="AJ918" s="152"/>
      <c r="AK918" s="152"/>
      <c r="BS918" s="120"/>
      <c r="BT918" s="120"/>
      <c r="BU918" s="120"/>
      <c r="BV918" s="120"/>
      <c r="BW918" s="120"/>
      <c r="BX918" s="120"/>
      <c r="BY918" s="120"/>
      <c r="BZ918" s="120"/>
      <c r="CA918" s="120"/>
      <c r="CB918" s="120"/>
      <c r="CC918" s="120"/>
      <c r="CD918" s="120"/>
      <c r="CE918" s="120"/>
    </row>
    <row r="919" ht="18.75" customHeight="1">
      <c r="C919" s="64"/>
      <c r="E919" s="64"/>
      <c r="F919" s="64"/>
      <c r="G919" s="64"/>
      <c r="AH919" s="152"/>
      <c r="AI919" s="152"/>
      <c r="AJ919" s="152"/>
      <c r="AK919" s="152"/>
      <c r="BS919" s="120"/>
      <c r="BT919" s="120"/>
      <c r="BU919" s="120"/>
      <c r="BV919" s="120"/>
      <c r="BW919" s="120"/>
      <c r="BX919" s="120"/>
      <c r="BY919" s="120"/>
      <c r="BZ919" s="120"/>
      <c r="CA919" s="120"/>
      <c r="CB919" s="120"/>
      <c r="CC919" s="120"/>
      <c r="CD919" s="120"/>
      <c r="CE919" s="120"/>
    </row>
    <row r="920" ht="18.75" customHeight="1">
      <c r="C920" s="64"/>
      <c r="E920" s="64"/>
      <c r="F920" s="64"/>
      <c r="G920" s="64"/>
      <c r="AH920" s="152"/>
      <c r="AI920" s="152"/>
      <c r="AJ920" s="152"/>
      <c r="AK920" s="152"/>
      <c r="BS920" s="120"/>
      <c r="BT920" s="120"/>
      <c r="BU920" s="120"/>
      <c r="BV920" s="120"/>
      <c r="BW920" s="120"/>
      <c r="BX920" s="120"/>
      <c r="BY920" s="120"/>
      <c r="BZ920" s="120"/>
      <c r="CA920" s="120"/>
      <c r="CB920" s="120"/>
      <c r="CC920" s="120"/>
      <c r="CD920" s="120"/>
      <c r="CE920" s="120"/>
    </row>
    <row r="921" ht="18.75" customHeight="1">
      <c r="C921" s="64"/>
      <c r="E921" s="64"/>
      <c r="F921" s="64"/>
      <c r="G921" s="64"/>
      <c r="AH921" s="152"/>
      <c r="AI921" s="152"/>
      <c r="AJ921" s="152"/>
      <c r="AK921" s="152"/>
      <c r="BS921" s="120"/>
      <c r="BT921" s="120"/>
      <c r="BU921" s="120"/>
      <c r="BV921" s="120"/>
      <c r="BW921" s="120"/>
      <c r="BX921" s="120"/>
      <c r="BY921" s="120"/>
      <c r="BZ921" s="120"/>
      <c r="CA921" s="120"/>
      <c r="CB921" s="120"/>
      <c r="CC921" s="120"/>
      <c r="CD921" s="120"/>
      <c r="CE921" s="120"/>
    </row>
    <row r="922" ht="18.75" customHeight="1">
      <c r="C922" s="64"/>
      <c r="E922" s="64"/>
      <c r="F922" s="64"/>
      <c r="G922" s="64"/>
      <c r="AH922" s="152"/>
      <c r="AI922" s="152"/>
      <c r="AJ922" s="152"/>
      <c r="AK922" s="152"/>
      <c r="BS922" s="120"/>
      <c r="BT922" s="120"/>
      <c r="BU922" s="120"/>
      <c r="BV922" s="120"/>
      <c r="BW922" s="120"/>
      <c r="BX922" s="120"/>
      <c r="BY922" s="120"/>
      <c r="BZ922" s="120"/>
      <c r="CA922" s="120"/>
      <c r="CB922" s="120"/>
      <c r="CC922" s="120"/>
      <c r="CD922" s="120"/>
      <c r="CE922" s="120"/>
    </row>
    <row r="923" ht="18.75" customHeight="1">
      <c r="C923" s="64"/>
      <c r="E923" s="64"/>
      <c r="F923" s="64"/>
      <c r="G923" s="64"/>
      <c r="AH923" s="152"/>
      <c r="AI923" s="152"/>
      <c r="AJ923" s="152"/>
      <c r="AK923" s="152"/>
      <c r="BS923" s="120"/>
      <c r="BT923" s="120"/>
      <c r="BU923" s="120"/>
      <c r="BV923" s="120"/>
      <c r="BW923" s="120"/>
      <c r="BX923" s="120"/>
      <c r="BY923" s="120"/>
      <c r="BZ923" s="120"/>
      <c r="CA923" s="120"/>
      <c r="CB923" s="120"/>
      <c r="CC923" s="120"/>
      <c r="CD923" s="120"/>
      <c r="CE923" s="120"/>
    </row>
    <row r="924" ht="18.75" customHeight="1">
      <c r="C924" s="64"/>
      <c r="E924" s="64"/>
      <c r="F924" s="64"/>
      <c r="G924" s="64"/>
      <c r="AH924" s="152"/>
      <c r="AI924" s="152"/>
      <c r="AJ924" s="152"/>
      <c r="AK924" s="152"/>
      <c r="BS924" s="120"/>
      <c r="BT924" s="120"/>
      <c r="BU924" s="120"/>
      <c r="BV924" s="120"/>
      <c r="BW924" s="120"/>
      <c r="BX924" s="120"/>
      <c r="BY924" s="120"/>
      <c r="BZ924" s="120"/>
      <c r="CA924" s="120"/>
      <c r="CB924" s="120"/>
      <c r="CC924" s="120"/>
      <c r="CD924" s="120"/>
      <c r="CE924" s="120"/>
    </row>
    <row r="925" ht="18.75" customHeight="1">
      <c r="C925" s="64"/>
      <c r="E925" s="64"/>
      <c r="F925" s="64"/>
      <c r="G925" s="64"/>
      <c r="AH925" s="152"/>
      <c r="AI925" s="152"/>
      <c r="AJ925" s="152"/>
      <c r="AK925" s="152"/>
      <c r="BS925" s="120"/>
      <c r="BT925" s="120"/>
      <c r="BU925" s="120"/>
      <c r="BV925" s="120"/>
      <c r="BW925" s="120"/>
      <c r="BX925" s="120"/>
      <c r="BY925" s="120"/>
      <c r="BZ925" s="120"/>
      <c r="CA925" s="120"/>
      <c r="CB925" s="120"/>
      <c r="CC925" s="120"/>
      <c r="CD925" s="120"/>
      <c r="CE925" s="120"/>
    </row>
    <row r="926" ht="18.75" customHeight="1">
      <c r="C926" s="64"/>
      <c r="E926" s="64"/>
      <c r="F926" s="64"/>
      <c r="G926" s="64"/>
      <c r="AH926" s="152"/>
      <c r="AI926" s="152"/>
      <c r="AJ926" s="152"/>
      <c r="AK926" s="152"/>
      <c r="BS926" s="120"/>
      <c r="BT926" s="120"/>
      <c r="BU926" s="120"/>
      <c r="BV926" s="120"/>
      <c r="BW926" s="120"/>
      <c r="BX926" s="120"/>
      <c r="BY926" s="120"/>
      <c r="BZ926" s="120"/>
      <c r="CA926" s="120"/>
      <c r="CB926" s="120"/>
      <c r="CC926" s="120"/>
      <c r="CD926" s="120"/>
      <c r="CE926" s="120"/>
    </row>
    <row r="927" ht="18.75" customHeight="1">
      <c r="C927" s="64"/>
      <c r="E927" s="64"/>
      <c r="F927" s="64"/>
      <c r="G927" s="64"/>
      <c r="AH927" s="152"/>
      <c r="AI927" s="152"/>
      <c r="AJ927" s="152"/>
      <c r="AK927" s="152"/>
      <c r="BS927" s="120"/>
      <c r="BT927" s="120"/>
      <c r="BU927" s="120"/>
      <c r="BV927" s="120"/>
      <c r="BW927" s="120"/>
      <c r="BX927" s="120"/>
      <c r="BY927" s="120"/>
      <c r="BZ927" s="120"/>
      <c r="CA927" s="120"/>
      <c r="CB927" s="120"/>
      <c r="CC927" s="120"/>
      <c r="CD927" s="120"/>
      <c r="CE927" s="120"/>
    </row>
    <row r="928" ht="18.75" customHeight="1">
      <c r="C928" s="64"/>
      <c r="E928" s="64"/>
      <c r="F928" s="64"/>
      <c r="G928" s="64"/>
      <c r="AH928" s="152"/>
      <c r="AI928" s="152"/>
      <c r="AJ928" s="152"/>
      <c r="AK928" s="152"/>
      <c r="BS928" s="120"/>
      <c r="BT928" s="120"/>
      <c r="BU928" s="120"/>
      <c r="BV928" s="120"/>
      <c r="BW928" s="120"/>
      <c r="BX928" s="120"/>
      <c r="BY928" s="120"/>
      <c r="BZ928" s="120"/>
      <c r="CA928" s="120"/>
      <c r="CB928" s="120"/>
      <c r="CC928" s="120"/>
      <c r="CD928" s="120"/>
      <c r="CE928" s="120"/>
    </row>
    <row r="929" ht="18.75" customHeight="1">
      <c r="C929" s="64"/>
      <c r="E929" s="64"/>
      <c r="F929" s="64"/>
      <c r="G929" s="64"/>
      <c r="AH929" s="152"/>
      <c r="AI929" s="152"/>
      <c r="AJ929" s="152"/>
      <c r="AK929" s="152"/>
      <c r="BS929" s="120"/>
      <c r="BT929" s="120"/>
      <c r="BU929" s="120"/>
      <c r="BV929" s="120"/>
      <c r="BW929" s="120"/>
      <c r="BX929" s="120"/>
      <c r="BY929" s="120"/>
      <c r="BZ929" s="120"/>
      <c r="CA929" s="120"/>
      <c r="CB929" s="120"/>
      <c r="CC929" s="120"/>
      <c r="CD929" s="120"/>
      <c r="CE929" s="120"/>
    </row>
    <row r="930" ht="18.75" customHeight="1">
      <c r="C930" s="64"/>
      <c r="E930" s="64"/>
      <c r="F930" s="64"/>
      <c r="G930" s="64"/>
      <c r="AH930" s="152"/>
      <c r="AI930" s="152"/>
      <c r="AJ930" s="152"/>
      <c r="AK930" s="152"/>
      <c r="BS930" s="120"/>
      <c r="BT930" s="120"/>
      <c r="BU930" s="120"/>
      <c r="BV930" s="120"/>
      <c r="BW930" s="120"/>
      <c r="BX930" s="120"/>
      <c r="BY930" s="120"/>
      <c r="BZ930" s="120"/>
      <c r="CA930" s="120"/>
      <c r="CB930" s="120"/>
      <c r="CC930" s="120"/>
      <c r="CD930" s="120"/>
      <c r="CE930" s="120"/>
    </row>
    <row r="931" ht="18.75" customHeight="1">
      <c r="C931" s="64"/>
      <c r="E931" s="64"/>
      <c r="F931" s="64"/>
      <c r="G931" s="64"/>
      <c r="AH931" s="152"/>
      <c r="AI931" s="152"/>
      <c r="AJ931" s="152"/>
      <c r="AK931" s="152"/>
      <c r="BS931" s="120"/>
      <c r="BT931" s="120"/>
      <c r="BU931" s="120"/>
      <c r="BV931" s="120"/>
      <c r="BW931" s="120"/>
      <c r="BX931" s="120"/>
      <c r="BY931" s="120"/>
      <c r="BZ931" s="120"/>
      <c r="CA931" s="120"/>
      <c r="CB931" s="120"/>
      <c r="CC931" s="120"/>
      <c r="CD931" s="120"/>
      <c r="CE931" s="120"/>
    </row>
    <row r="932" ht="18.75" customHeight="1">
      <c r="C932" s="64"/>
      <c r="E932" s="64"/>
      <c r="F932" s="64"/>
      <c r="G932" s="64"/>
      <c r="AH932" s="152"/>
      <c r="AI932" s="152"/>
      <c r="AJ932" s="152"/>
      <c r="AK932" s="152"/>
      <c r="BS932" s="120"/>
      <c r="BT932" s="120"/>
      <c r="BU932" s="120"/>
      <c r="BV932" s="120"/>
      <c r="BW932" s="120"/>
      <c r="BX932" s="120"/>
      <c r="BY932" s="120"/>
      <c r="BZ932" s="120"/>
      <c r="CA932" s="120"/>
      <c r="CB932" s="120"/>
      <c r="CC932" s="120"/>
      <c r="CD932" s="120"/>
      <c r="CE932" s="120"/>
    </row>
    <row r="933" ht="18.75" customHeight="1">
      <c r="C933" s="64"/>
      <c r="E933" s="64"/>
      <c r="F933" s="64"/>
      <c r="G933" s="64"/>
      <c r="AH933" s="152"/>
      <c r="AI933" s="152"/>
      <c r="AJ933" s="152"/>
      <c r="AK933" s="152"/>
      <c r="BS933" s="120"/>
      <c r="BT933" s="120"/>
      <c r="BU933" s="120"/>
      <c r="BV933" s="120"/>
      <c r="BW933" s="120"/>
      <c r="BX933" s="120"/>
      <c r="BY933" s="120"/>
      <c r="BZ933" s="120"/>
      <c r="CA933" s="120"/>
      <c r="CB933" s="120"/>
      <c r="CC933" s="120"/>
      <c r="CD933" s="120"/>
      <c r="CE933" s="120"/>
    </row>
    <row r="934" ht="18.75" customHeight="1">
      <c r="C934" s="64"/>
      <c r="E934" s="64"/>
      <c r="F934" s="64"/>
      <c r="G934" s="64"/>
      <c r="AH934" s="152"/>
      <c r="AI934" s="152"/>
      <c r="AJ934" s="152"/>
      <c r="AK934" s="152"/>
      <c r="BS934" s="120"/>
      <c r="BT934" s="120"/>
      <c r="BU934" s="120"/>
      <c r="BV934" s="120"/>
      <c r="BW934" s="120"/>
      <c r="BX934" s="120"/>
      <c r="BY934" s="120"/>
      <c r="BZ934" s="120"/>
      <c r="CA934" s="120"/>
      <c r="CB934" s="120"/>
      <c r="CC934" s="120"/>
      <c r="CD934" s="120"/>
      <c r="CE934" s="120"/>
    </row>
    <row r="935" ht="18.75" customHeight="1">
      <c r="C935" s="64"/>
      <c r="E935" s="64"/>
      <c r="F935" s="64"/>
      <c r="G935" s="64"/>
      <c r="AH935" s="152"/>
      <c r="AI935" s="152"/>
      <c r="AJ935" s="152"/>
      <c r="AK935" s="152"/>
      <c r="BS935" s="120"/>
      <c r="BT935" s="120"/>
      <c r="BU935" s="120"/>
      <c r="BV935" s="120"/>
      <c r="BW935" s="120"/>
      <c r="BX935" s="120"/>
      <c r="BY935" s="120"/>
      <c r="BZ935" s="120"/>
      <c r="CA935" s="120"/>
      <c r="CB935" s="120"/>
      <c r="CC935" s="120"/>
      <c r="CD935" s="120"/>
      <c r="CE935" s="120"/>
    </row>
    <row r="936" ht="18.75" customHeight="1">
      <c r="C936" s="64"/>
      <c r="E936" s="64"/>
      <c r="F936" s="64"/>
      <c r="G936" s="64"/>
      <c r="AH936" s="152"/>
      <c r="AI936" s="152"/>
      <c r="AJ936" s="152"/>
      <c r="AK936" s="152"/>
      <c r="BS936" s="120"/>
      <c r="BT936" s="120"/>
      <c r="BU936" s="120"/>
      <c r="BV936" s="120"/>
      <c r="BW936" s="120"/>
      <c r="BX936" s="120"/>
      <c r="BY936" s="120"/>
      <c r="BZ936" s="120"/>
      <c r="CA936" s="120"/>
      <c r="CB936" s="120"/>
      <c r="CC936" s="120"/>
      <c r="CD936" s="120"/>
      <c r="CE936" s="120"/>
    </row>
    <row r="937" ht="18.75" customHeight="1">
      <c r="C937" s="64"/>
      <c r="E937" s="64"/>
      <c r="F937" s="64"/>
      <c r="G937" s="64"/>
      <c r="AH937" s="152"/>
      <c r="AI937" s="152"/>
      <c r="AJ937" s="152"/>
      <c r="AK937" s="152"/>
      <c r="BS937" s="120"/>
      <c r="BT937" s="120"/>
      <c r="BU937" s="120"/>
      <c r="BV937" s="120"/>
      <c r="BW937" s="120"/>
      <c r="BX937" s="120"/>
      <c r="BY937" s="120"/>
      <c r="BZ937" s="120"/>
      <c r="CA937" s="120"/>
      <c r="CB937" s="120"/>
      <c r="CC937" s="120"/>
      <c r="CD937" s="120"/>
      <c r="CE937" s="120"/>
    </row>
    <row r="938" ht="18.75" customHeight="1">
      <c r="C938" s="64"/>
      <c r="E938" s="64"/>
      <c r="F938" s="64"/>
      <c r="G938" s="64"/>
      <c r="AH938" s="152"/>
      <c r="AI938" s="152"/>
      <c r="AJ938" s="152"/>
      <c r="AK938" s="152"/>
      <c r="BS938" s="120"/>
      <c r="BT938" s="120"/>
      <c r="BU938" s="120"/>
      <c r="BV938" s="120"/>
      <c r="BW938" s="120"/>
      <c r="BX938" s="120"/>
      <c r="BY938" s="120"/>
      <c r="BZ938" s="120"/>
      <c r="CA938" s="120"/>
      <c r="CB938" s="120"/>
      <c r="CC938" s="120"/>
      <c r="CD938" s="120"/>
      <c r="CE938" s="120"/>
    </row>
    <row r="939" ht="18.75" customHeight="1">
      <c r="C939" s="64"/>
      <c r="E939" s="64"/>
      <c r="F939" s="64"/>
      <c r="G939" s="64"/>
      <c r="AH939" s="152"/>
      <c r="AI939" s="152"/>
      <c r="AJ939" s="152"/>
      <c r="AK939" s="152"/>
      <c r="BS939" s="120"/>
      <c r="BT939" s="120"/>
      <c r="BU939" s="120"/>
      <c r="BV939" s="120"/>
      <c r="BW939" s="120"/>
      <c r="BX939" s="120"/>
      <c r="BY939" s="120"/>
      <c r="BZ939" s="120"/>
      <c r="CA939" s="120"/>
      <c r="CB939" s="120"/>
      <c r="CC939" s="120"/>
      <c r="CD939" s="120"/>
      <c r="CE939" s="120"/>
    </row>
    <row r="940" ht="18.75" customHeight="1">
      <c r="C940" s="64"/>
      <c r="E940" s="64"/>
      <c r="F940" s="64"/>
      <c r="G940" s="64"/>
      <c r="AH940" s="152"/>
      <c r="AI940" s="152"/>
      <c r="AJ940" s="152"/>
      <c r="AK940" s="152"/>
      <c r="BS940" s="120"/>
      <c r="BT940" s="120"/>
      <c r="BU940" s="120"/>
      <c r="BV940" s="120"/>
      <c r="BW940" s="120"/>
      <c r="BX940" s="120"/>
      <c r="BY940" s="120"/>
      <c r="BZ940" s="120"/>
      <c r="CA940" s="120"/>
      <c r="CB940" s="120"/>
      <c r="CC940" s="120"/>
      <c r="CD940" s="120"/>
      <c r="CE940" s="120"/>
    </row>
    <row r="941" ht="18.75" customHeight="1">
      <c r="C941" s="64"/>
      <c r="E941" s="64"/>
      <c r="F941" s="64"/>
      <c r="G941" s="64"/>
      <c r="AH941" s="152"/>
      <c r="AI941" s="152"/>
      <c r="AJ941" s="152"/>
      <c r="AK941" s="152"/>
      <c r="BS941" s="120"/>
      <c r="BT941" s="120"/>
      <c r="BU941" s="120"/>
      <c r="BV941" s="120"/>
      <c r="BW941" s="120"/>
      <c r="BX941" s="120"/>
      <c r="BY941" s="120"/>
      <c r="BZ941" s="120"/>
      <c r="CA941" s="120"/>
      <c r="CB941" s="120"/>
      <c r="CC941" s="120"/>
      <c r="CD941" s="120"/>
      <c r="CE941" s="120"/>
    </row>
    <row r="942" ht="18.75" customHeight="1">
      <c r="C942" s="64"/>
      <c r="E942" s="64"/>
      <c r="F942" s="64"/>
      <c r="G942" s="64"/>
      <c r="AH942" s="152"/>
      <c r="AI942" s="152"/>
      <c r="AJ942" s="152"/>
      <c r="AK942" s="152"/>
      <c r="BS942" s="120"/>
      <c r="BT942" s="120"/>
      <c r="BU942" s="120"/>
      <c r="BV942" s="120"/>
      <c r="BW942" s="120"/>
      <c r="BX942" s="120"/>
      <c r="BY942" s="120"/>
      <c r="BZ942" s="120"/>
      <c r="CA942" s="120"/>
      <c r="CB942" s="120"/>
      <c r="CC942" s="120"/>
      <c r="CD942" s="120"/>
      <c r="CE942" s="120"/>
    </row>
    <row r="943" ht="18.75" customHeight="1">
      <c r="C943" s="64"/>
      <c r="E943" s="64"/>
      <c r="F943" s="64"/>
      <c r="G943" s="64"/>
      <c r="AH943" s="152"/>
      <c r="AI943" s="152"/>
      <c r="AJ943" s="152"/>
      <c r="AK943" s="152"/>
      <c r="BS943" s="120"/>
      <c r="BT943" s="120"/>
      <c r="BU943" s="120"/>
      <c r="BV943" s="120"/>
      <c r="BW943" s="120"/>
      <c r="BX943" s="120"/>
      <c r="BY943" s="120"/>
      <c r="BZ943" s="120"/>
      <c r="CA943" s="120"/>
      <c r="CB943" s="120"/>
      <c r="CC943" s="120"/>
      <c r="CD943" s="120"/>
      <c r="CE943" s="120"/>
    </row>
    <row r="944" ht="18.75" customHeight="1">
      <c r="C944" s="64"/>
      <c r="E944" s="64"/>
      <c r="F944" s="64"/>
      <c r="G944" s="64"/>
      <c r="AH944" s="152"/>
      <c r="AI944" s="152"/>
      <c r="AJ944" s="152"/>
      <c r="AK944" s="152"/>
      <c r="BS944" s="120"/>
      <c r="BT944" s="120"/>
      <c r="BU944" s="120"/>
      <c r="BV944" s="120"/>
      <c r="BW944" s="120"/>
      <c r="BX944" s="120"/>
      <c r="BY944" s="120"/>
      <c r="BZ944" s="120"/>
      <c r="CA944" s="120"/>
      <c r="CB944" s="120"/>
      <c r="CC944" s="120"/>
      <c r="CD944" s="120"/>
      <c r="CE944" s="120"/>
    </row>
    <row r="945" ht="18.75" customHeight="1">
      <c r="C945" s="64"/>
      <c r="E945" s="64"/>
      <c r="F945" s="64"/>
      <c r="G945" s="64"/>
      <c r="AH945" s="152"/>
      <c r="AI945" s="152"/>
      <c r="AJ945" s="152"/>
      <c r="AK945" s="152"/>
      <c r="BS945" s="120"/>
      <c r="BT945" s="120"/>
      <c r="BU945" s="120"/>
      <c r="BV945" s="120"/>
      <c r="BW945" s="120"/>
      <c r="BX945" s="120"/>
      <c r="BY945" s="120"/>
      <c r="BZ945" s="120"/>
      <c r="CA945" s="120"/>
      <c r="CB945" s="120"/>
      <c r="CC945" s="120"/>
      <c r="CD945" s="120"/>
      <c r="CE945" s="120"/>
    </row>
    <row r="946" ht="18.75" customHeight="1">
      <c r="C946" s="64"/>
      <c r="E946" s="64"/>
      <c r="F946" s="64"/>
      <c r="G946" s="64"/>
      <c r="AH946" s="152"/>
      <c r="AI946" s="152"/>
      <c r="AJ946" s="152"/>
      <c r="AK946" s="152"/>
      <c r="BS946" s="120"/>
      <c r="BT946" s="120"/>
      <c r="BU946" s="120"/>
      <c r="BV946" s="120"/>
      <c r="BW946" s="120"/>
      <c r="BX946" s="120"/>
      <c r="BY946" s="120"/>
      <c r="BZ946" s="120"/>
      <c r="CA946" s="120"/>
      <c r="CB946" s="120"/>
      <c r="CC946" s="120"/>
      <c r="CD946" s="120"/>
      <c r="CE946" s="120"/>
    </row>
    <row r="947" ht="18.75" customHeight="1">
      <c r="C947" s="64"/>
      <c r="E947" s="64"/>
      <c r="F947" s="64"/>
      <c r="G947" s="64"/>
      <c r="AH947" s="152"/>
      <c r="AI947" s="152"/>
      <c r="AJ947" s="152"/>
      <c r="AK947" s="152"/>
      <c r="BS947" s="120"/>
      <c r="BT947" s="120"/>
      <c r="BU947" s="120"/>
      <c r="BV947" s="120"/>
      <c r="BW947" s="120"/>
      <c r="BX947" s="120"/>
      <c r="BY947" s="120"/>
      <c r="BZ947" s="120"/>
      <c r="CA947" s="120"/>
      <c r="CB947" s="120"/>
      <c r="CC947" s="120"/>
      <c r="CD947" s="120"/>
      <c r="CE947" s="120"/>
    </row>
    <row r="948" ht="18.75" customHeight="1">
      <c r="C948" s="64"/>
      <c r="E948" s="64"/>
      <c r="F948" s="64"/>
      <c r="G948" s="64"/>
      <c r="AH948" s="152"/>
      <c r="AI948" s="152"/>
      <c r="AJ948" s="152"/>
      <c r="AK948" s="152"/>
      <c r="BS948" s="120"/>
      <c r="BT948" s="120"/>
      <c r="BU948" s="120"/>
      <c r="BV948" s="120"/>
      <c r="BW948" s="120"/>
      <c r="BX948" s="120"/>
      <c r="BY948" s="120"/>
      <c r="BZ948" s="120"/>
      <c r="CA948" s="120"/>
      <c r="CB948" s="120"/>
      <c r="CC948" s="120"/>
      <c r="CD948" s="120"/>
      <c r="CE948" s="120"/>
    </row>
    <row r="949" ht="18.75" customHeight="1">
      <c r="C949" s="64"/>
      <c r="E949" s="64"/>
      <c r="F949" s="64"/>
      <c r="G949" s="64"/>
      <c r="AH949" s="152"/>
      <c r="AI949" s="152"/>
      <c r="AJ949" s="152"/>
      <c r="AK949" s="152"/>
      <c r="BS949" s="120"/>
      <c r="BT949" s="120"/>
      <c r="BU949" s="120"/>
      <c r="BV949" s="120"/>
      <c r="BW949" s="120"/>
      <c r="BX949" s="120"/>
      <c r="BY949" s="120"/>
      <c r="BZ949" s="120"/>
      <c r="CA949" s="120"/>
      <c r="CB949" s="120"/>
      <c r="CC949" s="120"/>
      <c r="CD949" s="120"/>
      <c r="CE949" s="120"/>
    </row>
    <row r="950" ht="18.75" customHeight="1">
      <c r="C950" s="64"/>
      <c r="E950" s="64"/>
      <c r="F950" s="64"/>
      <c r="G950" s="64"/>
      <c r="AH950" s="152"/>
      <c r="AI950" s="152"/>
      <c r="AJ950" s="152"/>
      <c r="AK950" s="152"/>
      <c r="BS950" s="120"/>
      <c r="BT950" s="120"/>
      <c r="BU950" s="120"/>
      <c r="BV950" s="120"/>
      <c r="BW950" s="120"/>
      <c r="BX950" s="120"/>
      <c r="BY950" s="120"/>
      <c r="BZ950" s="120"/>
      <c r="CA950" s="120"/>
      <c r="CB950" s="120"/>
      <c r="CC950" s="120"/>
      <c r="CD950" s="120"/>
      <c r="CE950" s="120"/>
    </row>
    <row r="951" ht="18.75" customHeight="1">
      <c r="C951" s="64"/>
      <c r="E951" s="64"/>
      <c r="F951" s="64"/>
      <c r="G951" s="64"/>
      <c r="AH951" s="152"/>
      <c r="AI951" s="152"/>
      <c r="AJ951" s="152"/>
      <c r="AK951" s="152"/>
      <c r="BS951" s="120"/>
      <c r="BT951" s="120"/>
      <c r="BU951" s="120"/>
      <c r="BV951" s="120"/>
      <c r="BW951" s="120"/>
      <c r="BX951" s="120"/>
      <c r="BY951" s="120"/>
      <c r="BZ951" s="120"/>
      <c r="CA951" s="120"/>
      <c r="CB951" s="120"/>
      <c r="CC951" s="120"/>
      <c r="CD951" s="120"/>
      <c r="CE951" s="120"/>
    </row>
    <row r="952" ht="18.75" customHeight="1">
      <c r="C952" s="64"/>
      <c r="E952" s="64"/>
      <c r="F952" s="64"/>
      <c r="G952" s="64"/>
      <c r="AH952" s="152"/>
      <c r="AI952" s="152"/>
      <c r="AJ952" s="152"/>
      <c r="AK952" s="152"/>
      <c r="BS952" s="120"/>
      <c r="BT952" s="120"/>
      <c r="BU952" s="120"/>
      <c r="BV952" s="120"/>
      <c r="BW952" s="120"/>
      <c r="BX952" s="120"/>
      <c r="BY952" s="120"/>
      <c r="BZ952" s="120"/>
      <c r="CA952" s="120"/>
      <c r="CB952" s="120"/>
      <c r="CC952" s="120"/>
      <c r="CD952" s="120"/>
      <c r="CE952" s="120"/>
    </row>
    <row r="953" ht="18.75" customHeight="1">
      <c r="C953" s="64"/>
      <c r="E953" s="64"/>
      <c r="F953" s="64"/>
      <c r="G953" s="64"/>
      <c r="AH953" s="152"/>
      <c r="AI953" s="152"/>
      <c r="AJ953" s="152"/>
      <c r="AK953" s="152"/>
      <c r="BS953" s="120"/>
      <c r="BT953" s="120"/>
      <c r="BU953" s="120"/>
      <c r="BV953" s="120"/>
      <c r="BW953" s="120"/>
      <c r="BX953" s="120"/>
      <c r="BY953" s="120"/>
      <c r="BZ953" s="120"/>
      <c r="CA953" s="120"/>
      <c r="CB953" s="120"/>
      <c r="CC953" s="120"/>
      <c r="CD953" s="120"/>
      <c r="CE953" s="120"/>
    </row>
    <row r="954" ht="18.75" customHeight="1">
      <c r="C954" s="64"/>
      <c r="E954" s="64"/>
      <c r="F954" s="64"/>
      <c r="G954" s="64"/>
      <c r="AH954" s="152"/>
      <c r="AI954" s="152"/>
      <c r="AJ954" s="152"/>
      <c r="AK954" s="152"/>
      <c r="BS954" s="120"/>
      <c r="BT954" s="120"/>
      <c r="BU954" s="120"/>
      <c r="BV954" s="120"/>
      <c r="BW954" s="120"/>
      <c r="BX954" s="120"/>
      <c r="BY954" s="120"/>
      <c r="BZ954" s="120"/>
      <c r="CA954" s="120"/>
      <c r="CB954" s="120"/>
      <c r="CC954" s="120"/>
      <c r="CD954" s="120"/>
      <c r="CE954" s="120"/>
    </row>
    <row r="955" ht="18.75" customHeight="1">
      <c r="C955" s="64"/>
      <c r="E955" s="64"/>
      <c r="F955" s="64"/>
      <c r="G955" s="64"/>
      <c r="AH955" s="152"/>
      <c r="AI955" s="152"/>
      <c r="AJ955" s="152"/>
      <c r="AK955" s="152"/>
      <c r="BS955" s="120"/>
      <c r="BT955" s="120"/>
      <c r="BU955" s="120"/>
      <c r="BV955" s="120"/>
      <c r="BW955" s="120"/>
      <c r="BX955" s="120"/>
      <c r="BY955" s="120"/>
      <c r="BZ955" s="120"/>
      <c r="CA955" s="120"/>
      <c r="CB955" s="120"/>
      <c r="CC955" s="120"/>
      <c r="CD955" s="120"/>
      <c r="CE955" s="120"/>
    </row>
    <row r="956" ht="18.75" customHeight="1">
      <c r="C956" s="64"/>
      <c r="E956" s="64"/>
      <c r="F956" s="64"/>
      <c r="G956" s="64"/>
      <c r="AH956" s="152"/>
      <c r="AI956" s="152"/>
      <c r="AJ956" s="152"/>
      <c r="AK956" s="152"/>
      <c r="BS956" s="120"/>
      <c r="BT956" s="120"/>
      <c r="BU956" s="120"/>
      <c r="BV956" s="120"/>
      <c r="BW956" s="120"/>
      <c r="BX956" s="120"/>
      <c r="BY956" s="120"/>
      <c r="BZ956" s="120"/>
      <c r="CA956" s="120"/>
      <c r="CB956" s="120"/>
      <c r="CC956" s="120"/>
      <c r="CD956" s="120"/>
      <c r="CE956" s="120"/>
    </row>
    <row r="957" ht="18.75" customHeight="1">
      <c r="C957" s="64"/>
      <c r="E957" s="64"/>
      <c r="F957" s="64"/>
      <c r="G957" s="64"/>
      <c r="AH957" s="152"/>
      <c r="AI957" s="152"/>
      <c r="AJ957" s="152"/>
      <c r="AK957" s="152"/>
      <c r="BS957" s="120"/>
      <c r="BT957" s="120"/>
      <c r="BU957" s="120"/>
      <c r="BV957" s="120"/>
      <c r="BW957" s="120"/>
      <c r="BX957" s="120"/>
      <c r="BY957" s="120"/>
      <c r="BZ957" s="120"/>
      <c r="CA957" s="120"/>
      <c r="CB957" s="120"/>
      <c r="CC957" s="120"/>
      <c r="CD957" s="120"/>
      <c r="CE957" s="120"/>
    </row>
    <row r="958" ht="18.75" customHeight="1">
      <c r="C958" s="64"/>
      <c r="E958" s="64"/>
      <c r="F958" s="64"/>
      <c r="G958" s="64"/>
      <c r="AH958" s="152"/>
      <c r="AI958" s="152"/>
      <c r="AJ958" s="152"/>
      <c r="AK958" s="152"/>
      <c r="BS958" s="120"/>
      <c r="BT958" s="120"/>
      <c r="BU958" s="120"/>
      <c r="BV958" s="120"/>
      <c r="BW958" s="120"/>
      <c r="BX958" s="120"/>
      <c r="BY958" s="120"/>
      <c r="BZ958" s="120"/>
      <c r="CA958" s="120"/>
      <c r="CB958" s="120"/>
      <c r="CC958" s="120"/>
      <c r="CD958" s="120"/>
      <c r="CE958" s="120"/>
    </row>
    <row r="959" ht="18.75" customHeight="1">
      <c r="C959" s="64"/>
      <c r="E959" s="64"/>
      <c r="F959" s="64"/>
      <c r="G959" s="64"/>
      <c r="AH959" s="152"/>
      <c r="AI959" s="152"/>
      <c r="AJ959" s="152"/>
      <c r="AK959" s="152"/>
      <c r="BS959" s="120"/>
      <c r="BT959" s="120"/>
      <c r="BU959" s="120"/>
      <c r="BV959" s="120"/>
      <c r="BW959" s="120"/>
      <c r="BX959" s="120"/>
      <c r="BY959" s="120"/>
      <c r="BZ959" s="120"/>
      <c r="CA959" s="120"/>
      <c r="CB959" s="120"/>
      <c r="CC959" s="120"/>
      <c r="CD959" s="120"/>
      <c r="CE959" s="120"/>
    </row>
    <row r="960" ht="18.75" customHeight="1">
      <c r="C960" s="64"/>
      <c r="E960" s="64"/>
      <c r="F960" s="64"/>
      <c r="G960" s="64"/>
      <c r="AH960" s="152"/>
      <c r="AI960" s="152"/>
      <c r="AJ960" s="152"/>
      <c r="AK960" s="152"/>
      <c r="BS960" s="120"/>
      <c r="BT960" s="120"/>
      <c r="BU960" s="120"/>
      <c r="BV960" s="120"/>
      <c r="BW960" s="120"/>
      <c r="BX960" s="120"/>
      <c r="BY960" s="120"/>
      <c r="BZ960" s="120"/>
      <c r="CA960" s="120"/>
      <c r="CB960" s="120"/>
      <c r="CC960" s="120"/>
      <c r="CD960" s="120"/>
      <c r="CE960" s="120"/>
    </row>
    <row r="961" ht="18.75" customHeight="1">
      <c r="C961" s="64"/>
      <c r="E961" s="64"/>
      <c r="F961" s="64"/>
      <c r="G961" s="64"/>
      <c r="AH961" s="152"/>
      <c r="AI961" s="152"/>
      <c r="AJ961" s="152"/>
      <c r="AK961" s="152"/>
      <c r="BS961" s="120"/>
      <c r="BT961" s="120"/>
      <c r="BU961" s="120"/>
      <c r="BV961" s="120"/>
      <c r="BW961" s="120"/>
      <c r="BX961" s="120"/>
      <c r="BY961" s="120"/>
      <c r="BZ961" s="120"/>
      <c r="CA961" s="120"/>
      <c r="CB961" s="120"/>
      <c r="CC961" s="120"/>
      <c r="CD961" s="120"/>
      <c r="CE961" s="120"/>
    </row>
    <row r="962" ht="18.75" customHeight="1">
      <c r="C962" s="64"/>
      <c r="E962" s="64"/>
      <c r="F962" s="64"/>
      <c r="G962" s="64"/>
      <c r="AH962" s="152"/>
      <c r="AI962" s="152"/>
      <c r="AJ962" s="152"/>
      <c r="AK962" s="152"/>
      <c r="BS962" s="120"/>
      <c r="BT962" s="120"/>
      <c r="BU962" s="120"/>
      <c r="BV962" s="120"/>
      <c r="BW962" s="120"/>
      <c r="BX962" s="120"/>
      <c r="BY962" s="120"/>
      <c r="BZ962" s="120"/>
      <c r="CA962" s="120"/>
      <c r="CB962" s="120"/>
      <c r="CC962" s="120"/>
      <c r="CD962" s="120"/>
      <c r="CE962" s="120"/>
    </row>
    <row r="963" ht="18.75" customHeight="1">
      <c r="C963" s="64"/>
      <c r="E963" s="64"/>
      <c r="F963" s="64"/>
      <c r="G963" s="64"/>
      <c r="AH963" s="152"/>
      <c r="AI963" s="152"/>
      <c r="AJ963" s="152"/>
      <c r="AK963" s="152"/>
      <c r="BS963" s="120"/>
      <c r="BT963" s="120"/>
      <c r="BU963" s="120"/>
      <c r="BV963" s="120"/>
      <c r="BW963" s="120"/>
      <c r="BX963" s="120"/>
      <c r="BY963" s="120"/>
      <c r="BZ963" s="120"/>
      <c r="CA963" s="120"/>
      <c r="CB963" s="120"/>
      <c r="CC963" s="120"/>
      <c r="CD963" s="120"/>
      <c r="CE963" s="120"/>
    </row>
    <row r="964" ht="18.75" customHeight="1">
      <c r="C964" s="64"/>
      <c r="E964" s="64"/>
      <c r="F964" s="64"/>
      <c r="G964" s="64"/>
      <c r="AH964" s="152"/>
      <c r="AI964" s="152"/>
      <c r="AJ964" s="152"/>
      <c r="AK964" s="152"/>
      <c r="BS964" s="120"/>
      <c r="BT964" s="120"/>
      <c r="BU964" s="120"/>
      <c r="BV964" s="120"/>
      <c r="BW964" s="120"/>
      <c r="BX964" s="120"/>
      <c r="BY964" s="120"/>
      <c r="BZ964" s="120"/>
      <c r="CA964" s="120"/>
      <c r="CB964" s="120"/>
      <c r="CC964" s="120"/>
      <c r="CD964" s="120"/>
      <c r="CE964" s="120"/>
    </row>
    <row r="965" ht="18.75" customHeight="1">
      <c r="C965" s="64"/>
      <c r="E965" s="64"/>
      <c r="F965" s="64"/>
      <c r="G965" s="64"/>
      <c r="AH965" s="152"/>
      <c r="AI965" s="152"/>
      <c r="AJ965" s="152"/>
      <c r="AK965" s="152"/>
      <c r="BS965" s="120"/>
      <c r="BT965" s="120"/>
      <c r="BU965" s="120"/>
      <c r="BV965" s="120"/>
      <c r="BW965" s="120"/>
      <c r="BX965" s="120"/>
      <c r="BY965" s="120"/>
      <c r="BZ965" s="120"/>
      <c r="CA965" s="120"/>
      <c r="CB965" s="120"/>
      <c r="CC965" s="120"/>
      <c r="CD965" s="120"/>
      <c r="CE965" s="120"/>
    </row>
    <row r="966" ht="18.75" customHeight="1">
      <c r="C966" s="64"/>
      <c r="E966" s="64"/>
      <c r="F966" s="64"/>
      <c r="G966" s="64"/>
      <c r="AH966" s="152"/>
      <c r="AI966" s="152"/>
      <c r="AJ966" s="152"/>
      <c r="AK966" s="152"/>
      <c r="BS966" s="120"/>
      <c r="BT966" s="120"/>
      <c r="BU966" s="120"/>
      <c r="BV966" s="120"/>
      <c r="BW966" s="120"/>
      <c r="BX966" s="120"/>
      <c r="BY966" s="120"/>
      <c r="BZ966" s="120"/>
      <c r="CA966" s="120"/>
      <c r="CB966" s="120"/>
      <c r="CC966" s="120"/>
      <c r="CD966" s="120"/>
      <c r="CE966" s="120"/>
    </row>
    <row r="967" ht="18.75" customHeight="1">
      <c r="C967" s="64"/>
      <c r="E967" s="64"/>
      <c r="F967" s="64"/>
      <c r="G967" s="64"/>
      <c r="AH967" s="152"/>
      <c r="AI967" s="152"/>
      <c r="AJ967" s="152"/>
      <c r="AK967" s="152"/>
      <c r="BS967" s="120"/>
      <c r="BT967" s="120"/>
      <c r="BU967" s="120"/>
      <c r="BV967" s="120"/>
      <c r="BW967" s="120"/>
      <c r="BX967" s="120"/>
      <c r="BY967" s="120"/>
      <c r="BZ967" s="120"/>
      <c r="CA967" s="120"/>
      <c r="CB967" s="120"/>
      <c r="CC967" s="120"/>
      <c r="CD967" s="120"/>
      <c r="CE967" s="120"/>
    </row>
    <row r="968" ht="18.75" customHeight="1">
      <c r="C968" s="64"/>
      <c r="E968" s="64"/>
      <c r="F968" s="64"/>
      <c r="G968" s="64"/>
      <c r="AH968" s="152"/>
      <c r="AI968" s="152"/>
      <c r="AJ968" s="152"/>
      <c r="AK968" s="152"/>
      <c r="BS968" s="120"/>
      <c r="BT968" s="120"/>
      <c r="BU968" s="120"/>
      <c r="BV968" s="120"/>
      <c r="BW968" s="120"/>
      <c r="BX968" s="120"/>
      <c r="BY968" s="120"/>
      <c r="BZ968" s="120"/>
      <c r="CA968" s="120"/>
      <c r="CB968" s="120"/>
      <c r="CC968" s="120"/>
      <c r="CD968" s="120"/>
      <c r="CE968" s="120"/>
    </row>
    <row r="969" ht="18.75" customHeight="1">
      <c r="C969" s="64"/>
      <c r="E969" s="64"/>
      <c r="F969" s="64"/>
      <c r="G969" s="64"/>
      <c r="AH969" s="152"/>
      <c r="AI969" s="152"/>
      <c r="AJ969" s="152"/>
      <c r="AK969" s="152"/>
      <c r="BS969" s="120"/>
      <c r="BT969" s="120"/>
      <c r="BU969" s="120"/>
      <c r="BV969" s="120"/>
      <c r="BW969" s="120"/>
      <c r="BX969" s="120"/>
      <c r="BY969" s="120"/>
      <c r="BZ969" s="120"/>
      <c r="CA969" s="120"/>
      <c r="CB969" s="120"/>
      <c r="CC969" s="120"/>
      <c r="CD969" s="120"/>
      <c r="CE969" s="120"/>
    </row>
    <row r="970" ht="18.75" customHeight="1">
      <c r="C970" s="64"/>
      <c r="E970" s="64"/>
      <c r="F970" s="64"/>
      <c r="G970" s="64"/>
      <c r="AH970" s="152"/>
      <c r="AI970" s="152"/>
      <c r="AJ970" s="152"/>
      <c r="AK970" s="152"/>
      <c r="BS970" s="120"/>
      <c r="BT970" s="120"/>
      <c r="BU970" s="120"/>
      <c r="BV970" s="120"/>
      <c r="BW970" s="120"/>
      <c r="BX970" s="120"/>
      <c r="BY970" s="120"/>
      <c r="BZ970" s="120"/>
      <c r="CA970" s="120"/>
      <c r="CB970" s="120"/>
      <c r="CC970" s="120"/>
      <c r="CD970" s="120"/>
      <c r="CE970" s="120"/>
    </row>
    <row r="971" ht="18.75" customHeight="1">
      <c r="C971" s="64"/>
      <c r="E971" s="64"/>
      <c r="F971" s="64"/>
      <c r="G971" s="64"/>
      <c r="AH971" s="152"/>
      <c r="AI971" s="152"/>
      <c r="AJ971" s="152"/>
      <c r="AK971" s="152"/>
      <c r="BS971" s="120"/>
      <c r="BT971" s="120"/>
      <c r="BU971" s="120"/>
      <c r="BV971" s="120"/>
      <c r="BW971" s="120"/>
      <c r="BX971" s="120"/>
      <c r="BY971" s="120"/>
      <c r="BZ971" s="120"/>
      <c r="CA971" s="120"/>
      <c r="CB971" s="120"/>
      <c r="CC971" s="120"/>
      <c r="CD971" s="120"/>
      <c r="CE971" s="120"/>
    </row>
    <row r="972" ht="18.75" customHeight="1">
      <c r="C972" s="64"/>
      <c r="E972" s="64"/>
      <c r="F972" s="64"/>
      <c r="G972" s="64"/>
      <c r="AH972" s="152"/>
      <c r="AI972" s="152"/>
      <c r="AJ972" s="152"/>
      <c r="AK972" s="152"/>
      <c r="BS972" s="120"/>
      <c r="BT972" s="120"/>
      <c r="BU972" s="120"/>
      <c r="BV972" s="120"/>
      <c r="BW972" s="120"/>
      <c r="BX972" s="120"/>
      <c r="BY972" s="120"/>
      <c r="BZ972" s="120"/>
      <c r="CA972" s="120"/>
      <c r="CB972" s="120"/>
      <c r="CC972" s="120"/>
      <c r="CD972" s="120"/>
      <c r="CE972" s="120"/>
    </row>
    <row r="973" ht="18.75" customHeight="1">
      <c r="C973" s="64"/>
      <c r="E973" s="64"/>
      <c r="F973" s="64"/>
      <c r="G973" s="64"/>
      <c r="AH973" s="152"/>
      <c r="AI973" s="152"/>
      <c r="AJ973" s="152"/>
      <c r="AK973" s="152"/>
      <c r="BS973" s="120"/>
      <c r="BT973" s="120"/>
      <c r="BU973" s="120"/>
      <c r="BV973" s="120"/>
      <c r="BW973" s="120"/>
      <c r="BX973" s="120"/>
      <c r="BY973" s="120"/>
      <c r="BZ973" s="120"/>
      <c r="CA973" s="120"/>
      <c r="CB973" s="120"/>
      <c r="CC973" s="120"/>
      <c r="CD973" s="120"/>
      <c r="CE973" s="120"/>
    </row>
    <row r="974" ht="18.75" customHeight="1">
      <c r="C974" s="64"/>
      <c r="E974" s="64"/>
      <c r="F974" s="64"/>
      <c r="G974" s="64"/>
      <c r="AH974" s="152"/>
      <c r="AI974" s="152"/>
      <c r="AJ974" s="152"/>
      <c r="AK974" s="152"/>
      <c r="BS974" s="120"/>
      <c r="BT974" s="120"/>
      <c r="BU974" s="120"/>
      <c r="BV974" s="120"/>
      <c r="BW974" s="120"/>
      <c r="BX974" s="120"/>
      <c r="BY974" s="120"/>
      <c r="BZ974" s="120"/>
      <c r="CA974" s="120"/>
      <c r="CB974" s="120"/>
      <c r="CC974" s="120"/>
      <c r="CD974" s="120"/>
      <c r="CE974" s="120"/>
    </row>
    <row r="975" ht="18.75" customHeight="1">
      <c r="C975" s="64"/>
      <c r="E975" s="64"/>
      <c r="F975" s="64"/>
      <c r="G975" s="64"/>
      <c r="AH975" s="152"/>
      <c r="AI975" s="152"/>
      <c r="AJ975" s="152"/>
      <c r="AK975" s="152"/>
      <c r="BS975" s="120"/>
      <c r="BT975" s="120"/>
      <c r="BU975" s="120"/>
      <c r="BV975" s="120"/>
      <c r="BW975" s="120"/>
      <c r="BX975" s="120"/>
      <c r="BY975" s="120"/>
      <c r="BZ975" s="120"/>
      <c r="CA975" s="120"/>
      <c r="CB975" s="120"/>
      <c r="CC975" s="120"/>
      <c r="CD975" s="120"/>
      <c r="CE975" s="120"/>
    </row>
    <row r="976" ht="18.75" customHeight="1">
      <c r="C976" s="64"/>
      <c r="E976" s="64"/>
      <c r="F976" s="64"/>
      <c r="G976" s="64"/>
      <c r="AH976" s="152"/>
      <c r="AI976" s="152"/>
      <c r="AJ976" s="152"/>
      <c r="AK976" s="152"/>
      <c r="BS976" s="120"/>
      <c r="BT976" s="120"/>
      <c r="BU976" s="120"/>
      <c r="BV976" s="120"/>
      <c r="BW976" s="120"/>
      <c r="BX976" s="120"/>
      <c r="BY976" s="120"/>
      <c r="BZ976" s="120"/>
      <c r="CA976" s="120"/>
      <c r="CB976" s="120"/>
      <c r="CC976" s="120"/>
      <c r="CD976" s="120"/>
      <c r="CE976" s="120"/>
    </row>
    <row r="977" ht="18.75" customHeight="1">
      <c r="C977" s="64"/>
      <c r="E977" s="64"/>
      <c r="F977" s="64"/>
      <c r="G977" s="64"/>
      <c r="AH977" s="152"/>
      <c r="AI977" s="152"/>
      <c r="AJ977" s="152"/>
      <c r="AK977" s="152"/>
      <c r="BS977" s="120"/>
      <c r="BT977" s="120"/>
      <c r="BU977" s="120"/>
      <c r="BV977" s="120"/>
      <c r="BW977" s="120"/>
      <c r="BX977" s="120"/>
      <c r="BY977" s="120"/>
      <c r="BZ977" s="120"/>
      <c r="CA977" s="120"/>
      <c r="CB977" s="120"/>
      <c r="CC977" s="120"/>
      <c r="CD977" s="120"/>
      <c r="CE977" s="120"/>
    </row>
    <row r="978" ht="18.75" customHeight="1">
      <c r="C978" s="64"/>
      <c r="E978" s="64"/>
      <c r="F978" s="64"/>
      <c r="G978" s="64"/>
      <c r="AH978" s="152"/>
      <c r="AI978" s="152"/>
      <c r="AJ978" s="152"/>
      <c r="AK978" s="152"/>
      <c r="BS978" s="120"/>
      <c r="BT978" s="120"/>
      <c r="BU978" s="120"/>
      <c r="BV978" s="120"/>
      <c r="BW978" s="120"/>
      <c r="BX978" s="120"/>
      <c r="BY978" s="120"/>
      <c r="BZ978" s="120"/>
      <c r="CA978" s="120"/>
      <c r="CB978" s="120"/>
      <c r="CC978" s="120"/>
      <c r="CD978" s="120"/>
      <c r="CE978" s="120"/>
    </row>
    <row r="979" ht="18.75" customHeight="1">
      <c r="C979" s="64"/>
      <c r="E979" s="64"/>
      <c r="F979" s="64"/>
      <c r="G979" s="64"/>
      <c r="AH979" s="152"/>
      <c r="AI979" s="152"/>
      <c r="AJ979" s="152"/>
      <c r="AK979" s="152"/>
      <c r="BS979" s="120"/>
      <c r="BT979" s="120"/>
      <c r="BU979" s="120"/>
      <c r="BV979" s="120"/>
      <c r="BW979" s="120"/>
      <c r="BX979" s="120"/>
      <c r="BY979" s="120"/>
      <c r="BZ979" s="120"/>
      <c r="CA979" s="120"/>
      <c r="CB979" s="120"/>
      <c r="CC979" s="120"/>
      <c r="CD979" s="120"/>
      <c r="CE979" s="120"/>
    </row>
    <row r="980" ht="18.75" customHeight="1">
      <c r="C980" s="64"/>
      <c r="E980" s="64"/>
      <c r="F980" s="64"/>
      <c r="G980" s="64"/>
      <c r="AH980" s="152"/>
      <c r="AI980" s="152"/>
      <c r="AJ980" s="152"/>
      <c r="AK980" s="152"/>
      <c r="BS980" s="120"/>
      <c r="BT980" s="120"/>
      <c r="BU980" s="120"/>
      <c r="BV980" s="120"/>
      <c r="BW980" s="120"/>
      <c r="BX980" s="120"/>
      <c r="BY980" s="120"/>
      <c r="BZ980" s="120"/>
      <c r="CA980" s="120"/>
      <c r="CB980" s="120"/>
      <c r="CC980" s="120"/>
      <c r="CD980" s="120"/>
      <c r="CE980" s="120"/>
    </row>
    <row r="981" ht="18.75" customHeight="1">
      <c r="C981" s="64"/>
      <c r="E981" s="64"/>
      <c r="F981" s="64"/>
      <c r="G981" s="64"/>
      <c r="AH981" s="152"/>
      <c r="AI981" s="152"/>
      <c r="AJ981" s="152"/>
      <c r="AK981" s="152"/>
      <c r="BS981" s="120"/>
      <c r="BT981" s="120"/>
      <c r="BU981" s="120"/>
      <c r="BV981" s="120"/>
      <c r="BW981" s="120"/>
      <c r="BX981" s="120"/>
      <c r="BY981" s="120"/>
      <c r="BZ981" s="120"/>
      <c r="CA981" s="120"/>
      <c r="CB981" s="120"/>
      <c r="CC981" s="120"/>
      <c r="CD981" s="120"/>
      <c r="CE981" s="120"/>
    </row>
    <row r="982" ht="18.75" customHeight="1">
      <c r="C982" s="64"/>
      <c r="E982" s="64"/>
      <c r="F982" s="64"/>
      <c r="G982" s="64"/>
      <c r="AH982" s="152"/>
      <c r="AI982" s="152"/>
      <c r="AJ982" s="152"/>
      <c r="AK982" s="152"/>
      <c r="BS982" s="120"/>
      <c r="BT982" s="120"/>
      <c r="BU982" s="120"/>
      <c r="BV982" s="120"/>
      <c r="BW982" s="120"/>
      <c r="BX982" s="120"/>
      <c r="BY982" s="120"/>
      <c r="BZ982" s="120"/>
      <c r="CA982" s="120"/>
      <c r="CB982" s="120"/>
      <c r="CC982" s="120"/>
      <c r="CD982" s="120"/>
      <c r="CE982" s="120"/>
    </row>
    <row r="983" ht="18.75" customHeight="1">
      <c r="C983" s="64"/>
      <c r="E983" s="64"/>
      <c r="F983" s="64"/>
      <c r="G983" s="64"/>
      <c r="AH983" s="152"/>
      <c r="AI983" s="152"/>
      <c r="AJ983" s="152"/>
      <c r="AK983" s="152"/>
      <c r="BS983" s="120"/>
      <c r="BT983" s="120"/>
      <c r="BU983" s="120"/>
      <c r="BV983" s="120"/>
      <c r="BW983" s="120"/>
      <c r="BX983" s="120"/>
      <c r="BY983" s="120"/>
      <c r="BZ983" s="120"/>
      <c r="CA983" s="120"/>
      <c r="CB983" s="120"/>
      <c r="CC983" s="120"/>
      <c r="CD983" s="120"/>
      <c r="CE983" s="120"/>
    </row>
    <row r="984" ht="18.75" customHeight="1">
      <c r="C984" s="64"/>
      <c r="E984" s="64"/>
      <c r="F984" s="64"/>
      <c r="G984" s="64"/>
      <c r="AH984" s="152"/>
      <c r="AI984" s="152"/>
      <c r="AJ984" s="152"/>
      <c r="AK984" s="152"/>
      <c r="BS984" s="120"/>
      <c r="BT984" s="120"/>
      <c r="BU984" s="120"/>
      <c r="BV984" s="120"/>
      <c r="BW984" s="120"/>
      <c r="BX984" s="120"/>
      <c r="BY984" s="120"/>
      <c r="BZ984" s="120"/>
      <c r="CA984" s="120"/>
      <c r="CB984" s="120"/>
      <c r="CC984" s="120"/>
      <c r="CD984" s="120"/>
      <c r="CE984" s="120"/>
    </row>
    <row r="985" ht="18.75" customHeight="1">
      <c r="C985" s="64"/>
      <c r="E985" s="64"/>
      <c r="F985" s="64"/>
      <c r="G985" s="64"/>
      <c r="AH985" s="152"/>
      <c r="AI985" s="152"/>
      <c r="AJ985" s="152"/>
      <c r="AK985" s="152"/>
      <c r="BS985" s="120"/>
      <c r="BT985" s="120"/>
      <c r="BU985" s="120"/>
      <c r="BV985" s="120"/>
      <c r="BW985" s="120"/>
      <c r="BX985" s="120"/>
      <c r="BY985" s="120"/>
      <c r="BZ985" s="120"/>
      <c r="CA985" s="120"/>
      <c r="CB985" s="120"/>
      <c r="CC985" s="120"/>
      <c r="CD985" s="120"/>
      <c r="CE985" s="120"/>
    </row>
    <row r="986" ht="18.75" customHeight="1">
      <c r="C986" s="64"/>
      <c r="E986" s="64"/>
      <c r="F986" s="64"/>
      <c r="G986" s="64"/>
      <c r="AH986" s="152"/>
      <c r="AI986" s="152"/>
      <c r="AJ986" s="152"/>
      <c r="AK986" s="152"/>
      <c r="BS986" s="120"/>
      <c r="BT986" s="120"/>
      <c r="BU986" s="120"/>
      <c r="BV986" s="120"/>
      <c r="BW986" s="120"/>
      <c r="BX986" s="120"/>
      <c r="BY986" s="120"/>
      <c r="BZ986" s="120"/>
      <c r="CA986" s="120"/>
      <c r="CB986" s="120"/>
      <c r="CC986" s="120"/>
      <c r="CD986" s="120"/>
      <c r="CE986" s="120"/>
    </row>
    <row r="987" ht="18.75" customHeight="1">
      <c r="C987" s="64"/>
      <c r="E987" s="64"/>
      <c r="F987" s="64"/>
      <c r="G987" s="64"/>
      <c r="AH987" s="152"/>
      <c r="AI987" s="152"/>
      <c r="AJ987" s="152"/>
      <c r="AK987" s="152"/>
      <c r="BS987" s="120"/>
      <c r="BT987" s="120"/>
      <c r="BU987" s="120"/>
      <c r="BV987" s="120"/>
      <c r="BW987" s="120"/>
      <c r="BX987" s="120"/>
      <c r="BY987" s="120"/>
      <c r="BZ987" s="120"/>
      <c r="CA987" s="120"/>
      <c r="CB987" s="120"/>
      <c r="CC987" s="120"/>
      <c r="CD987" s="120"/>
      <c r="CE987" s="120"/>
    </row>
    <row r="988" ht="18.75" customHeight="1">
      <c r="C988" s="64"/>
      <c r="E988" s="64"/>
      <c r="F988" s="64"/>
      <c r="G988" s="64"/>
      <c r="AH988" s="152"/>
      <c r="AI988" s="152"/>
      <c r="AJ988" s="152"/>
      <c r="AK988" s="152"/>
      <c r="BS988" s="120"/>
      <c r="BT988" s="120"/>
      <c r="BU988" s="120"/>
      <c r="BV988" s="120"/>
      <c r="BW988" s="120"/>
      <c r="BX988" s="120"/>
      <c r="BY988" s="120"/>
      <c r="BZ988" s="120"/>
      <c r="CA988" s="120"/>
      <c r="CB988" s="120"/>
      <c r="CC988" s="120"/>
      <c r="CD988" s="120"/>
      <c r="CE988" s="120"/>
    </row>
    <row r="989" ht="18.75" customHeight="1">
      <c r="C989" s="64"/>
      <c r="E989" s="64"/>
      <c r="F989" s="64"/>
      <c r="G989" s="64"/>
      <c r="AH989" s="152"/>
      <c r="AI989" s="152"/>
      <c r="AJ989" s="152"/>
      <c r="AK989" s="152"/>
      <c r="BS989" s="120"/>
      <c r="BT989" s="120"/>
      <c r="BU989" s="120"/>
      <c r="BV989" s="120"/>
      <c r="BW989" s="120"/>
      <c r="BX989" s="120"/>
      <c r="BY989" s="120"/>
      <c r="BZ989" s="120"/>
      <c r="CA989" s="120"/>
      <c r="CB989" s="120"/>
      <c r="CC989" s="120"/>
      <c r="CD989" s="120"/>
      <c r="CE989" s="120"/>
    </row>
    <row r="990" ht="18.75" customHeight="1">
      <c r="C990" s="64"/>
      <c r="E990" s="64"/>
      <c r="F990" s="64"/>
      <c r="G990" s="64"/>
      <c r="AH990" s="152"/>
      <c r="AI990" s="152"/>
      <c r="AJ990" s="152"/>
      <c r="AK990" s="152"/>
      <c r="BS990" s="120"/>
      <c r="BT990" s="120"/>
      <c r="BU990" s="120"/>
      <c r="BV990" s="120"/>
      <c r="BW990" s="120"/>
      <c r="BX990" s="120"/>
      <c r="BY990" s="120"/>
      <c r="BZ990" s="120"/>
      <c r="CA990" s="120"/>
      <c r="CB990" s="120"/>
      <c r="CC990" s="120"/>
      <c r="CD990" s="120"/>
      <c r="CE990" s="120"/>
    </row>
    <row r="991" ht="18.75" customHeight="1">
      <c r="C991" s="64"/>
      <c r="E991" s="64"/>
      <c r="F991" s="64"/>
      <c r="G991" s="64"/>
      <c r="AH991" s="152"/>
      <c r="AI991" s="152"/>
      <c r="AJ991" s="152"/>
      <c r="AK991" s="152"/>
      <c r="BS991" s="120"/>
      <c r="BT991" s="120"/>
      <c r="BU991" s="120"/>
      <c r="BV991" s="120"/>
      <c r="BW991" s="120"/>
      <c r="BX991" s="120"/>
      <c r="BY991" s="120"/>
      <c r="BZ991" s="120"/>
      <c r="CA991" s="120"/>
      <c r="CB991" s="120"/>
      <c r="CC991" s="120"/>
      <c r="CD991" s="120"/>
      <c r="CE991" s="120"/>
    </row>
    <row r="992" ht="18.75" customHeight="1">
      <c r="C992" s="64"/>
      <c r="E992" s="64"/>
      <c r="F992" s="64"/>
      <c r="G992" s="64"/>
      <c r="AH992" s="152"/>
      <c r="AI992" s="152"/>
      <c r="AJ992" s="152"/>
      <c r="AK992" s="152"/>
      <c r="BS992" s="120"/>
      <c r="BT992" s="120"/>
      <c r="BU992" s="120"/>
      <c r="BV992" s="120"/>
      <c r="BW992" s="120"/>
      <c r="BX992" s="120"/>
      <c r="BY992" s="120"/>
      <c r="BZ992" s="120"/>
      <c r="CA992" s="120"/>
      <c r="CB992" s="120"/>
      <c r="CC992" s="120"/>
      <c r="CD992" s="120"/>
      <c r="CE992" s="120"/>
    </row>
    <row r="993" ht="18.75" customHeight="1">
      <c r="C993" s="64"/>
      <c r="E993" s="64"/>
      <c r="F993" s="64"/>
      <c r="G993" s="64"/>
      <c r="AH993" s="152"/>
      <c r="AI993" s="152"/>
      <c r="AJ993" s="152"/>
      <c r="AK993" s="152"/>
      <c r="BS993" s="120"/>
      <c r="BT993" s="120"/>
      <c r="BU993" s="120"/>
      <c r="BV993" s="120"/>
      <c r="BW993" s="120"/>
      <c r="BX993" s="120"/>
      <c r="BY993" s="120"/>
      <c r="BZ993" s="120"/>
      <c r="CA993" s="120"/>
      <c r="CB993" s="120"/>
      <c r="CC993" s="120"/>
      <c r="CD993" s="120"/>
      <c r="CE993" s="120"/>
    </row>
    <row r="994" ht="18.75" customHeight="1">
      <c r="C994" s="64"/>
      <c r="E994" s="64"/>
      <c r="F994" s="64"/>
      <c r="G994" s="64"/>
      <c r="AH994" s="152"/>
      <c r="AI994" s="152"/>
      <c r="AJ994" s="152"/>
      <c r="AK994" s="152"/>
      <c r="BS994" s="120"/>
      <c r="BT994" s="120"/>
      <c r="BU994" s="120"/>
      <c r="BV994" s="120"/>
      <c r="BW994" s="120"/>
      <c r="BX994" s="120"/>
      <c r="BY994" s="120"/>
      <c r="BZ994" s="120"/>
      <c r="CA994" s="120"/>
      <c r="CB994" s="120"/>
      <c r="CC994" s="120"/>
      <c r="CD994" s="120"/>
      <c r="CE994" s="120"/>
    </row>
    <row r="995" ht="18.75" customHeight="1">
      <c r="C995" s="64"/>
      <c r="E995" s="64"/>
      <c r="F995" s="64"/>
      <c r="G995" s="64"/>
      <c r="AH995" s="152"/>
      <c r="AI995" s="152"/>
      <c r="AJ995" s="152"/>
      <c r="AK995" s="152"/>
      <c r="BS995" s="120"/>
      <c r="BT995" s="120"/>
      <c r="BU995" s="120"/>
      <c r="BV995" s="120"/>
      <c r="BW995" s="120"/>
      <c r="BX995" s="120"/>
      <c r="BY995" s="120"/>
      <c r="BZ995" s="120"/>
      <c r="CA995" s="120"/>
      <c r="CB995" s="120"/>
      <c r="CC995" s="120"/>
      <c r="CD995" s="120"/>
      <c r="CE995" s="120"/>
    </row>
    <row r="996" ht="18.75" customHeight="1">
      <c r="C996" s="64"/>
      <c r="E996" s="64"/>
      <c r="F996" s="64"/>
      <c r="G996" s="64"/>
      <c r="AH996" s="152"/>
      <c r="AI996" s="152"/>
      <c r="AJ996" s="152"/>
      <c r="AK996" s="152"/>
      <c r="BS996" s="120"/>
      <c r="BT996" s="120"/>
      <c r="BU996" s="120"/>
      <c r="BV996" s="120"/>
      <c r="BW996" s="120"/>
      <c r="BX996" s="120"/>
      <c r="BY996" s="120"/>
      <c r="BZ996" s="120"/>
      <c r="CA996" s="120"/>
      <c r="CB996" s="120"/>
      <c r="CC996" s="120"/>
      <c r="CD996" s="120"/>
      <c r="CE996" s="120"/>
    </row>
    <row r="997" ht="18.75" customHeight="1">
      <c r="C997" s="64"/>
      <c r="E997" s="64"/>
      <c r="F997" s="64"/>
      <c r="G997" s="64"/>
      <c r="AH997" s="152"/>
      <c r="AI997" s="152"/>
      <c r="AJ997" s="152"/>
      <c r="AK997" s="152"/>
      <c r="BS997" s="120"/>
      <c r="BT997" s="120"/>
      <c r="BU997" s="120"/>
      <c r="BV997" s="120"/>
      <c r="BW997" s="120"/>
      <c r="BX997" s="120"/>
      <c r="BY997" s="120"/>
      <c r="BZ997" s="120"/>
      <c r="CA997" s="120"/>
      <c r="CB997" s="120"/>
      <c r="CC997" s="120"/>
      <c r="CD997" s="120"/>
      <c r="CE997" s="120"/>
    </row>
    <row r="998" ht="18.75" customHeight="1">
      <c r="C998" s="64"/>
      <c r="E998" s="64"/>
      <c r="F998" s="64"/>
      <c r="G998" s="64"/>
      <c r="AH998" s="152"/>
      <c r="AI998" s="152"/>
      <c r="AJ998" s="152"/>
      <c r="AK998" s="152"/>
      <c r="BS998" s="120"/>
      <c r="BT998" s="120"/>
      <c r="BU998" s="120"/>
      <c r="BV998" s="120"/>
      <c r="BW998" s="120"/>
      <c r="BX998" s="120"/>
      <c r="BY998" s="120"/>
      <c r="BZ998" s="120"/>
      <c r="CA998" s="120"/>
      <c r="CB998" s="120"/>
      <c r="CC998" s="120"/>
      <c r="CD998" s="120"/>
      <c r="CE998" s="120"/>
    </row>
    <row r="999" ht="18.75" customHeight="1">
      <c r="C999" s="64"/>
      <c r="E999" s="64"/>
      <c r="F999" s="64"/>
      <c r="G999" s="64"/>
      <c r="AH999" s="152"/>
      <c r="AI999" s="152"/>
      <c r="AJ999" s="152"/>
      <c r="AK999" s="152"/>
      <c r="BS999" s="120"/>
      <c r="BT999" s="120"/>
      <c r="BU999" s="120"/>
      <c r="BV999" s="120"/>
      <c r="BW999" s="120"/>
      <c r="BX999" s="120"/>
      <c r="BY999" s="120"/>
      <c r="BZ999" s="120"/>
      <c r="CA999" s="120"/>
      <c r="CB999" s="120"/>
      <c r="CC999" s="120"/>
      <c r="CD999" s="120"/>
      <c r="CE999" s="120"/>
    </row>
    <row r="1000" ht="18.75" customHeight="1">
      <c r="C1000" s="64"/>
      <c r="E1000" s="64"/>
      <c r="F1000" s="64"/>
      <c r="G1000" s="64"/>
      <c r="AH1000" s="152"/>
      <c r="AI1000" s="152"/>
      <c r="AJ1000" s="152"/>
      <c r="AK1000" s="152"/>
      <c r="BS1000" s="120"/>
      <c r="BT1000" s="120"/>
      <c r="BU1000" s="120"/>
      <c r="BV1000" s="120"/>
      <c r="BW1000" s="120"/>
      <c r="BX1000" s="120"/>
      <c r="BY1000" s="120"/>
      <c r="BZ1000" s="120"/>
      <c r="CA1000" s="120"/>
      <c r="CB1000" s="120"/>
      <c r="CC1000" s="120"/>
      <c r="CD1000" s="120"/>
      <c r="CE1000" s="120"/>
    </row>
    <row r="1001" ht="18.75" customHeight="1">
      <c r="C1001" s="64"/>
      <c r="E1001" s="64"/>
      <c r="F1001" s="64"/>
      <c r="G1001" s="64"/>
      <c r="AH1001" s="152"/>
      <c r="AI1001" s="152"/>
      <c r="AJ1001" s="152"/>
      <c r="AK1001" s="152"/>
      <c r="BS1001" s="120"/>
      <c r="BT1001" s="120"/>
      <c r="BU1001" s="120"/>
      <c r="BV1001" s="120"/>
      <c r="BW1001" s="120"/>
      <c r="BX1001" s="120"/>
      <c r="BY1001" s="120"/>
      <c r="BZ1001" s="120"/>
      <c r="CA1001" s="120"/>
      <c r="CB1001" s="120"/>
      <c r="CC1001" s="120"/>
      <c r="CD1001" s="120"/>
      <c r="CE1001" s="120"/>
    </row>
    <row r="1002" ht="18.75" customHeight="1">
      <c r="C1002" s="64"/>
      <c r="E1002" s="64"/>
      <c r="F1002" s="64"/>
      <c r="G1002" s="64"/>
      <c r="AH1002" s="152"/>
      <c r="AI1002" s="152"/>
      <c r="AJ1002" s="152"/>
      <c r="AK1002" s="152"/>
      <c r="BS1002" s="120"/>
      <c r="BT1002" s="120"/>
      <c r="BU1002" s="120"/>
      <c r="BV1002" s="120"/>
      <c r="BW1002" s="120"/>
      <c r="BX1002" s="120"/>
      <c r="BY1002" s="120"/>
      <c r="BZ1002" s="120"/>
      <c r="CA1002" s="120"/>
      <c r="CB1002" s="120"/>
      <c r="CC1002" s="120"/>
      <c r="CD1002" s="120"/>
      <c r="CE1002" s="120"/>
    </row>
    <row r="1003" ht="18.75" customHeight="1">
      <c r="C1003" s="64"/>
      <c r="E1003" s="64"/>
      <c r="F1003" s="64"/>
      <c r="G1003" s="64"/>
      <c r="AH1003" s="152"/>
      <c r="AI1003" s="152"/>
      <c r="AJ1003" s="152"/>
      <c r="AK1003" s="152"/>
      <c r="BS1003" s="120"/>
      <c r="BT1003" s="120"/>
      <c r="BU1003" s="120"/>
      <c r="BV1003" s="120"/>
      <c r="BW1003" s="120"/>
      <c r="BX1003" s="120"/>
      <c r="BY1003" s="120"/>
      <c r="BZ1003" s="120"/>
      <c r="CA1003" s="120"/>
      <c r="CB1003" s="120"/>
      <c r="CC1003" s="120"/>
      <c r="CD1003" s="120"/>
      <c r="CE1003" s="120"/>
    </row>
    <row r="1004" ht="18.75" customHeight="1">
      <c r="C1004" s="64"/>
      <c r="E1004" s="64"/>
      <c r="F1004" s="64"/>
      <c r="G1004" s="64"/>
      <c r="AH1004" s="152"/>
      <c r="AI1004" s="152"/>
      <c r="AJ1004" s="152"/>
      <c r="AK1004" s="152"/>
      <c r="BS1004" s="120"/>
      <c r="BT1004" s="120"/>
      <c r="BU1004" s="120"/>
      <c r="BV1004" s="120"/>
      <c r="BW1004" s="120"/>
      <c r="BX1004" s="120"/>
      <c r="BY1004" s="120"/>
      <c r="BZ1004" s="120"/>
      <c r="CA1004" s="120"/>
      <c r="CB1004" s="120"/>
      <c r="CC1004" s="120"/>
      <c r="CD1004" s="120"/>
      <c r="CE1004" s="120"/>
    </row>
    <row r="1005" ht="18.75" customHeight="1">
      <c r="C1005" s="64"/>
      <c r="E1005" s="64"/>
      <c r="F1005" s="64"/>
      <c r="G1005" s="64"/>
      <c r="AH1005" s="152"/>
      <c r="AI1005" s="152"/>
      <c r="AJ1005" s="152"/>
      <c r="AK1005" s="152"/>
      <c r="BS1005" s="120"/>
      <c r="BT1005" s="120"/>
      <c r="BU1005" s="120"/>
      <c r="BV1005" s="120"/>
      <c r="BW1005" s="120"/>
      <c r="BX1005" s="120"/>
      <c r="BY1005" s="120"/>
      <c r="BZ1005" s="120"/>
      <c r="CA1005" s="120"/>
      <c r="CB1005" s="120"/>
      <c r="CC1005" s="120"/>
      <c r="CD1005" s="120"/>
      <c r="CE1005" s="120"/>
    </row>
    <row r="1006" ht="18.75" customHeight="1">
      <c r="C1006" s="64"/>
      <c r="E1006" s="64"/>
      <c r="F1006" s="64"/>
      <c r="G1006" s="64"/>
      <c r="AH1006" s="152"/>
      <c r="AI1006" s="152"/>
      <c r="AJ1006" s="152"/>
      <c r="AK1006" s="152"/>
      <c r="BS1006" s="120"/>
      <c r="BT1006" s="120"/>
      <c r="BU1006" s="120"/>
      <c r="BV1006" s="120"/>
      <c r="BW1006" s="120"/>
      <c r="BX1006" s="120"/>
      <c r="BY1006" s="120"/>
      <c r="BZ1006" s="120"/>
      <c r="CA1006" s="120"/>
      <c r="CB1006" s="120"/>
      <c r="CC1006" s="120"/>
      <c r="CD1006" s="120"/>
      <c r="CE1006" s="120"/>
    </row>
    <row r="1007" ht="18.75" customHeight="1">
      <c r="C1007" s="64"/>
      <c r="E1007" s="64"/>
      <c r="F1007" s="64"/>
      <c r="G1007" s="64"/>
      <c r="AH1007" s="152"/>
      <c r="AI1007" s="152"/>
      <c r="AJ1007" s="152"/>
      <c r="AK1007" s="152"/>
      <c r="BS1007" s="120"/>
      <c r="BT1007" s="120"/>
      <c r="BU1007" s="120"/>
      <c r="BV1007" s="120"/>
      <c r="BW1007" s="120"/>
      <c r="BX1007" s="120"/>
      <c r="BY1007" s="120"/>
      <c r="BZ1007" s="120"/>
      <c r="CA1007" s="120"/>
      <c r="CB1007" s="120"/>
      <c r="CC1007" s="120"/>
      <c r="CD1007" s="120"/>
      <c r="CE1007" s="120"/>
    </row>
    <row r="1008" ht="18.75" customHeight="1">
      <c r="C1008" s="64"/>
      <c r="E1008" s="64"/>
      <c r="F1008" s="64"/>
      <c r="G1008" s="64"/>
      <c r="AH1008" s="152"/>
      <c r="AI1008" s="152"/>
      <c r="AJ1008" s="152"/>
      <c r="AK1008" s="152"/>
      <c r="BS1008" s="120"/>
      <c r="BT1008" s="120"/>
      <c r="BU1008" s="120"/>
      <c r="BV1008" s="120"/>
      <c r="BW1008" s="120"/>
      <c r="BX1008" s="120"/>
      <c r="BY1008" s="120"/>
      <c r="BZ1008" s="120"/>
      <c r="CA1008" s="120"/>
      <c r="CB1008" s="120"/>
      <c r="CC1008" s="120"/>
      <c r="CD1008" s="120"/>
      <c r="CE1008" s="120"/>
    </row>
    <row r="1009" ht="18.75" customHeight="1">
      <c r="C1009" s="64"/>
      <c r="E1009" s="64"/>
      <c r="F1009" s="64"/>
      <c r="G1009" s="64"/>
      <c r="AH1009" s="152"/>
      <c r="AI1009" s="152"/>
      <c r="AJ1009" s="152"/>
      <c r="AK1009" s="152"/>
      <c r="BS1009" s="120"/>
      <c r="BT1009" s="120"/>
      <c r="BU1009" s="120"/>
      <c r="BV1009" s="120"/>
      <c r="BW1009" s="120"/>
      <c r="BX1009" s="120"/>
      <c r="BY1009" s="120"/>
      <c r="BZ1009" s="120"/>
      <c r="CA1009" s="120"/>
      <c r="CB1009" s="120"/>
      <c r="CC1009" s="120"/>
      <c r="CD1009" s="120"/>
      <c r="CE1009" s="120"/>
    </row>
    <row r="1010" ht="18.75" customHeight="1">
      <c r="C1010" s="64"/>
      <c r="E1010" s="64"/>
      <c r="F1010" s="64"/>
      <c r="G1010" s="64"/>
      <c r="AH1010" s="152"/>
      <c r="AI1010" s="152"/>
      <c r="AJ1010" s="152"/>
      <c r="AK1010" s="152"/>
      <c r="BS1010" s="120"/>
      <c r="BT1010" s="120"/>
      <c r="BU1010" s="120"/>
      <c r="BV1010" s="120"/>
      <c r="BW1010" s="120"/>
      <c r="BX1010" s="120"/>
      <c r="BY1010" s="120"/>
      <c r="BZ1010" s="120"/>
      <c r="CA1010" s="120"/>
      <c r="CB1010" s="120"/>
      <c r="CC1010" s="120"/>
      <c r="CD1010" s="120"/>
      <c r="CE1010" s="120"/>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4391</v>
      </c>
      <c r="B1" s="37" t="s">
        <v>4683</v>
      </c>
      <c r="C1" s="37" t="s">
        <v>0</v>
      </c>
      <c r="D1" s="37" t="s">
        <v>4684</v>
      </c>
      <c r="E1" s="37" t="s">
        <v>2620</v>
      </c>
      <c r="F1" s="37" t="s">
        <v>4297</v>
      </c>
      <c r="G1" s="37" t="s">
        <v>4310</v>
      </c>
      <c r="H1" s="37" t="s">
        <v>4313</v>
      </c>
      <c r="I1" s="37" t="s">
        <v>4315</v>
      </c>
      <c r="J1" s="37" t="s">
        <v>4318</v>
      </c>
      <c r="K1" s="37" t="s">
        <v>4324</v>
      </c>
      <c r="L1" s="37" t="s">
        <v>4327</v>
      </c>
      <c r="M1" s="37" t="s">
        <v>4330</v>
      </c>
      <c r="N1" s="37" t="s">
        <v>4333</v>
      </c>
      <c r="O1" s="37" t="s">
        <v>4335</v>
      </c>
      <c r="Q1" s="136" t="s">
        <v>2623</v>
      </c>
      <c r="R1" s="136" t="s">
        <v>2624</v>
      </c>
      <c r="S1" s="136" t="s">
        <v>2625</v>
      </c>
      <c r="T1" s="136" t="s">
        <v>2626</v>
      </c>
      <c r="U1" s="137" t="s">
        <v>3171</v>
      </c>
      <c r="V1" s="137" t="s">
        <v>3172</v>
      </c>
      <c r="W1" s="137" t="s">
        <v>3173</v>
      </c>
      <c r="X1" s="138" t="s">
        <v>3174</v>
      </c>
      <c r="Y1" s="138" t="s">
        <v>3175</v>
      </c>
      <c r="Z1" s="138" t="s">
        <v>3176</v>
      </c>
      <c r="AA1" s="138" t="s">
        <v>3177</v>
      </c>
      <c r="AB1" s="138" t="s">
        <v>3178</v>
      </c>
      <c r="AC1" s="74" t="s">
        <v>3179</v>
      </c>
      <c r="AD1" s="74" t="s">
        <v>3180</v>
      </c>
      <c r="AE1" s="74" t="s">
        <v>3181</v>
      </c>
      <c r="AF1" s="139" t="s">
        <v>2628</v>
      </c>
      <c r="AG1" s="139" t="s">
        <v>2627</v>
      </c>
      <c r="AH1" s="37" t="s">
        <v>4363</v>
      </c>
      <c r="AI1" s="74" t="s">
        <v>4365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3301</v>
      </c>
      <c r="AZ1" s="39" t="s">
        <v>4685</v>
      </c>
      <c r="BA1" s="39" t="s">
        <v>4686</v>
      </c>
      <c r="BB1" s="154" t="s">
        <v>4687</v>
      </c>
      <c r="BC1" s="154" t="s">
        <v>4688</v>
      </c>
    </row>
    <row r="2" ht="18.75" customHeight="1">
      <c r="A2" s="37" t="s">
        <v>4689</v>
      </c>
      <c r="B2" s="37" t="s">
        <v>4690</v>
      </c>
      <c r="C2" s="37">
        <v>1.0</v>
      </c>
      <c r="D2" s="37">
        <v>5.0</v>
      </c>
      <c r="E2" s="37" t="s">
        <v>4691</v>
      </c>
      <c r="AY2" s="37" t="s">
        <v>4692</v>
      </c>
      <c r="AZ2" s="39">
        <v>1.0</v>
      </c>
      <c r="BA2" s="39" t="s">
        <v>29</v>
      </c>
      <c r="BB2" s="39"/>
      <c r="BC2" s="39"/>
    </row>
    <row r="3" ht="18.75" customHeight="1" outlineLevel="1">
      <c r="A3" s="37" t="s">
        <v>4693</v>
      </c>
      <c r="B3" s="37" t="s">
        <v>4690</v>
      </c>
      <c r="C3" s="37">
        <v>1.0</v>
      </c>
      <c r="D3" s="37">
        <v>5.0</v>
      </c>
      <c r="E3" s="37" t="s">
        <v>4694</v>
      </c>
      <c r="AY3" s="37" t="s">
        <v>4695</v>
      </c>
      <c r="AZ3" s="39">
        <v>1.0</v>
      </c>
      <c r="BA3" s="39" t="s">
        <v>29</v>
      </c>
      <c r="BB3" s="39"/>
      <c r="BC3" s="39"/>
    </row>
    <row r="4" ht="18.75" customHeight="1" outlineLevel="1">
      <c r="A4" s="37" t="s">
        <v>4696</v>
      </c>
      <c r="B4" s="37" t="s">
        <v>4690</v>
      </c>
      <c r="C4" s="37">
        <v>1.0</v>
      </c>
      <c r="D4" s="37">
        <v>5.0</v>
      </c>
      <c r="E4" s="37" t="s">
        <v>4697</v>
      </c>
      <c r="AY4" s="37" t="s">
        <v>4698</v>
      </c>
      <c r="AZ4" s="39">
        <v>1.0</v>
      </c>
      <c r="BA4" s="39" t="s">
        <v>29</v>
      </c>
      <c r="BB4" s="39"/>
      <c r="BC4" s="39"/>
    </row>
    <row r="5" ht="18.75" customHeight="1" outlineLevel="1">
      <c r="A5" s="37" t="s">
        <v>4699</v>
      </c>
      <c r="B5" s="37" t="s">
        <v>4690</v>
      </c>
      <c r="C5" s="37">
        <v>2.0</v>
      </c>
      <c r="D5" s="37">
        <v>15.0</v>
      </c>
      <c r="E5" s="37" t="s">
        <v>4700</v>
      </c>
      <c r="AY5" s="37" t="s">
        <v>4701</v>
      </c>
      <c r="AZ5" s="39">
        <v>2.0</v>
      </c>
      <c r="BA5" s="39" t="s">
        <v>4692</v>
      </c>
      <c r="BB5" s="39"/>
      <c r="BC5" s="39"/>
    </row>
    <row r="6" ht="18.75" customHeight="1" outlineLevel="1">
      <c r="A6" s="37" t="s">
        <v>4702</v>
      </c>
      <c r="B6" s="37" t="s">
        <v>4690</v>
      </c>
      <c r="C6" s="37">
        <v>2.0</v>
      </c>
      <c r="D6" s="37">
        <v>15.0</v>
      </c>
      <c r="E6" s="37" t="s">
        <v>4703</v>
      </c>
      <c r="AY6" s="37" t="s">
        <v>4704</v>
      </c>
      <c r="AZ6" s="39">
        <v>2.0</v>
      </c>
      <c r="BA6" s="39" t="s">
        <v>4695</v>
      </c>
      <c r="BB6" s="39"/>
      <c r="BC6" s="39"/>
    </row>
    <row r="7" ht="18.75" customHeight="1" outlineLevel="1">
      <c r="A7" s="37" t="s">
        <v>4705</v>
      </c>
      <c r="B7" s="37" t="s">
        <v>4690</v>
      </c>
      <c r="C7" s="37">
        <v>2.0</v>
      </c>
      <c r="D7" s="37">
        <v>15.0</v>
      </c>
      <c r="E7" s="37" t="s">
        <v>4706</v>
      </c>
      <c r="AY7" s="37" t="s">
        <v>4707</v>
      </c>
      <c r="AZ7" s="39">
        <v>2.0</v>
      </c>
      <c r="BA7" s="39" t="s">
        <v>4698</v>
      </c>
      <c r="BB7" s="39"/>
      <c r="BC7" s="39"/>
    </row>
    <row r="8" ht="18.75" customHeight="1" outlineLevel="1">
      <c r="A8" s="37" t="s">
        <v>4708</v>
      </c>
      <c r="B8" s="37" t="s">
        <v>4690</v>
      </c>
      <c r="C8" s="37">
        <v>3.0</v>
      </c>
      <c r="D8" s="37">
        <v>25.0</v>
      </c>
      <c r="E8" s="37" t="s">
        <v>4709</v>
      </c>
      <c r="AY8" s="37" t="s">
        <v>4710</v>
      </c>
      <c r="AZ8" s="39">
        <v>3.0</v>
      </c>
      <c r="BA8" s="39" t="s">
        <v>4701</v>
      </c>
      <c r="BB8" s="39"/>
      <c r="BC8" s="39"/>
    </row>
    <row r="9" ht="18.75" customHeight="1" outlineLevel="1">
      <c r="A9" s="37" t="s">
        <v>4711</v>
      </c>
      <c r="B9" s="37" t="s">
        <v>4690</v>
      </c>
      <c r="C9" s="37">
        <v>3.0</v>
      </c>
      <c r="D9" s="37">
        <v>25.0</v>
      </c>
      <c r="E9" s="37" t="s">
        <v>4712</v>
      </c>
      <c r="AY9" s="37" t="s">
        <v>4713</v>
      </c>
      <c r="AZ9" s="39">
        <v>3.0</v>
      </c>
      <c r="BA9" s="39" t="s">
        <v>4704</v>
      </c>
      <c r="BB9" s="39"/>
      <c r="BC9" s="39"/>
    </row>
    <row r="10" ht="18.75" customHeight="1" outlineLevel="1">
      <c r="A10" s="37" t="s">
        <v>4714</v>
      </c>
      <c r="B10" s="37" t="s">
        <v>4690</v>
      </c>
      <c r="C10" s="37">
        <v>3.0</v>
      </c>
      <c r="D10" s="37">
        <v>25.0</v>
      </c>
      <c r="E10" s="37" t="s">
        <v>4714</v>
      </c>
      <c r="AY10" s="37" t="s">
        <v>4715</v>
      </c>
      <c r="AZ10" s="39">
        <v>3.0</v>
      </c>
      <c r="BA10" s="39" t="s">
        <v>4707</v>
      </c>
      <c r="BB10" s="39"/>
      <c r="BC10" s="39"/>
    </row>
    <row r="11" ht="18.75" customHeight="1" outlineLevel="1">
      <c r="A11" s="37" t="s">
        <v>4716</v>
      </c>
      <c r="B11" s="37" t="s">
        <v>4690</v>
      </c>
      <c r="C11" s="37">
        <v>4.0</v>
      </c>
      <c r="D11" s="37">
        <v>35.0</v>
      </c>
      <c r="E11" s="37" t="s">
        <v>4717</v>
      </c>
      <c r="AY11" s="37" t="s">
        <v>4718</v>
      </c>
      <c r="AZ11" s="39">
        <v>4.0</v>
      </c>
      <c r="BA11" s="39" t="s">
        <v>4710</v>
      </c>
      <c r="BB11" s="39"/>
      <c r="BC11" s="39"/>
    </row>
    <row r="12" ht="18.75" customHeight="1" outlineLevel="1">
      <c r="A12" s="37" t="s">
        <v>4719</v>
      </c>
      <c r="B12" s="37" t="s">
        <v>4690</v>
      </c>
      <c r="C12" s="37">
        <v>4.0</v>
      </c>
      <c r="D12" s="37">
        <v>35.0</v>
      </c>
      <c r="E12" s="37" t="s">
        <v>4720</v>
      </c>
      <c r="AY12" s="37" t="s">
        <v>4721</v>
      </c>
      <c r="AZ12" s="39">
        <v>4.0</v>
      </c>
      <c r="BA12" s="39" t="s">
        <v>4713</v>
      </c>
      <c r="BB12" s="39"/>
      <c r="BC12" s="39"/>
    </row>
    <row r="13" ht="18.75" customHeight="1" outlineLevel="1">
      <c r="A13" s="37" t="s">
        <v>4722</v>
      </c>
      <c r="B13" s="37" t="s">
        <v>4690</v>
      </c>
      <c r="C13" s="37">
        <v>4.0</v>
      </c>
      <c r="D13" s="37">
        <v>35.0</v>
      </c>
      <c r="E13" s="37" t="s">
        <v>4723</v>
      </c>
      <c r="AY13" s="37" t="s">
        <v>4724</v>
      </c>
      <c r="AZ13" s="39">
        <v>4.0</v>
      </c>
      <c r="BA13" s="39" t="s">
        <v>4715</v>
      </c>
      <c r="BB13" s="39"/>
      <c r="BC13" s="39"/>
    </row>
    <row r="14" ht="18.75" customHeight="1" outlineLevel="1">
      <c r="B14" s="37" t="s">
        <v>4690</v>
      </c>
      <c r="C14" s="37">
        <f t="shared" ref="C14:C21" si="1">C11+1</f>
        <v>5</v>
      </c>
    </row>
    <row r="15" ht="18.75" customHeight="1" outlineLevel="1">
      <c r="B15" s="37" t="s">
        <v>4690</v>
      </c>
      <c r="C15" s="37">
        <f t="shared" si="1"/>
        <v>5</v>
      </c>
    </row>
    <row r="16" ht="18.75" customHeight="1" outlineLevel="1">
      <c r="B16" s="37" t="s">
        <v>4690</v>
      </c>
      <c r="C16" s="37">
        <f t="shared" si="1"/>
        <v>5</v>
      </c>
    </row>
    <row r="17" ht="18.75" customHeight="1" outlineLevel="1">
      <c r="B17" s="37" t="s">
        <v>4690</v>
      </c>
      <c r="C17" s="37">
        <f t="shared" si="1"/>
        <v>6</v>
      </c>
    </row>
    <row r="18" ht="18.75" customHeight="1" outlineLevel="1">
      <c r="B18" s="37" t="s">
        <v>4690</v>
      </c>
      <c r="C18" s="37">
        <f t="shared" si="1"/>
        <v>6</v>
      </c>
    </row>
    <row r="19" ht="18.75" customHeight="1" outlineLevel="1">
      <c r="B19" s="37" t="s">
        <v>4690</v>
      </c>
      <c r="C19" s="37">
        <f t="shared" si="1"/>
        <v>6</v>
      </c>
    </row>
    <row r="20" ht="18.75" customHeight="1" outlineLevel="1">
      <c r="B20" s="37" t="s">
        <v>4690</v>
      </c>
      <c r="C20" s="37">
        <f t="shared" si="1"/>
        <v>7</v>
      </c>
    </row>
    <row r="21" ht="18.75" customHeight="1" outlineLevel="1">
      <c r="B21" s="37" t="s">
        <v>4690</v>
      </c>
      <c r="C21" s="37">
        <f t="shared" si="1"/>
        <v>7</v>
      </c>
    </row>
    <row r="22" ht="18.75" customHeight="1" outlineLevel="1">
      <c r="A22" s="37" t="s">
        <v>4391</v>
      </c>
      <c r="B22" s="37" t="s">
        <v>4683</v>
      </c>
      <c r="C22" s="37" t="s">
        <v>0</v>
      </c>
      <c r="E22" s="37" t="s">
        <v>2620</v>
      </c>
    </row>
    <row r="23" ht="18.75" customHeight="1">
      <c r="A23" s="37" t="s">
        <v>4725</v>
      </c>
      <c r="B23" s="37" t="s">
        <v>4726</v>
      </c>
      <c r="C23" s="37">
        <v>1.0</v>
      </c>
      <c r="D23" s="37">
        <v>5.0</v>
      </c>
      <c r="E23" s="37" t="s">
        <v>4727</v>
      </c>
      <c r="AW23" s="39">
        <v>10.0</v>
      </c>
      <c r="AY23" s="37" t="s">
        <v>4728</v>
      </c>
      <c r="AZ23" s="39">
        <v>1.0</v>
      </c>
      <c r="BA23" s="39" t="s">
        <v>29</v>
      </c>
      <c r="BB23" s="39"/>
      <c r="BC23" s="39"/>
    </row>
    <row r="24" ht="18.75" customHeight="1" outlineLevel="1">
      <c r="A24" s="37" t="s">
        <v>4729</v>
      </c>
      <c r="B24" s="37" t="s">
        <v>4726</v>
      </c>
      <c r="C24" s="37">
        <v>1.0</v>
      </c>
      <c r="D24" s="37">
        <v>5.0</v>
      </c>
      <c r="E24" s="37" t="s">
        <v>4730</v>
      </c>
      <c r="AY24" s="37" t="s">
        <v>4731</v>
      </c>
      <c r="AZ24" s="39">
        <v>1.0</v>
      </c>
      <c r="BA24" s="39" t="s">
        <v>29</v>
      </c>
      <c r="BB24" s="39"/>
      <c r="BC24" s="39"/>
    </row>
    <row r="25" ht="18.75" customHeight="1" outlineLevel="1">
      <c r="A25" s="37" t="s">
        <v>4732</v>
      </c>
      <c r="B25" s="37" t="s">
        <v>4726</v>
      </c>
      <c r="C25" s="37">
        <v>1.0</v>
      </c>
      <c r="D25" s="37">
        <v>5.0</v>
      </c>
      <c r="E25" s="37" t="s">
        <v>4733</v>
      </c>
      <c r="AY25" s="37" t="s">
        <v>4734</v>
      </c>
      <c r="AZ25" s="39">
        <v>1.0</v>
      </c>
      <c r="BA25" s="39" t="s">
        <v>29</v>
      </c>
      <c r="BB25" s="39"/>
      <c r="BC25" s="39"/>
    </row>
    <row r="26" ht="18.75" customHeight="1" outlineLevel="1">
      <c r="A26" s="37" t="s">
        <v>4735</v>
      </c>
      <c r="B26" s="37" t="s">
        <v>4726</v>
      </c>
      <c r="C26" s="37">
        <v>2.0</v>
      </c>
      <c r="D26" s="37">
        <v>15.0</v>
      </c>
      <c r="E26" s="37" t="s">
        <v>4736</v>
      </c>
      <c r="AY26" s="37" t="s">
        <v>4737</v>
      </c>
      <c r="AZ26" s="39">
        <v>2.0</v>
      </c>
      <c r="BA26" s="39" t="s">
        <v>4728</v>
      </c>
      <c r="BB26" s="39"/>
      <c r="BC26" s="39"/>
    </row>
    <row r="27" ht="18.75" customHeight="1" outlineLevel="1">
      <c r="A27" s="37" t="s">
        <v>4738</v>
      </c>
      <c r="B27" s="37" t="s">
        <v>4726</v>
      </c>
      <c r="C27" s="37">
        <v>2.0</v>
      </c>
      <c r="D27" s="37">
        <v>15.0</v>
      </c>
      <c r="E27" s="37" t="s">
        <v>4739</v>
      </c>
      <c r="AY27" s="37" t="s">
        <v>4740</v>
      </c>
      <c r="AZ27" s="39">
        <v>2.0</v>
      </c>
      <c r="BA27" s="39" t="s">
        <v>4731</v>
      </c>
      <c r="BB27" s="39"/>
      <c r="BC27" s="39"/>
    </row>
    <row r="28" ht="18.75" customHeight="1" outlineLevel="1">
      <c r="A28" s="37" t="s">
        <v>4741</v>
      </c>
      <c r="B28" s="37" t="s">
        <v>4726</v>
      </c>
      <c r="C28" s="37">
        <v>2.0</v>
      </c>
      <c r="D28" s="37">
        <v>15.0</v>
      </c>
      <c r="E28" s="37" t="s">
        <v>4742</v>
      </c>
      <c r="AY28" s="37" t="s">
        <v>4743</v>
      </c>
      <c r="AZ28" s="39">
        <v>2.0</v>
      </c>
      <c r="BA28" s="39" t="s">
        <v>4734</v>
      </c>
      <c r="BB28" s="39"/>
      <c r="BC28" s="39"/>
    </row>
    <row r="29" ht="18.75" customHeight="1" outlineLevel="1">
      <c r="A29" s="37" t="s">
        <v>4744</v>
      </c>
      <c r="B29" s="37" t="s">
        <v>4726</v>
      </c>
      <c r="C29" s="37">
        <v>3.0</v>
      </c>
      <c r="D29" s="37">
        <v>25.0</v>
      </c>
      <c r="E29" s="37" t="s">
        <v>4745</v>
      </c>
      <c r="O29" s="39">
        <v>10.0</v>
      </c>
      <c r="AY29" s="37" t="s">
        <v>4746</v>
      </c>
      <c r="AZ29" s="39">
        <v>3.0</v>
      </c>
      <c r="BA29" s="39" t="s">
        <v>4737</v>
      </c>
      <c r="BB29" s="39"/>
      <c r="BC29" s="39"/>
    </row>
    <row r="30" ht="18.75" customHeight="1" outlineLevel="1">
      <c r="A30" s="37" t="s">
        <v>4747</v>
      </c>
      <c r="B30" s="37" t="s">
        <v>4726</v>
      </c>
      <c r="C30" s="37">
        <v>3.0</v>
      </c>
      <c r="D30" s="37">
        <v>25.0</v>
      </c>
      <c r="E30" s="37" t="s">
        <v>4748</v>
      </c>
      <c r="AW30" s="39">
        <v>15.0</v>
      </c>
      <c r="AY30" s="37" t="s">
        <v>4749</v>
      </c>
      <c r="AZ30" s="39">
        <v>3.0</v>
      </c>
      <c r="BA30" s="39" t="s">
        <v>4740</v>
      </c>
      <c r="BB30" s="39"/>
      <c r="BC30" s="39"/>
    </row>
    <row r="31" ht="18.75" customHeight="1" outlineLevel="1">
      <c r="A31" s="37" t="s">
        <v>4750</v>
      </c>
      <c r="B31" s="37" t="s">
        <v>4726</v>
      </c>
      <c r="C31" s="37">
        <v>3.0</v>
      </c>
      <c r="D31" s="37">
        <v>25.0</v>
      </c>
      <c r="E31" s="37" t="s">
        <v>4751</v>
      </c>
      <c r="AY31" s="37" t="s">
        <v>4752</v>
      </c>
      <c r="AZ31" s="39">
        <v>3.0</v>
      </c>
      <c r="BA31" s="39" t="s">
        <v>4743</v>
      </c>
      <c r="BB31" s="39"/>
      <c r="BC31" s="39"/>
    </row>
    <row r="32" ht="18.75" customHeight="1" outlineLevel="1">
      <c r="A32" s="37" t="s">
        <v>4753</v>
      </c>
      <c r="B32" s="37" t="s">
        <v>4726</v>
      </c>
      <c r="C32" s="37">
        <v>4.0</v>
      </c>
      <c r="D32" s="37">
        <v>35.0</v>
      </c>
      <c r="E32" s="37" t="s">
        <v>4754</v>
      </c>
      <c r="AW32" s="39">
        <v>25.0</v>
      </c>
      <c r="AY32" s="37" t="s">
        <v>4755</v>
      </c>
      <c r="AZ32" s="39">
        <v>4.0</v>
      </c>
      <c r="BA32" s="39" t="s">
        <v>4746</v>
      </c>
      <c r="BB32" s="39"/>
      <c r="BC32" s="39"/>
    </row>
    <row r="33" ht="18.75" customHeight="1" outlineLevel="1">
      <c r="A33" s="37" t="s">
        <v>4756</v>
      </c>
      <c r="B33" s="37" t="s">
        <v>4726</v>
      </c>
      <c r="C33" s="37">
        <v>4.0</v>
      </c>
      <c r="D33" s="37">
        <v>35.0</v>
      </c>
      <c r="E33" s="37" t="s">
        <v>4757</v>
      </c>
      <c r="O33" s="39">
        <v>20.0</v>
      </c>
      <c r="AY33" s="37" t="s">
        <v>4758</v>
      </c>
      <c r="AZ33" s="39">
        <v>4.0</v>
      </c>
      <c r="BA33" s="39" t="s">
        <v>4749</v>
      </c>
      <c r="BB33" s="39"/>
      <c r="BC33" s="39"/>
    </row>
    <row r="34" ht="18.75" customHeight="1" outlineLevel="1">
      <c r="A34" s="37" t="s">
        <v>4759</v>
      </c>
      <c r="B34" s="37" t="s">
        <v>4726</v>
      </c>
      <c r="C34" s="37">
        <v>4.0</v>
      </c>
      <c r="D34" s="37">
        <v>35.0</v>
      </c>
      <c r="E34" s="37" t="s">
        <v>4760</v>
      </c>
      <c r="AY34" s="37" t="s">
        <v>4761</v>
      </c>
      <c r="AZ34" s="39">
        <v>4.0</v>
      </c>
      <c r="BA34" s="39" t="s">
        <v>4752</v>
      </c>
      <c r="BB34" s="39"/>
      <c r="BC34" s="39"/>
    </row>
    <row r="35" ht="18.75" customHeight="1" outlineLevel="1">
      <c r="B35" s="37" t="s">
        <v>4726</v>
      </c>
      <c r="C35" s="37">
        <f t="shared" ref="C35:C42" si="2">C32+1</f>
        <v>5</v>
      </c>
    </row>
    <row r="36" ht="18.75" customHeight="1" outlineLevel="1">
      <c r="B36" s="37" t="s">
        <v>4726</v>
      </c>
      <c r="C36" s="37">
        <f t="shared" si="2"/>
        <v>5</v>
      </c>
    </row>
    <row r="37" ht="18.75" customHeight="1" outlineLevel="1">
      <c r="B37" s="37" t="s">
        <v>4726</v>
      </c>
      <c r="C37" s="37">
        <f t="shared" si="2"/>
        <v>5</v>
      </c>
    </row>
    <row r="38" ht="18.75" customHeight="1" outlineLevel="1">
      <c r="B38" s="37" t="s">
        <v>4726</v>
      </c>
      <c r="C38" s="37">
        <f t="shared" si="2"/>
        <v>6</v>
      </c>
    </row>
    <row r="39" ht="18.75" customHeight="1" outlineLevel="1">
      <c r="B39" s="37" t="s">
        <v>4726</v>
      </c>
      <c r="C39" s="37">
        <f t="shared" si="2"/>
        <v>6</v>
      </c>
    </row>
    <row r="40" ht="18.75" customHeight="1" outlineLevel="1">
      <c r="B40" s="37" t="s">
        <v>4726</v>
      </c>
      <c r="C40" s="37">
        <f t="shared" si="2"/>
        <v>6</v>
      </c>
    </row>
    <row r="41" ht="18.75" customHeight="1" outlineLevel="1">
      <c r="B41" s="37" t="s">
        <v>4726</v>
      </c>
      <c r="C41" s="37">
        <f t="shared" si="2"/>
        <v>7</v>
      </c>
    </row>
    <row r="42" ht="18.75" customHeight="1" outlineLevel="1">
      <c r="B42" s="37" t="s">
        <v>4726</v>
      </c>
      <c r="C42" s="37">
        <f t="shared" si="2"/>
        <v>7</v>
      </c>
    </row>
    <row r="43" ht="18.75" customHeight="1" outlineLevel="1">
      <c r="A43" s="37" t="s">
        <v>4391</v>
      </c>
      <c r="B43" s="37" t="s">
        <v>4683</v>
      </c>
      <c r="C43" s="37" t="s">
        <v>0</v>
      </c>
      <c r="E43" s="37" t="s">
        <v>2620</v>
      </c>
    </row>
    <row r="44" ht="18.75" customHeight="1">
      <c r="A44" s="37" t="s">
        <v>4762</v>
      </c>
      <c r="B44" s="37" t="s">
        <v>1179</v>
      </c>
      <c r="C44" s="37">
        <v>1.0</v>
      </c>
      <c r="D44" s="37">
        <v>5.0</v>
      </c>
      <c r="E44" s="37" t="s">
        <v>4763</v>
      </c>
      <c r="AX44" s="39">
        <v>15.0</v>
      </c>
      <c r="AY44" s="37" t="s">
        <v>4764</v>
      </c>
      <c r="AZ44" s="39">
        <v>1.0</v>
      </c>
      <c r="BA44" s="39" t="s">
        <v>29</v>
      </c>
      <c r="BB44" s="39"/>
      <c r="BC44" s="39"/>
    </row>
    <row r="45" ht="18.75" customHeight="1" outlineLevel="1">
      <c r="A45" s="37" t="s">
        <v>4765</v>
      </c>
      <c r="B45" s="37" t="s">
        <v>1179</v>
      </c>
      <c r="C45" s="37">
        <v>1.0</v>
      </c>
      <c r="D45" s="37">
        <v>5.0</v>
      </c>
      <c r="E45" s="37" t="s">
        <v>4766</v>
      </c>
      <c r="AY45" s="37" t="s">
        <v>4767</v>
      </c>
      <c r="AZ45" s="39">
        <v>1.0</v>
      </c>
      <c r="BA45" s="39" t="s">
        <v>29</v>
      </c>
      <c r="BB45" s="39"/>
      <c r="BC45" s="39"/>
    </row>
    <row r="46" ht="18.75" customHeight="1" outlineLevel="1">
      <c r="A46" s="37" t="s">
        <v>4768</v>
      </c>
      <c r="B46" s="37" t="s">
        <v>1179</v>
      </c>
      <c r="C46" s="37">
        <v>1.0</v>
      </c>
      <c r="D46" s="37">
        <v>5.0</v>
      </c>
      <c r="E46" s="37" t="s">
        <v>4769</v>
      </c>
      <c r="AY46" s="37" t="s">
        <v>4770</v>
      </c>
      <c r="AZ46" s="39">
        <v>1.0</v>
      </c>
      <c r="BA46" s="39" t="s">
        <v>29</v>
      </c>
      <c r="BB46" s="39"/>
      <c r="BC46" s="39"/>
    </row>
    <row r="47" ht="18.75" customHeight="1" outlineLevel="1">
      <c r="A47" s="37" t="s">
        <v>4771</v>
      </c>
      <c r="B47" s="37" t="s">
        <v>1179</v>
      </c>
      <c r="C47" s="37">
        <v>2.0</v>
      </c>
      <c r="D47" s="37">
        <v>15.0</v>
      </c>
      <c r="E47" s="37" t="s">
        <v>4772</v>
      </c>
      <c r="AY47" s="37" t="s">
        <v>4773</v>
      </c>
      <c r="AZ47" s="39">
        <v>2.0</v>
      </c>
      <c r="BA47" s="39" t="s">
        <v>4764</v>
      </c>
      <c r="BB47" s="39"/>
      <c r="BC47" s="39"/>
    </row>
    <row r="48" ht="18.75" customHeight="1" outlineLevel="1">
      <c r="A48" s="37" t="s">
        <v>4774</v>
      </c>
      <c r="B48" s="37" t="s">
        <v>1179</v>
      </c>
      <c r="C48" s="37">
        <v>2.0</v>
      </c>
      <c r="D48" s="37">
        <v>15.0</v>
      </c>
      <c r="E48" s="37" t="s">
        <v>4775</v>
      </c>
      <c r="AY48" s="37" t="s">
        <v>4776</v>
      </c>
      <c r="AZ48" s="39">
        <v>2.0</v>
      </c>
      <c r="BA48" s="39" t="s">
        <v>4767</v>
      </c>
      <c r="BB48" s="39"/>
      <c r="BC48" s="39"/>
    </row>
    <row r="49" ht="18.75" customHeight="1" outlineLevel="1">
      <c r="A49" s="37" t="s">
        <v>4777</v>
      </c>
      <c r="B49" s="37" t="s">
        <v>1179</v>
      </c>
      <c r="C49" s="37">
        <v>2.0</v>
      </c>
      <c r="D49" s="37">
        <v>15.0</v>
      </c>
      <c r="E49" s="37" t="s">
        <v>4742</v>
      </c>
      <c r="AY49" s="37" t="s">
        <v>4778</v>
      </c>
      <c r="AZ49" s="39">
        <v>2.0</v>
      </c>
      <c r="BA49" s="39" t="s">
        <v>4770</v>
      </c>
      <c r="BB49" s="39"/>
      <c r="BC49" s="39"/>
    </row>
    <row r="50" ht="18.75" customHeight="1" outlineLevel="1">
      <c r="A50" s="37" t="s">
        <v>4779</v>
      </c>
      <c r="B50" s="37" t="s">
        <v>1179</v>
      </c>
      <c r="C50" s="37">
        <v>3.0</v>
      </c>
      <c r="D50" s="37">
        <v>25.0</v>
      </c>
      <c r="E50" s="37" t="s">
        <v>4745</v>
      </c>
      <c r="O50" s="39">
        <v>10.0</v>
      </c>
      <c r="AY50" s="37" t="s">
        <v>4780</v>
      </c>
      <c r="AZ50" s="39">
        <v>3.0</v>
      </c>
      <c r="BA50" s="39" t="s">
        <v>4773</v>
      </c>
      <c r="BB50" s="39"/>
      <c r="BC50" s="39"/>
    </row>
    <row r="51" ht="18.75" customHeight="1" outlineLevel="1">
      <c r="A51" s="37" t="s">
        <v>4781</v>
      </c>
      <c r="B51" s="37" t="s">
        <v>1179</v>
      </c>
      <c r="C51" s="37">
        <v>3.0</v>
      </c>
      <c r="D51" s="37">
        <v>25.0</v>
      </c>
      <c r="E51" s="37" t="s">
        <v>4782</v>
      </c>
      <c r="AY51" s="37" t="s">
        <v>4783</v>
      </c>
      <c r="AZ51" s="39">
        <v>3.0</v>
      </c>
      <c r="BA51" s="39" t="s">
        <v>4776</v>
      </c>
      <c r="BB51" s="39"/>
      <c r="BC51" s="39"/>
    </row>
    <row r="52" ht="18.75" customHeight="1" outlineLevel="1">
      <c r="A52" s="37" t="s">
        <v>4784</v>
      </c>
      <c r="B52" s="37" t="s">
        <v>1179</v>
      </c>
      <c r="C52" s="37">
        <v>3.0</v>
      </c>
      <c r="D52" s="37">
        <v>25.0</v>
      </c>
      <c r="E52" s="37" t="s">
        <v>4785</v>
      </c>
      <c r="AY52" s="37" t="s">
        <v>4786</v>
      </c>
      <c r="AZ52" s="39">
        <v>3.0</v>
      </c>
      <c r="BA52" s="39" t="s">
        <v>4778</v>
      </c>
      <c r="BB52" s="39"/>
      <c r="BC52" s="39"/>
    </row>
    <row r="53" ht="18.75" customHeight="1" outlineLevel="1">
      <c r="A53" s="37" t="s">
        <v>4787</v>
      </c>
      <c r="B53" s="37" t="s">
        <v>1179</v>
      </c>
      <c r="C53" s="37">
        <v>4.0</v>
      </c>
      <c r="D53" s="37">
        <v>35.0</v>
      </c>
      <c r="E53" s="37" t="s">
        <v>4757</v>
      </c>
      <c r="O53" s="39">
        <v>20.0</v>
      </c>
      <c r="AY53" s="37" t="s">
        <v>4788</v>
      </c>
      <c r="AZ53" s="39">
        <v>4.0</v>
      </c>
      <c r="BA53" s="39" t="s">
        <v>4780</v>
      </c>
      <c r="BB53" s="39"/>
      <c r="BC53" s="39"/>
    </row>
    <row r="54" ht="18.75" customHeight="1" outlineLevel="1">
      <c r="A54" s="37" t="s">
        <v>4789</v>
      </c>
      <c r="B54" s="37" t="s">
        <v>1179</v>
      </c>
      <c r="C54" s="37">
        <v>4.0</v>
      </c>
      <c r="D54" s="37">
        <v>35.0</v>
      </c>
      <c r="E54" s="37" t="s">
        <v>4790</v>
      </c>
      <c r="AX54" s="39">
        <v>25.0</v>
      </c>
      <c r="AY54" s="37" t="s">
        <v>4791</v>
      </c>
      <c r="AZ54" s="39">
        <v>4.0</v>
      </c>
      <c r="BA54" s="39" t="s">
        <v>4783</v>
      </c>
      <c r="BB54" s="39"/>
      <c r="BC54" s="39"/>
    </row>
    <row r="55" ht="18.75" customHeight="1" outlineLevel="1">
      <c r="A55" s="37" t="s">
        <v>4792</v>
      </c>
      <c r="B55" s="37" t="s">
        <v>1179</v>
      </c>
      <c r="C55" s="37">
        <v>4.0</v>
      </c>
      <c r="D55" s="37">
        <v>35.0</v>
      </c>
      <c r="E55" s="37" t="s">
        <v>4793</v>
      </c>
      <c r="AY55" s="37" t="s">
        <v>4794</v>
      </c>
      <c r="AZ55" s="39">
        <v>4.0</v>
      </c>
      <c r="BA55" s="39" t="s">
        <v>4786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4795</v>
      </c>
      <c r="B65" s="37" t="s">
        <v>4316</v>
      </c>
      <c r="C65" s="37">
        <v>1.0</v>
      </c>
      <c r="D65" s="37">
        <v>5.0</v>
      </c>
      <c r="E65" s="37" t="s">
        <v>4796</v>
      </c>
      <c r="AJ65" s="39">
        <v>10.0</v>
      </c>
      <c r="AY65" s="37" t="s">
        <v>4797</v>
      </c>
      <c r="AZ65" s="39">
        <v>1.0</v>
      </c>
      <c r="BA65" s="39" t="s">
        <v>29</v>
      </c>
      <c r="BB65" s="39"/>
      <c r="BC65" s="39"/>
    </row>
    <row r="66" ht="18.75" customHeight="1" outlineLevel="1">
      <c r="A66" s="37" t="s">
        <v>4798</v>
      </c>
      <c r="B66" s="37" t="s">
        <v>4316</v>
      </c>
      <c r="C66" s="37">
        <v>1.0</v>
      </c>
      <c r="D66" s="37">
        <v>5.0</v>
      </c>
      <c r="E66" s="37" t="s">
        <v>4799</v>
      </c>
      <c r="AY66" s="37" t="s">
        <v>4800</v>
      </c>
      <c r="AZ66" s="39">
        <v>1.0</v>
      </c>
      <c r="BA66" s="39" t="s">
        <v>29</v>
      </c>
      <c r="BB66" s="39"/>
      <c r="BC66" s="39"/>
    </row>
    <row r="67" ht="18.75" customHeight="1" outlineLevel="1">
      <c r="A67" s="37" t="s">
        <v>4801</v>
      </c>
      <c r="B67" s="37" t="s">
        <v>4316</v>
      </c>
      <c r="C67" s="37">
        <v>1.0</v>
      </c>
      <c r="D67" s="37">
        <v>5.0</v>
      </c>
      <c r="E67" s="37" t="s">
        <v>4802</v>
      </c>
      <c r="AY67" s="37" t="s">
        <v>4803</v>
      </c>
      <c r="AZ67" s="39">
        <v>1.0</v>
      </c>
      <c r="BA67" s="39" t="s">
        <v>29</v>
      </c>
      <c r="BB67" s="39"/>
      <c r="BC67" s="39"/>
    </row>
    <row r="68" ht="18.75" customHeight="1" outlineLevel="1">
      <c r="A68" s="37" t="s">
        <v>4804</v>
      </c>
      <c r="B68" s="37" t="s">
        <v>4316</v>
      </c>
      <c r="C68" s="37">
        <v>2.0</v>
      </c>
      <c r="D68" s="37">
        <v>15.0</v>
      </c>
      <c r="E68" s="37" t="s">
        <v>4805</v>
      </c>
      <c r="AY68" s="37" t="s">
        <v>4806</v>
      </c>
      <c r="AZ68" s="39">
        <v>2.0</v>
      </c>
      <c r="BA68" s="39" t="s">
        <v>4797</v>
      </c>
      <c r="BB68" s="39"/>
      <c r="BC68" s="39"/>
    </row>
    <row r="69" ht="18.75" customHeight="1" outlineLevel="1">
      <c r="A69" s="37" t="s">
        <v>4807</v>
      </c>
      <c r="B69" s="37" t="s">
        <v>4316</v>
      </c>
      <c r="C69" s="37">
        <v>2.0</v>
      </c>
      <c r="D69" s="37">
        <v>15.0</v>
      </c>
      <c r="E69" s="37" t="s">
        <v>4808</v>
      </c>
      <c r="AY69" s="37" t="s">
        <v>4809</v>
      </c>
      <c r="AZ69" s="39">
        <v>2.0</v>
      </c>
      <c r="BA69" s="39" t="s">
        <v>4800</v>
      </c>
      <c r="BB69" s="39"/>
      <c r="BC69" s="39"/>
    </row>
    <row r="70" ht="18.75" customHeight="1" outlineLevel="1">
      <c r="A70" s="37" t="s">
        <v>4810</v>
      </c>
      <c r="B70" s="37" t="s">
        <v>4316</v>
      </c>
      <c r="C70" s="37">
        <v>2.0</v>
      </c>
      <c r="D70" s="37">
        <v>15.0</v>
      </c>
      <c r="E70" s="37" t="s">
        <v>4811</v>
      </c>
      <c r="AY70" s="37" t="s">
        <v>4812</v>
      </c>
      <c r="AZ70" s="39">
        <v>2.0</v>
      </c>
      <c r="BA70" s="39" t="s">
        <v>4803</v>
      </c>
      <c r="BB70" s="39"/>
      <c r="BC70" s="39"/>
    </row>
    <row r="71" ht="18.75" customHeight="1" outlineLevel="1">
      <c r="A71" s="37" t="s">
        <v>4813</v>
      </c>
      <c r="B71" s="37" t="s">
        <v>4316</v>
      </c>
      <c r="C71" s="37">
        <v>3.0</v>
      </c>
      <c r="D71" s="37">
        <v>25.0</v>
      </c>
      <c r="E71" s="37" t="s">
        <v>4799</v>
      </c>
      <c r="AY71" s="37" t="s">
        <v>4814</v>
      </c>
      <c r="AZ71" s="39">
        <v>3.0</v>
      </c>
      <c r="BA71" s="39" t="s">
        <v>4806</v>
      </c>
      <c r="BB71" s="39"/>
      <c r="BC71" s="39"/>
    </row>
    <row r="72" ht="18.75" customHeight="1" outlineLevel="1">
      <c r="A72" s="37" t="s">
        <v>4815</v>
      </c>
      <c r="B72" s="37" t="s">
        <v>4316</v>
      </c>
      <c r="C72" s="37">
        <v>3.0</v>
      </c>
      <c r="D72" s="37">
        <v>25.0</v>
      </c>
      <c r="E72" s="37" t="s">
        <v>4816</v>
      </c>
      <c r="AY72" s="37" t="s">
        <v>4817</v>
      </c>
      <c r="AZ72" s="39">
        <v>3.0</v>
      </c>
      <c r="BA72" s="39" t="s">
        <v>4809</v>
      </c>
      <c r="BB72" s="39"/>
      <c r="BC72" s="39"/>
    </row>
    <row r="73" ht="18.75" customHeight="1" outlineLevel="1">
      <c r="A73" s="37" t="s">
        <v>4818</v>
      </c>
      <c r="B73" s="37" t="s">
        <v>4316</v>
      </c>
      <c r="C73" s="37">
        <v>3.0</v>
      </c>
      <c r="D73" s="37">
        <v>25.0</v>
      </c>
      <c r="E73" s="37" t="s">
        <v>4819</v>
      </c>
      <c r="AY73" s="37" t="s">
        <v>4820</v>
      </c>
      <c r="AZ73" s="39">
        <v>3.0</v>
      </c>
      <c r="BA73" s="39" t="s">
        <v>4812</v>
      </c>
      <c r="BB73" s="39"/>
      <c r="BC73" s="39"/>
    </row>
    <row r="74" ht="18.75" customHeight="1" outlineLevel="1">
      <c r="A74" s="37" t="s">
        <v>4821</v>
      </c>
      <c r="B74" s="37" t="s">
        <v>4316</v>
      </c>
      <c r="C74" s="37">
        <v>4.0</v>
      </c>
      <c r="D74" s="37">
        <v>35.0</v>
      </c>
      <c r="E74" s="37" t="s">
        <v>4822</v>
      </c>
      <c r="AJ74" s="39">
        <v>25.0</v>
      </c>
      <c r="AY74" s="37" t="s">
        <v>4823</v>
      </c>
      <c r="AZ74" s="39">
        <v>4.0</v>
      </c>
      <c r="BA74" s="39" t="s">
        <v>4814</v>
      </c>
      <c r="BB74" s="39"/>
      <c r="BC74" s="39"/>
    </row>
    <row r="75" ht="18.75" customHeight="1" outlineLevel="1">
      <c r="A75" s="37" t="s">
        <v>4824</v>
      </c>
      <c r="B75" s="37" t="s">
        <v>4316</v>
      </c>
      <c r="C75" s="37">
        <v>4.0</v>
      </c>
      <c r="D75" s="37">
        <v>35.0</v>
      </c>
      <c r="E75" s="37" t="s">
        <v>4825</v>
      </c>
      <c r="AY75" s="37" t="s">
        <v>4826</v>
      </c>
      <c r="AZ75" s="39">
        <v>4.0</v>
      </c>
      <c r="BA75" s="39" t="s">
        <v>4817</v>
      </c>
      <c r="BB75" s="39"/>
      <c r="BC75" s="39"/>
    </row>
    <row r="76" ht="18.75" customHeight="1" outlineLevel="1">
      <c r="A76" s="37" t="s">
        <v>4827</v>
      </c>
      <c r="B76" s="37" t="s">
        <v>4316</v>
      </c>
      <c r="C76" s="37">
        <v>4.0</v>
      </c>
      <c r="D76" s="37">
        <v>35.0</v>
      </c>
      <c r="E76" s="37" t="s">
        <v>4828</v>
      </c>
      <c r="AY76" s="37" t="s">
        <v>4829</v>
      </c>
      <c r="AZ76" s="39">
        <v>4.0</v>
      </c>
      <c r="BA76" s="39" t="s">
        <v>4820</v>
      </c>
      <c r="BB76" s="39"/>
      <c r="BC76" s="39"/>
    </row>
    <row r="77" ht="18.75" customHeight="1" outlineLevel="1">
      <c r="B77" s="37" t="s">
        <v>4316</v>
      </c>
      <c r="C77" s="37">
        <f t="shared" ref="C77:C85" si="4">C74+1</f>
        <v>5</v>
      </c>
    </row>
    <row r="78" ht="18.75" customHeight="1" outlineLevel="1">
      <c r="B78" s="37" t="s">
        <v>4316</v>
      </c>
      <c r="C78" s="37">
        <f t="shared" si="4"/>
        <v>5</v>
      </c>
    </row>
    <row r="79" ht="18.75" customHeight="1" outlineLevel="1">
      <c r="B79" s="37" t="s">
        <v>4316</v>
      </c>
      <c r="C79" s="37">
        <f t="shared" si="4"/>
        <v>5</v>
      </c>
    </row>
    <row r="80" ht="18.75" customHeight="1" outlineLevel="1">
      <c r="B80" s="37" t="s">
        <v>4316</v>
      </c>
      <c r="C80" s="37">
        <f t="shared" si="4"/>
        <v>6</v>
      </c>
    </row>
    <row r="81" ht="18.75" customHeight="1" outlineLevel="1">
      <c r="B81" s="37" t="s">
        <v>4316</v>
      </c>
      <c r="C81" s="37">
        <f t="shared" si="4"/>
        <v>6</v>
      </c>
    </row>
    <row r="82" ht="18.75" customHeight="1" outlineLevel="1">
      <c r="B82" s="37" t="s">
        <v>4316</v>
      </c>
      <c r="C82" s="37">
        <f t="shared" si="4"/>
        <v>6</v>
      </c>
    </row>
    <row r="83" ht="18.75" customHeight="1" outlineLevel="1">
      <c r="B83" s="37" t="s">
        <v>4316</v>
      </c>
      <c r="C83" s="37">
        <f t="shared" si="4"/>
        <v>7</v>
      </c>
    </row>
    <row r="84" ht="18.75" customHeight="1" outlineLevel="1">
      <c r="B84" s="37" t="s">
        <v>4316</v>
      </c>
      <c r="C84" s="37">
        <f t="shared" si="4"/>
        <v>7</v>
      </c>
    </row>
    <row r="85" ht="18.75" customHeight="1" outlineLevel="1">
      <c r="B85" s="37" t="s">
        <v>4316</v>
      </c>
      <c r="C85" s="37">
        <f t="shared" si="4"/>
        <v>7</v>
      </c>
    </row>
    <row r="86" ht="18.75" customHeight="1" outlineLevel="1">
      <c r="A86" s="37" t="s">
        <v>4830</v>
      </c>
      <c r="B86" s="37" t="s">
        <v>4831</v>
      </c>
      <c r="C86" s="37">
        <v>1.0</v>
      </c>
      <c r="D86" s="37">
        <v>5.0</v>
      </c>
      <c r="E86" s="37" t="s">
        <v>4832</v>
      </c>
      <c r="AY86" s="37" t="s">
        <v>4833</v>
      </c>
      <c r="AZ86" s="39">
        <v>1.0</v>
      </c>
      <c r="BA86" s="39" t="s">
        <v>29</v>
      </c>
      <c r="BB86" s="39"/>
      <c r="BC86" s="39"/>
    </row>
    <row r="87" ht="18.75" customHeight="1">
      <c r="A87" s="37" t="s">
        <v>4834</v>
      </c>
      <c r="B87" s="37" t="s">
        <v>4831</v>
      </c>
      <c r="C87" s="37">
        <v>1.0</v>
      </c>
      <c r="D87" s="37">
        <v>5.0</v>
      </c>
      <c r="E87" s="37" t="s">
        <v>4835</v>
      </c>
      <c r="AY87" s="37" t="s">
        <v>4836</v>
      </c>
      <c r="AZ87" s="39">
        <v>1.0</v>
      </c>
      <c r="BA87" s="39" t="s">
        <v>29</v>
      </c>
      <c r="BB87" s="39"/>
      <c r="BC87" s="39"/>
    </row>
    <row r="88" ht="18.75" customHeight="1" outlineLevel="1">
      <c r="A88" s="37" t="s">
        <v>4837</v>
      </c>
      <c r="B88" s="37" t="s">
        <v>4831</v>
      </c>
      <c r="C88" s="37">
        <v>1.0</v>
      </c>
      <c r="D88" s="37">
        <v>5.0</v>
      </c>
      <c r="E88" s="37" t="s">
        <v>4838</v>
      </c>
      <c r="AY88" s="37" t="s">
        <v>4839</v>
      </c>
      <c r="AZ88" s="39">
        <v>1.0</v>
      </c>
      <c r="BA88" s="39" t="s">
        <v>29</v>
      </c>
      <c r="BB88" s="39"/>
      <c r="BC88" s="39"/>
    </row>
    <row r="89" ht="18.75" customHeight="1" outlineLevel="1">
      <c r="A89" s="37" t="s">
        <v>4840</v>
      </c>
      <c r="B89" s="37" t="s">
        <v>4831</v>
      </c>
      <c r="C89" s="37">
        <v>2.0</v>
      </c>
      <c r="D89" s="37">
        <v>15.0</v>
      </c>
      <c r="E89" s="37" t="s">
        <v>4841</v>
      </c>
      <c r="AY89" s="37" t="s">
        <v>4842</v>
      </c>
      <c r="AZ89" s="39">
        <v>2.0</v>
      </c>
      <c r="BA89" s="39" t="s">
        <v>4833</v>
      </c>
      <c r="BB89" s="39"/>
      <c r="BC89" s="39"/>
    </row>
    <row r="90" ht="18.75" customHeight="1" outlineLevel="1">
      <c r="A90" s="37" t="s">
        <v>4843</v>
      </c>
      <c r="B90" s="37" t="s">
        <v>4831</v>
      </c>
      <c r="C90" s="37">
        <v>2.0</v>
      </c>
      <c r="D90" s="37">
        <v>15.0</v>
      </c>
      <c r="E90" s="37" t="s">
        <v>4844</v>
      </c>
      <c r="M90" s="39">
        <v>5.0</v>
      </c>
      <c r="N90" s="39">
        <v>5.0</v>
      </c>
      <c r="AY90" s="37" t="s">
        <v>4845</v>
      </c>
      <c r="AZ90" s="39">
        <v>2.0</v>
      </c>
      <c r="BA90" s="39" t="s">
        <v>4836</v>
      </c>
      <c r="BB90" s="39"/>
      <c r="BC90" s="39"/>
    </row>
    <row r="91" ht="18.75" customHeight="1" outlineLevel="1">
      <c r="A91" s="37" t="s">
        <v>4846</v>
      </c>
      <c r="B91" s="37" t="s">
        <v>4831</v>
      </c>
      <c r="C91" s="37">
        <v>2.0</v>
      </c>
      <c r="D91" s="37">
        <v>15.0</v>
      </c>
      <c r="E91" s="37" t="s">
        <v>4847</v>
      </c>
      <c r="AY91" s="37" t="s">
        <v>4848</v>
      </c>
      <c r="AZ91" s="39">
        <v>2.0</v>
      </c>
      <c r="BA91" s="39" t="s">
        <v>4839</v>
      </c>
      <c r="BB91" s="39"/>
      <c r="BC91" s="39"/>
    </row>
    <row r="92" ht="18.75" customHeight="1" outlineLevel="1">
      <c r="A92" s="37" t="s">
        <v>4849</v>
      </c>
      <c r="B92" s="37" t="s">
        <v>4831</v>
      </c>
      <c r="C92" s="37">
        <v>3.0</v>
      </c>
      <c r="D92" s="37">
        <v>25.0</v>
      </c>
      <c r="E92" s="37" t="s">
        <v>4850</v>
      </c>
      <c r="AY92" s="37" t="s">
        <v>4851</v>
      </c>
      <c r="AZ92" s="39">
        <v>3.0</v>
      </c>
      <c r="BA92" s="39" t="s">
        <v>4842</v>
      </c>
      <c r="BB92" s="39"/>
      <c r="BC92" s="39"/>
    </row>
    <row r="93" ht="18.75" customHeight="1" outlineLevel="1">
      <c r="A93" s="37" t="s">
        <v>4852</v>
      </c>
      <c r="B93" s="37" t="s">
        <v>4831</v>
      </c>
      <c r="C93" s="37">
        <v>3.0</v>
      </c>
      <c r="D93" s="37">
        <v>25.0</v>
      </c>
      <c r="E93" s="37" t="s">
        <v>4853</v>
      </c>
      <c r="AY93" s="37" t="s">
        <v>4854</v>
      </c>
      <c r="AZ93" s="39">
        <v>3.0</v>
      </c>
      <c r="BA93" s="39" t="s">
        <v>4845</v>
      </c>
      <c r="BB93" s="39"/>
      <c r="BC93" s="39"/>
    </row>
    <row r="94" ht="18.75" customHeight="1" outlineLevel="1">
      <c r="A94" s="37" t="s">
        <v>4855</v>
      </c>
      <c r="B94" s="37" t="s">
        <v>4831</v>
      </c>
      <c r="C94" s="37">
        <v>3.0</v>
      </c>
      <c r="D94" s="37">
        <v>25.0</v>
      </c>
      <c r="E94" s="37" t="s">
        <v>4856</v>
      </c>
      <c r="AY94" s="37" t="s">
        <v>4857</v>
      </c>
      <c r="AZ94" s="39">
        <v>3.0</v>
      </c>
      <c r="BA94" s="39" t="s">
        <v>4848</v>
      </c>
      <c r="BB94" s="39"/>
      <c r="BC94" s="39"/>
    </row>
    <row r="95" ht="18.75" customHeight="1" outlineLevel="1">
      <c r="A95" s="37" t="s">
        <v>4858</v>
      </c>
      <c r="B95" s="37" t="s">
        <v>4831</v>
      </c>
      <c r="C95" s="37">
        <v>4.0</v>
      </c>
      <c r="D95" s="37">
        <v>35.0</v>
      </c>
      <c r="E95" s="37" t="s">
        <v>4859</v>
      </c>
      <c r="AY95" s="37" t="s">
        <v>4860</v>
      </c>
      <c r="AZ95" s="39">
        <v>4.0</v>
      </c>
      <c r="BA95" s="39" t="s">
        <v>4851</v>
      </c>
      <c r="BB95" s="39"/>
      <c r="BC95" s="39"/>
    </row>
    <row r="96" ht="18.75" customHeight="1" outlineLevel="1">
      <c r="A96" s="37" t="s">
        <v>4861</v>
      </c>
      <c r="B96" s="37" t="s">
        <v>4831</v>
      </c>
      <c r="C96" s="37">
        <v>4.0</v>
      </c>
      <c r="D96" s="37">
        <v>35.0</v>
      </c>
      <c r="E96" s="37" t="s">
        <v>4862</v>
      </c>
      <c r="M96" s="39">
        <v>10.0</v>
      </c>
      <c r="N96" s="39">
        <v>10.0</v>
      </c>
      <c r="AY96" s="37" t="s">
        <v>4863</v>
      </c>
      <c r="AZ96" s="39">
        <v>4.0</v>
      </c>
      <c r="BA96" s="39" t="s">
        <v>4854</v>
      </c>
      <c r="BB96" s="39"/>
      <c r="BC96" s="39"/>
    </row>
    <row r="97" ht="18.75" customHeight="1" outlineLevel="1">
      <c r="A97" s="37" t="s">
        <v>4864</v>
      </c>
      <c r="B97" s="37" t="s">
        <v>4831</v>
      </c>
      <c r="C97" s="37">
        <v>4.0</v>
      </c>
      <c r="D97" s="37">
        <v>35.0</v>
      </c>
      <c r="E97" s="37" t="s">
        <v>4865</v>
      </c>
      <c r="AY97" s="37" t="s">
        <v>4866</v>
      </c>
      <c r="AZ97" s="39">
        <v>4.0</v>
      </c>
      <c r="BA97" s="39" t="s">
        <v>4857</v>
      </c>
      <c r="BB97" s="39"/>
      <c r="BC97" s="39"/>
    </row>
    <row r="98" ht="18.75" customHeight="1" outlineLevel="1">
      <c r="B98" s="37" t="s">
        <v>4831</v>
      </c>
      <c r="C98" s="37">
        <f t="shared" ref="C98:C106" si="5">C95+1</f>
        <v>5</v>
      </c>
    </row>
    <row r="99" ht="18.75" customHeight="1" outlineLevel="1">
      <c r="B99" s="37" t="s">
        <v>4831</v>
      </c>
      <c r="C99" s="37">
        <f t="shared" si="5"/>
        <v>5</v>
      </c>
    </row>
    <row r="100" ht="18.75" customHeight="1" outlineLevel="1">
      <c r="B100" s="37" t="s">
        <v>4831</v>
      </c>
      <c r="C100" s="37">
        <f t="shared" si="5"/>
        <v>5</v>
      </c>
    </row>
    <row r="101" ht="18.75" customHeight="1" outlineLevel="1">
      <c r="B101" s="37" t="s">
        <v>4831</v>
      </c>
      <c r="C101" s="37">
        <f t="shared" si="5"/>
        <v>6</v>
      </c>
    </row>
    <row r="102" ht="18.75" customHeight="1" outlineLevel="1">
      <c r="B102" s="37" t="s">
        <v>4831</v>
      </c>
      <c r="C102" s="37">
        <f t="shared" si="5"/>
        <v>6</v>
      </c>
    </row>
    <row r="103" ht="18.75" customHeight="1" outlineLevel="1">
      <c r="B103" s="37" t="s">
        <v>4831</v>
      </c>
      <c r="C103" s="37">
        <f t="shared" si="5"/>
        <v>6</v>
      </c>
    </row>
    <row r="104" ht="18.75" customHeight="1" outlineLevel="1">
      <c r="B104" s="37" t="s">
        <v>4831</v>
      </c>
      <c r="C104" s="37">
        <f t="shared" si="5"/>
        <v>7</v>
      </c>
    </row>
    <row r="105" ht="18.75" customHeight="1" outlineLevel="1">
      <c r="B105" s="37" t="s">
        <v>4831</v>
      </c>
      <c r="C105" s="37">
        <f t="shared" si="5"/>
        <v>7</v>
      </c>
    </row>
    <row r="106" ht="18.75" customHeight="1" outlineLevel="1">
      <c r="B106" s="37" t="s">
        <v>4831</v>
      </c>
      <c r="C106" s="37">
        <f t="shared" si="5"/>
        <v>7</v>
      </c>
    </row>
    <row r="107" ht="18.75" customHeight="1">
      <c r="A107" s="39" t="s">
        <v>4867</v>
      </c>
      <c r="B107" s="41" t="s">
        <v>4868</v>
      </c>
      <c r="C107" s="39">
        <v>1.0</v>
      </c>
      <c r="D107" s="39">
        <v>5.0</v>
      </c>
      <c r="E107" s="41" t="s">
        <v>4869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4870</v>
      </c>
      <c r="AZ107" s="39">
        <v>1.0</v>
      </c>
      <c r="BA107" s="39" t="s">
        <v>29</v>
      </c>
      <c r="BB107" s="39"/>
      <c r="BC107" s="39"/>
    </row>
    <row r="108" ht="18.75" customHeight="1">
      <c r="A108" s="39" t="s">
        <v>4871</v>
      </c>
      <c r="B108" s="41" t="s">
        <v>4868</v>
      </c>
      <c r="C108" s="39">
        <v>2.0</v>
      </c>
      <c r="D108" s="39">
        <v>15.0</v>
      </c>
      <c r="E108" s="39" t="s">
        <v>4872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4873</v>
      </c>
      <c r="AZ108" s="39">
        <v>2.0</v>
      </c>
      <c r="BA108" s="39" t="s">
        <v>4870</v>
      </c>
      <c r="BB108" s="39"/>
      <c r="BC108" s="39"/>
    </row>
    <row r="109" ht="18.75" customHeight="1">
      <c r="A109" s="39" t="s">
        <v>4874</v>
      </c>
      <c r="B109" s="41" t="s">
        <v>4868</v>
      </c>
      <c r="C109" s="39">
        <v>3.0</v>
      </c>
      <c r="D109" s="39">
        <v>25.0</v>
      </c>
      <c r="E109" s="39" t="s">
        <v>4875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4876</v>
      </c>
      <c r="AZ109" s="39">
        <v>3.0</v>
      </c>
      <c r="BA109" s="39" t="s">
        <v>4873</v>
      </c>
      <c r="BB109" s="39"/>
      <c r="BC109" s="39"/>
    </row>
    <row r="110" ht="18.75" customHeight="1">
      <c r="A110" s="39" t="s">
        <v>4877</v>
      </c>
      <c r="B110" s="41" t="s">
        <v>4868</v>
      </c>
      <c r="C110" s="39">
        <v>1.0</v>
      </c>
      <c r="D110" s="39">
        <v>5.0</v>
      </c>
      <c r="E110" s="39" t="s">
        <v>4878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4879</v>
      </c>
      <c r="AZ110" s="39">
        <v>1.0</v>
      </c>
      <c r="BA110" s="39" t="s">
        <v>29</v>
      </c>
      <c r="BB110" s="39"/>
      <c r="BC110" s="39"/>
    </row>
    <row r="111" ht="18.75" customHeight="1">
      <c r="A111" s="39" t="s">
        <v>4880</v>
      </c>
      <c r="B111" s="41" t="s">
        <v>4868</v>
      </c>
      <c r="C111" s="39">
        <v>2.0</v>
      </c>
      <c r="D111" s="39">
        <v>15.0</v>
      </c>
      <c r="E111" s="39" t="s">
        <v>4881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4882</v>
      </c>
      <c r="AZ111" s="39">
        <v>2.0</v>
      </c>
      <c r="BA111" s="39" t="s">
        <v>4879</v>
      </c>
      <c r="BB111" s="39"/>
      <c r="BC111" s="39"/>
    </row>
    <row r="112" ht="18.75" customHeight="1">
      <c r="A112" s="39" t="s">
        <v>4883</v>
      </c>
      <c r="B112" s="41" t="s">
        <v>4868</v>
      </c>
      <c r="C112" s="39">
        <v>3.0</v>
      </c>
      <c r="D112" s="39">
        <v>25.0</v>
      </c>
      <c r="E112" s="39" t="s">
        <v>4884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4885</v>
      </c>
      <c r="AZ112" s="39">
        <v>3.0</v>
      </c>
      <c r="BA112" s="39" t="s">
        <v>4882</v>
      </c>
      <c r="BB112" s="39"/>
      <c r="BC112" s="39"/>
    </row>
    <row r="113" ht="18.75" customHeight="1">
      <c r="A113" s="39" t="s">
        <v>4886</v>
      </c>
      <c r="B113" s="41" t="s">
        <v>4868</v>
      </c>
      <c r="C113" s="39">
        <v>1.0</v>
      </c>
      <c r="D113" s="39">
        <v>5.0</v>
      </c>
      <c r="E113" s="39" t="s">
        <v>4887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4888</v>
      </c>
      <c r="AZ113" s="39">
        <v>1.0</v>
      </c>
      <c r="BA113" s="39" t="s">
        <v>29</v>
      </c>
      <c r="BB113" s="39"/>
      <c r="BC113" s="39"/>
    </row>
    <row r="114" ht="18.75" customHeight="1">
      <c r="A114" s="39" t="s">
        <v>4889</v>
      </c>
      <c r="B114" s="39" t="s">
        <v>4726</v>
      </c>
      <c r="C114" s="39">
        <v>1.0</v>
      </c>
      <c r="D114" s="39">
        <v>5.0</v>
      </c>
      <c r="E114" s="39" t="s">
        <v>4890</v>
      </c>
      <c r="AY114" s="39" t="s">
        <v>4891</v>
      </c>
      <c r="AZ114" s="39">
        <v>1.0</v>
      </c>
      <c r="BB114" s="39">
        <v>5.0</v>
      </c>
      <c r="BC114" s="39">
        <v>0.0</v>
      </c>
    </row>
    <row r="115" ht="18.75" customHeight="1">
      <c r="A115" s="39" t="s">
        <v>4892</v>
      </c>
      <c r="B115" s="39" t="s">
        <v>4726</v>
      </c>
      <c r="C115" s="39">
        <v>2.0</v>
      </c>
      <c r="D115" s="39">
        <v>15.0</v>
      </c>
      <c r="E115" s="39" t="s">
        <v>4893</v>
      </c>
      <c r="AY115" s="39" t="s">
        <v>4894</v>
      </c>
      <c r="AZ115" s="39">
        <v>2.0</v>
      </c>
      <c r="BA115" s="39" t="s">
        <v>4891</v>
      </c>
      <c r="BB115" s="39">
        <v>5.0</v>
      </c>
      <c r="BC115" s="39">
        <v>0.0</v>
      </c>
    </row>
    <row r="116" ht="18.75" customHeight="1">
      <c r="A116" s="39" t="s">
        <v>4895</v>
      </c>
      <c r="B116" s="39" t="s">
        <v>4726</v>
      </c>
      <c r="C116" s="39">
        <v>3.0</v>
      </c>
      <c r="D116" s="39">
        <v>25.0</v>
      </c>
      <c r="E116" s="39" t="s">
        <v>4896</v>
      </c>
      <c r="AY116" s="39" t="s">
        <v>4897</v>
      </c>
      <c r="AZ116" s="39">
        <v>3.0</v>
      </c>
      <c r="BA116" s="39" t="s">
        <v>4894</v>
      </c>
      <c r="BB116" s="39">
        <v>5.0</v>
      </c>
      <c r="BC116" s="39">
        <v>1.0</v>
      </c>
    </row>
    <row r="117" ht="18.75" customHeight="1">
      <c r="A117" s="39" t="s">
        <v>4898</v>
      </c>
      <c r="B117" s="39" t="s">
        <v>4726</v>
      </c>
      <c r="C117" s="39">
        <v>4.0</v>
      </c>
      <c r="D117" s="39">
        <v>35.0</v>
      </c>
      <c r="E117" s="39" t="s">
        <v>4893</v>
      </c>
      <c r="AY117" s="39" t="s">
        <v>4899</v>
      </c>
      <c r="AZ117" s="39">
        <v>4.0</v>
      </c>
      <c r="BA117" s="39" t="s">
        <v>4897</v>
      </c>
      <c r="BB117" s="39">
        <v>5.0</v>
      </c>
      <c r="BC117" s="39">
        <v>0.0</v>
      </c>
    </row>
    <row r="118" ht="18.75" customHeight="1">
      <c r="A118" s="39" t="s">
        <v>4900</v>
      </c>
      <c r="B118" s="39" t="s">
        <v>4726</v>
      </c>
      <c r="C118" s="39">
        <v>5.0</v>
      </c>
      <c r="D118" s="39">
        <v>45.0</v>
      </c>
      <c r="E118" s="39" t="s">
        <v>4901</v>
      </c>
      <c r="AY118" s="39" t="s">
        <v>4902</v>
      </c>
      <c r="AZ118" s="39">
        <v>5.0</v>
      </c>
      <c r="BA118" s="39" t="s">
        <v>4899</v>
      </c>
      <c r="BB118" s="39">
        <v>5.0</v>
      </c>
      <c r="BC118" s="39">
        <v>1.0</v>
      </c>
    </row>
    <row r="119" ht="18.75" customHeight="1">
      <c r="A119" s="39" t="s">
        <v>4903</v>
      </c>
      <c r="B119" s="39" t="s">
        <v>4726</v>
      </c>
      <c r="C119" s="39">
        <v>6.0</v>
      </c>
      <c r="D119" s="39">
        <v>55.0</v>
      </c>
      <c r="E119" s="39" t="s">
        <v>4893</v>
      </c>
      <c r="AY119" s="39" t="s">
        <v>4904</v>
      </c>
      <c r="AZ119" s="39">
        <v>6.0</v>
      </c>
      <c r="BA119" s="39" t="s">
        <v>4902</v>
      </c>
      <c r="BB119" s="39">
        <v>5.0</v>
      </c>
      <c r="BC119" s="39">
        <v>0.0</v>
      </c>
    </row>
    <row r="120" ht="18.75" customHeight="1">
      <c r="A120" s="39" t="s">
        <v>4905</v>
      </c>
      <c r="B120" s="39" t="s">
        <v>4726</v>
      </c>
      <c r="C120" s="39">
        <v>7.0</v>
      </c>
      <c r="D120" s="39">
        <v>65.0</v>
      </c>
      <c r="E120" s="39" t="s">
        <v>4906</v>
      </c>
      <c r="AY120" s="39" t="s">
        <v>4907</v>
      </c>
      <c r="AZ120" s="39">
        <v>7.0</v>
      </c>
      <c r="BA120" s="39" t="s">
        <v>4904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4908</v>
      </c>
      <c r="B1" s="11" t="s">
        <v>2</v>
      </c>
      <c r="C1" s="2" t="s">
        <v>4909</v>
      </c>
      <c r="D1" s="3" t="s">
        <v>3814</v>
      </c>
      <c r="E1" s="3" t="s">
        <v>0</v>
      </c>
      <c r="F1" s="4" t="s">
        <v>4299</v>
      </c>
      <c r="G1" s="5" t="s">
        <v>4302</v>
      </c>
      <c r="H1" s="155" t="s">
        <v>4304</v>
      </c>
      <c r="I1" s="5" t="s">
        <v>4306</v>
      </c>
      <c r="J1" s="155" t="s">
        <v>4308</v>
      </c>
      <c r="K1" s="155" t="s">
        <v>4910</v>
      </c>
      <c r="L1" s="156"/>
      <c r="M1" s="157" t="s">
        <v>849</v>
      </c>
      <c r="N1" s="157" t="s">
        <v>4911</v>
      </c>
      <c r="O1" s="157" t="s">
        <v>1492</v>
      </c>
      <c r="P1" s="157" t="s">
        <v>4912</v>
      </c>
      <c r="Q1" s="157" t="s">
        <v>4726</v>
      </c>
      <c r="R1" s="157" t="s">
        <v>4913</v>
      </c>
      <c r="S1" s="157" t="s">
        <v>284</v>
      </c>
      <c r="T1" s="157" t="s">
        <v>370</v>
      </c>
      <c r="U1" s="157" t="s">
        <v>518</v>
      </c>
      <c r="V1" s="157" t="s">
        <v>644</v>
      </c>
      <c r="W1" s="157" t="s">
        <v>783</v>
      </c>
      <c r="X1" s="157" t="s">
        <v>716</v>
      </c>
      <c r="Y1" s="157"/>
      <c r="Z1" s="157" t="s">
        <v>4914</v>
      </c>
      <c r="AA1" s="157" t="s">
        <v>1490</v>
      </c>
      <c r="AB1" s="157" t="s">
        <v>4915</v>
      </c>
      <c r="AC1" s="157" t="s">
        <v>4916</v>
      </c>
      <c r="AD1" s="157" t="s">
        <v>4917</v>
      </c>
      <c r="AE1" s="157" t="s">
        <v>4918</v>
      </c>
      <c r="AF1" s="157" t="s">
        <v>4919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4920</v>
      </c>
      <c r="BT1" s="48" t="s">
        <v>2587</v>
      </c>
      <c r="BU1" s="48" t="s">
        <v>2588</v>
      </c>
      <c r="BV1" s="48" t="s">
        <v>2589</v>
      </c>
      <c r="BW1" s="48" t="s">
        <v>2590</v>
      </c>
      <c r="BX1" s="48" t="s">
        <v>2591</v>
      </c>
      <c r="BY1" s="48" t="s">
        <v>2592</v>
      </c>
      <c r="BZ1" s="158" t="s">
        <v>4921</v>
      </c>
      <c r="CA1" s="158" t="s">
        <v>4922</v>
      </c>
      <c r="CB1" s="158" t="s">
        <v>4923</v>
      </c>
      <c r="CC1" s="158" t="s">
        <v>8</v>
      </c>
      <c r="CD1" s="158" t="s">
        <v>4290</v>
      </c>
      <c r="CE1" s="158" t="s">
        <v>4924</v>
      </c>
      <c r="CF1" s="158" t="s">
        <v>4925</v>
      </c>
      <c r="CG1" s="158" t="s">
        <v>4926</v>
      </c>
      <c r="CH1" s="158" t="s">
        <v>4927</v>
      </c>
      <c r="CI1" s="158" t="s">
        <v>4928</v>
      </c>
      <c r="CJ1" s="158" t="s">
        <v>4929</v>
      </c>
    </row>
    <row r="2" ht="18.75" customHeight="1">
      <c r="A2" s="11"/>
      <c r="B2" s="11" t="s">
        <v>4930</v>
      </c>
      <c r="C2" s="2"/>
      <c r="D2" s="3"/>
      <c r="E2" s="3"/>
      <c r="F2" s="159"/>
      <c r="G2" s="155"/>
      <c r="H2" s="155"/>
      <c r="I2" s="155"/>
      <c r="J2" s="155"/>
      <c r="K2" s="155"/>
      <c r="L2" s="156"/>
      <c r="M2" s="157"/>
      <c r="N2" s="157"/>
      <c r="O2" s="157"/>
      <c r="P2" s="157"/>
      <c r="Q2" s="157"/>
      <c r="R2" s="157"/>
      <c r="S2" s="157"/>
      <c r="T2" s="157"/>
      <c r="U2" s="157"/>
      <c r="V2" s="157"/>
      <c r="W2" s="157"/>
      <c r="X2" s="157"/>
      <c r="Y2" s="157"/>
      <c r="Z2" s="157"/>
      <c r="AA2" s="157"/>
      <c r="AB2" s="157"/>
      <c r="AC2" s="157"/>
      <c r="AD2" s="157"/>
      <c r="AE2" s="157"/>
      <c r="AF2" s="15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8"/>
      <c r="CA2" s="158"/>
      <c r="CB2" s="158"/>
      <c r="CC2" s="158"/>
      <c r="CD2" s="158"/>
      <c r="CE2" s="158"/>
      <c r="CF2" s="158"/>
      <c r="CG2" s="158"/>
      <c r="CH2" s="158"/>
      <c r="CI2" s="158"/>
      <c r="CJ2" s="158"/>
    </row>
    <row r="3" ht="18.75" customHeight="1" outlineLevel="1">
      <c r="A3" s="37" t="str">
        <f t="shared" ref="A3:A5" si="1">"炎付与"&amp;B3</f>
        <v>炎付与Ⅰ</v>
      </c>
      <c r="B3" s="37" t="s">
        <v>4931</v>
      </c>
      <c r="C3" s="37" t="s">
        <v>3297</v>
      </c>
      <c r="E3" s="37">
        <f t="shared" ref="E3:E20" si="2">MAX(F3:K3)</f>
        <v>2</v>
      </c>
      <c r="G3" s="37">
        <v>2.0</v>
      </c>
      <c r="S3" s="37">
        <f t="shared" ref="S3:S5" si="3">$G3*15</f>
        <v>30</v>
      </c>
    </row>
    <row r="4" ht="18.75" customHeight="1" outlineLevel="1">
      <c r="A4" s="37" t="str">
        <f t="shared" si="1"/>
        <v>炎付与Ⅱ</v>
      </c>
      <c r="B4" s="37" t="s">
        <v>4932</v>
      </c>
      <c r="C4" s="37" t="s">
        <v>3297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4933</v>
      </c>
      <c r="C5" s="37" t="s">
        <v>3297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4931</v>
      </c>
      <c r="C6" s="37" t="s">
        <v>3297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4932</v>
      </c>
      <c r="C7" s="37" t="s">
        <v>3297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4933</v>
      </c>
      <c r="C8" s="37" t="s">
        <v>3297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4931</v>
      </c>
      <c r="C9" s="37" t="s">
        <v>3297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4932</v>
      </c>
      <c r="C10" s="37" t="s">
        <v>3297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4933</v>
      </c>
      <c r="C11" s="37" t="s">
        <v>3297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4931</v>
      </c>
      <c r="C12" s="37" t="s">
        <v>3297</v>
      </c>
      <c r="E12" s="37">
        <f t="shared" si="2"/>
        <v>2</v>
      </c>
      <c r="G12" s="37">
        <v>2.0</v>
      </c>
      <c r="V12" s="37">
        <f t="shared" ref="V12:V14" si="9">$G12*15</f>
        <v>30</v>
      </c>
    </row>
    <row r="13" ht="18.75" customHeight="1" outlineLevel="1">
      <c r="A13" s="37" t="str">
        <f t="shared" si="8"/>
        <v>毒付与Ⅱ</v>
      </c>
      <c r="B13" s="37" t="s">
        <v>4932</v>
      </c>
      <c r="C13" s="37" t="s">
        <v>3297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4933</v>
      </c>
      <c r="C14" s="37" t="s">
        <v>3297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4931</v>
      </c>
      <c r="C15" s="37" t="s">
        <v>3297</v>
      </c>
      <c r="E15" s="37">
        <f t="shared" si="2"/>
        <v>2</v>
      </c>
      <c r="H15" s="37">
        <v>2.0</v>
      </c>
      <c r="W15" s="37">
        <f t="shared" ref="W15:W17" si="11">$H15*15</f>
        <v>30</v>
      </c>
    </row>
    <row r="16" ht="18.75" customHeight="1" outlineLevel="1">
      <c r="A16" s="37" t="str">
        <f t="shared" si="10"/>
        <v>光付与Ⅱ</v>
      </c>
      <c r="B16" s="37" t="s">
        <v>4932</v>
      </c>
      <c r="C16" s="37" t="s">
        <v>3297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4933</v>
      </c>
      <c r="C17" s="37" t="s">
        <v>3297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4931</v>
      </c>
      <c r="C18" s="37" t="s">
        <v>3297</v>
      </c>
      <c r="E18" s="37">
        <f t="shared" si="2"/>
        <v>2</v>
      </c>
      <c r="G18" s="37">
        <v>2.0</v>
      </c>
      <c r="X18" s="37">
        <f t="shared" ref="X18:X20" si="13">$G18*15</f>
        <v>30</v>
      </c>
    </row>
    <row r="19" ht="18.75" customHeight="1" outlineLevel="1">
      <c r="A19" s="37" t="str">
        <f t="shared" si="12"/>
        <v>闇付与Ⅱ</v>
      </c>
      <c r="B19" s="37" t="s">
        <v>4932</v>
      </c>
      <c r="C19" s="37" t="s">
        <v>3297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4933</v>
      </c>
      <c r="C20" s="37" t="s">
        <v>3297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4934</v>
      </c>
      <c r="C22" s="37" t="s">
        <v>4935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4936</v>
      </c>
      <c r="C23" s="37" t="s">
        <v>4935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4937</v>
      </c>
      <c r="C24" s="37" t="s">
        <v>4935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4938</v>
      </c>
      <c r="C25" s="37" t="s">
        <v>4939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4940</v>
      </c>
      <c r="C26" s="37" t="s">
        <v>4939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4941</v>
      </c>
      <c r="C27" s="37" t="s">
        <v>4939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4942</v>
      </c>
      <c r="C28" s="37" t="s">
        <v>4935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4943</v>
      </c>
      <c r="C29" s="37" t="s">
        <v>4935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4944</v>
      </c>
      <c r="C30" s="37" t="s">
        <v>4935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4945</v>
      </c>
      <c r="C31" s="37" t="s">
        <v>4946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4947</v>
      </c>
      <c r="C32" s="37" t="s">
        <v>4946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4948</v>
      </c>
      <c r="C33" s="37" t="s">
        <v>4946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4949</v>
      </c>
      <c r="C34" s="37" t="s">
        <v>4950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4951</v>
      </c>
      <c r="C35" s="37" t="s">
        <v>4950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4952</v>
      </c>
      <c r="C36" s="37" t="s">
        <v>4950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4953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4956</v>
      </c>
      <c r="C40" s="37" t="s">
        <v>4957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4958</v>
      </c>
      <c r="C41" s="37" t="s">
        <v>4957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4959</v>
      </c>
      <c r="C42" s="37" t="s">
        <v>4957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1" t="s">
        <v>4960</v>
      </c>
      <c r="B1" s="101" t="s">
        <v>4391</v>
      </c>
      <c r="C1" s="101" t="s">
        <v>4393</v>
      </c>
      <c r="D1" s="101" t="s">
        <v>4395</v>
      </c>
      <c r="E1" s="101" t="s">
        <v>3296</v>
      </c>
      <c r="F1" s="160" t="s">
        <v>4299</v>
      </c>
      <c r="G1" s="160" t="s">
        <v>4302</v>
      </c>
      <c r="H1" s="160" t="s">
        <v>4304</v>
      </c>
      <c r="I1" s="160" t="s">
        <v>4306</v>
      </c>
      <c r="J1" s="160" t="s">
        <v>4308</v>
      </c>
      <c r="K1" s="160" t="s">
        <v>2593</v>
      </c>
      <c r="L1" s="160" t="s">
        <v>1921</v>
      </c>
      <c r="M1" s="160" t="s">
        <v>2594</v>
      </c>
      <c r="N1" s="160" t="s">
        <v>2595</v>
      </c>
      <c r="O1" s="160" t="s">
        <v>2596</v>
      </c>
      <c r="P1" s="160" t="s">
        <v>1139</v>
      </c>
      <c r="Q1" s="160" t="s">
        <v>2598</v>
      </c>
      <c r="R1" s="160" t="s">
        <v>2599</v>
      </c>
      <c r="S1" s="160" t="s">
        <v>2600</v>
      </c>
      <c r="T1" s="160" t="s">
        <v>2601</v>
      </c>
      <c r="U1" s="160" t="s">
        <v>2602</v>
      </c>
      <c r="V1" s="160" t="s">
        <v>2603</v>
      </c>
      <c r="W1" s="160" t="s">
        <v>2604</v>
      </c>
      <c r="X1" s="160" t="s">
        <v>2429</v>
      </c>
      <c r="Y1" s="160" t="s">
        <v>1179</v>
      </c>
      <c r="AA1" s="161" t="s">
        <v>4960</v>
      </c>
      <c r="AB1" s="162" t="s">
        <v>4391</v>
      </c>
      <c r="AC1" s="162" t="s">
        <v>4393</v>
      </c>
      <c r="AD1" s="162" t="s">
        <v>4333</v>
      </c>
      <c r="AE1" s="162" t="s">
        <v>4961</v>
      </c>
      <c r="AF1" s="162" t="s">
        <v>4962</v>
      </c>
      <c r="AG1" s="162" t="s">
        <v>4963</v>
      </c>
      <c r="AH1" s="162" t="s">
        <v>4395</v>
      </c>
      <c r="AI1" s="162" t="s">
        <v>3296</v>
      </c>
      <c r="AJ1" s="103"/>
      <c r="AK1" s="162" t="s">
        <v>4391</v>
      </c>
      <c r="AL1" s="162" t="s">
        <v>4393</v>
      </c>
      <c r="AM1" s="162" t="s">
        <v>4395</v>
      </c>
      <c r="AN1" s="162" t="s">
        <v>3296</v>
      </c>
    </row>
    <row r="2">
      <c r="F2" s="163" t="s">
        <v>4964</v>
      </c>
      <c r="G2" s="163" t="s">
        <v>4964</v>
      </c>
      <c r="H2" s="163" t="s">
        <v>4964</v>
      </c>
      <c r="I2" s="163" t="s">
        <v>4964</v>
      </c>
      <c r="J2" s="163" t="s">
        <v>4964</v>
      </c>
      <c r="K2" s="49"/>
      <c r="L2" s="49"/>
      <c r="M2" s="49"/>
      <c r="N2" s="49"/>
      <c r="O2" s="49"/>
      <c r="P2" s="51"/>
      <c r="Q2" s="51"/>
      <c r="R2" s="52"/>
      <c r="S2" s="52"/>
      <c r="T2" s="52"/>
      <c r="U2" s="52"/>
      <c r="V2" s="53"/>
      <c r="W2" s="53"/>
      <c r="X2" s="53"/>
      <c r="Y2" s="53"/>
      <c r="AA2" s="164" t="s">
        <v>4965</v>
      </c>
      <c r="AB2" s="103" t="s">
        <v>4966</v>
      </c>
      <c r="AC2" s="103" t="s">
        <v>4967</v>
      </c>
      <c r="AD2" s="165">
        <v>-0.15</v>
      </c>
      <c r="AE2" s="103"/>
      <c r="AF2" s="103"/>
      <c r="AG2" s="103"/>
      <c r="AH2" s="103" t="s">
        <v>4968</v>
      </c>
      <c r="AI2" s="103" t="s">
        <v>4464</v>
      </c>
      <c r="AJ2" s="103"/>
      <c r="AK2" s="103" t="s">
        <v>4969</v>
      </c>
      <c r="AL2" s="103" t="s">
        <v>4970</v>
      </c>
      <c r="AM2" s="103" t="s">
        <v>4971</v>
      </c>
      <c r="AN2" s="103" t="s">
        <v>4464</v>
      </c>
    </row>
    <row r="3">
      <c r="A3" s="37" t="s">
        <v>1179</v>
      </c>
      <c r="B3" s="37" t="s">
        <v>4972</v>
      </c>
      <c r="C3" s="37" t="s">
        <v>4973</v>
      </c>
      <c r="D3" s="37" t="s">
        <v>4974</v>
      </c>
      <c r="E3" s="37" t="s">
        <v>4975</v>
      </c>
      <c r="AA3" s="164" t="s">
        <v>4965</v>
      </c>
      <c r="AB3" s="103" t="s">
        <v>4976</v>
      </c>
      <c r="AC3" s="103" t="s">
        <v>4967</v>
      </c>
      <c r="AD3" s="103"/>
      <c r="AE3" s="103"/>
      <c r="AF3" s="103"/>
      <c r="AG3" s="103"/>
      <c r="AH3" s="103" t="s">
        <v>4968</v>
      </c>
      <c r="AI3" s="103" t="s">
        <v>4464</v>
      </c>
      <c r="AJ3" s="103"/>
      <c r="AK3" s="103" t="s">
        <v>4977</v>
      </c>
      <c r="AL3" s="103" t="s">
        <v>4970</v>
      </c>
      <c r="AM3" s="103" t="s">
        <v>4971</v>
      </c>
      <c r="AN3" s="103" t="s">
        <v>4464</v>
      </c>
    </row>
    <row r="4">
      <c r="A4" s="37" t="s">
        <v>1179</v>
      </c>
      <c r="B4" s="37" t="s">
        <v>4978</v>
      </c>
      <c r="C4" s="37" t="s">
        <v>4973</v>
      </c>
      <c r="D4" s="37" t="s">
        <v>4974</v>
      </c>
      <c r="E4" s="37" t="s">
        <v>4975</v>
      </c>
      <c r="AA4" s="164" t="s">
        <v>4965</v>
      </c>
      <c r="AB4" s="103" t="s">
        <v>4979</v>
      </c>
      <c r="AC4" s="103" t="s">
        <v>4967</v>
      </c>
      <c r="AD4" s="103"/>
      <c r="AE4" s="103"/>
      <c r="AF4" s="103"/>
      <c r="AG4" s="103"/>
      <c r="AH4" s="103" t="s">
        <v>4968</v>
      </c>
      <c r="AI4" s="103" t="s">
        <v>4464</v>
      </c>
      <c r="AJ4" s="103"/>
      <c r="AK4" s="103" t="s">
        <v>4980</v>
      </c>
      <c r="AL4" s="103" t="s">
        <v>4970</v>
      </c>
      <c r="AM4" s="103" t="s">
        <v>4971</v>
      </c>
      <c r="AN4" s="103" t="s">
        <v>4464</v>
      </c>
    </row>
    <row r="5">
      <c r="A5" s="37" t="s">
        <v>1179</v>
      </c>
      <c r="B5" s="37" t="s">
        <v>4981</v>
      </c>
      <c r="C5" s="37" t="s">
        <v>4973</v>
      </c>
      <c r="D5" s="37" t="s">
        <v>4974</v>
      </c>
      <c r="E5" s="37" t="s">
        <v>4975</v>
      </c>
      <c r="AA5" s="164" t="s">
        <v>4965</v>
      </c>
      <c r="AB5" s="103" t="s">
        <v>4982</v>
      </c>
      <c r="AC5" s="103" t="s">
        <v>4967</v>
      </c>
      <c r="AD5" s="103"/>
      <c r="AE5" s="103"/>
      <c r="AF5" s="103"/>
      <c r="AG5" s="103"/>
      <c r="AH5" s="103" t="s">
        <v>4968</v>
      </c>
      <c r="AI5" s="103" t="s">
        <v>4464</v>
      </c>
      <c r="AJ5" s="103"/>
      <c r="AK5" s="103" t="s">
        <v>4983</v>
      </c>
      <c r="AL5" s="103" t="s">
        <v>4970</v>
      </c>
      <c r="AM5" s="103" t="s">
        <v>4971</v>
      </c>
      <c r="AN5" s="103" t="s">
        <v>4464</v>
      </c>
    </row>
    <row r="6">
      <c r="A6" s="37" t="s">
        <v>1179</v>
      </c>
      <c r="B6" s="37" t="s">
        <v>4984</v>
      </c>
      <c r="C6" s="37" t="s">
        <v>4973</v>
      </c>
      <c r="D6" s="37" t="s">
        <v>4974</v>
      </c>
      <c r="E6" s="37" t="s">
        <v>4975</v>
      </c>
      <c r="AA6" s="164" t="s">
        <v>4965</v>
      </c>
      <c r="AB6" s="103" t="s">
        <v>4985</v>
      </c>
      <c r="AC6" s="103" t="s">
        <v>4967</v>
      </c>
      <c r="AD6" s="103"/>
      <c r="AE6" s="103"/>
      <c r="AF6" s="103"/>
      <c r="AG6" s="103"/>
      <c r="AH6" s="103" t="s">
        <v>4968</v>
      </c>
      <c r="AI6" s="103" t="s">
        <v>4464</v>
      </c>
      <c r="AJ6" s="103"/>
      <c r="AK6" s="103"/>
      <c r="AL6" s="103"/>
      <c r="AM6" s="103"/>
      <c r="AN6" s="103"/>
    </row>
    <row r="7">
      <c r="A7" s="37" t="s">
        <v>1179</v>
      </c>
      <c r="B7" s="37" t="s">
        <v>4986</v>
      </c>
      <c r="C7" s="37" t="s">
        <v>4973</v>
      </c>
      <c r="D7" s="37" t="s">
        <v>4974</v>
      </c>
      <c r="E7" s="37" t="s">
        <v>4975</v>
      </c>
      <c r="AA7" s="103"/>
      <c r="AB7" s="103"/>
      <c r="AC7" s="103"/>
      <c r="AD7" s="103"/>
      <c r="AE7" s="103"/>
      <c r="AF7" s="103"/>
      <c r="AG7" s="103"/>
      <c r="AH7" s="103"/>
      <c r="AI7" s="103"/>
      <c r="AJ7" s="103"/>
      <c r="AK7" s="103"/>
      <c r="AL7" s="103"/>
      <c r="AM7" s="103"/>
      <c r="AN7" s="103"/>
    </row>
    <row r="8">
      <c r="A8" s="37" t="s">
        <v>1179</v>
      </c>
      <c r="B8" s="37" t="s">
        <v>4987</v>
      </c>
      <c r="C8" s="37" t="s">
        <v>4973</v>
      </c>
      <c r="D8" s="37" t="s">
        <v>4974</v>
      </c>
      <c r="E8" s="37" t="s">
        <v>4975</v>
      </c>
      <c r="AA8" s="103"/>
      <c r="AB8" s="103"/>
      <c r="AC8" s="103"/>
      <c r="AD8" s="103"/>
      <c r="AE8" s="103"/>
      <c r="AF8" s="103"/>
      <c r="AG8" s="103"/>
      <c r="AH8" s="103"/>
      <c r="AI8" s="103"/>
      <c r="AJ8" s="103"/>
      <c r="AK8" s="103"/>
      <c r="AL8" s="103"/>
      <c r="AM8" s="103"/>
      <c r="AN8" s="103"/>
    </row>
    <row r="9">
      <c r="A9" s="37" t="s">
        <v>1179</v>
      </c>
      <c r="B9" s="37" t="s">
        <v>4988</v>
      </c>
      <c r="C9" s="37" t="s">
        <v>4973</v>
      </c>
      <c r="D9" s="37" t="s">
        <v>4974</v>
      </c>
      <c r="E9" s="37" t="s">
        <v>4975</v>
      </c>
      <c r="AA9" s="103"/>
      <c r="AB9" s="103"/>
      <c r="AC9" s="103"/>
      <c r="AD9" s="103"/>
      <c r="AE9" s="103"/>
      <c r="AF9" s="103"/>
      <c r="AG9" s="103"/>
      <c r="AH9" s="103"/>
      <c r="AI9" s="103"/>
      <c r="AJ9" s="103"/>
      <c r="AK9" s="103"/>
      <c r="AL9" s="103"/>
      <c r="AM9" s="103"/>
      <c r="AN9" s="103"/>
    </row>
    <row r="10">
      <c r="A10" s="37" t="s">
        <v>1179</v>
      </c>
      <c r="B10" s="37" t="s">
        <v>4989</v>
      </c>
      <c r="C10" s="37" t="s">
        <v>4973</v>
      </c>
      <c r="D10" s="37" t="s">
        <v>4974</v>
      </c>
      <c r="E10" s="37" t="s">
        <v>4975</v>
      </c>
      <c r="AA10" s="103"/>
      <c r="AB10" s="103"/>
      <c r="AC10" s="103"/>
      <c r="AD10" s="103"/>
      <c r="AE10" s="103"/>
      <c r="AF10" s="103"/>
      <c r="AG10" s="103"/>
      <c r="AH10" s="103"/>
      <c r="AI10" s="103"/>
      <c r="AJ10" s="103"/>
      <c r="AK10" s="103"/>
      <c r="AL10" s="103"/>
      <c r="AM10" s="103"/>
      <c r="AN10" s="103"/>
    </row>
    <row r="11">
      <c r="A11" s="37" t="s">
        <v>1179</v>
      </c>
      <c r="B11" s="37" t="s">
        <v>4990</v>
      </c>
      <c r="C11" s="37" t="s">
        <v>4973</v>
      </c>
      <c r="D11" s="37" t="s">
        <v>4974</v>
      </c>
      <c r="E11" s="37" t="s">
        <v>4975</v>
      </c>
      <c r="AA11" s="103"/>
      <c r="AB11" s="103"/>
      <c r="AC11" s="103"/>
      <c r="AD11" s="103"/>
      <c r="AE11" s="103"/>
      <c r="AF11" s="103"/>
      <c r="AG11" s="103"/>
      <c r="AH11" s="103"/>
      <c r="AI11" s="103"/>
      <c r="AJ11" s="103"/>
      <c r="AK11" s="103"/>
      <c r="AL11" s="103"/>
      <c r="AM11" s="103"/>
      <c r="AN11" s="103"/>
    </row>
    <row r="12">
      <c r="A12" s="37" t="s">
        <v>1179</v>
      </c>
      <c r="B12" s="37" t="s">
        <v>4991</v>
      </c>
      <c r="C12" s="37" t="s">
        <v>4973</v>
      </c>
      <c r="D12" s="37" t="s">
        <v>4974</v>
      </c>
      <c r="E12" s="37" t="s">
        <v>4975</v>
      </c>
      <c r="AA12" s="103"/>
      <c r="AB12" s="103"/>
      <c r="AC12" s="103"/>
      <c r="AD12" s="103"/>
      <c r="AE12" s="103"/>
      <c r="AF12" s="103"/>
      <c r="AG12" s="103"/>
      <c r="AH12" s="103"/>
      <c r="AI12" s="103"/>
      <c r="AJ12" s="103"/>
      <c r="AK12" s="103"/>
      <c r="AL12" s="103"/>
      <c r="AM12" s="103"/>
      <c r="AN12" s="103"/>
    </row>
    <row r="13">
      <c r="A13" s="37" t="s">
        <v>1179</v>
      </c>
      <c r="B13" s="37" t="s">
        <v>4992</v>
      </c>
      <c r="C13" s="37" t="s">
        <v>4973</v>
      </c>
      <c r="D13" s="37" t="s">
        <v>4974</v>
      </c>
      <c r="E13" s="37" t="s">
        <v>4975</v>
      </c>
      <c r="AA13" s="103"/>
      <c r="AB13" s="103"/>
      <c r="AC13" s="103"/>
      <c r="AD13" s="103"/>
      <c r="AE13" s="103"/>
      <c r="AF13" s="103"/>
      <c r="AG13" s="103"/>
      <c r="AH13" s="103"/>
      <c r="AI13" s="103"/>
      <c r="AJ13" s="103"/>
      <c r="AK13" s="103"/>
      <c r="AL13" s="103"/>
      <c r="AM13" s="103"/>
      <c r="AN13" s="103"/>
    </row>
    <row r="14">
      <c r="A14" s="37" t="s">
        <v>1179</v>
      </c>
      <c r="B14" s="37" t="s">
        <v>4993</v>
      </c>
      <c r="C14" s="37" t="s">
        <v>4973</v>
      </c>
      <c r="D14" s="37" t="s">
        <v>4974</v>
      </c>
      <c r="E14" s="37" t="s">
        <v>4975</v>
      </c>
      <c r="AA14" s="103"/>
      <c r="AB14" s="103"/>
      <c r="AC14" s="103"/>
      <c r="AD14" s="103"/>
      <c r="AE14" s="103"/>
      <c r="AF14" s="103"/>
      <c r="AG14" s="103"/>
      <c r="AH14" s="103"/>
      <c r="AI14" s="103"/>
      <c r="AJ14" s="103"/>
      <c r="AK14" s="103"/>
      <c r="AL14" s="103"/>
      <c r="AM14" s="103"/>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4994</v>
      </c>
      <c r="C1" s="2" t="s">
        <v>2623</v>
      </c>
      <c r="D1" s="2" t="s">
        <v>2624</v>
      </c>
      <c r="E1" s="2" t="s">
        <v>2625</v>
      </c>
      <c r="F1" s="2" t="s">
        <v>2626</v>
      </c>
      <c r="G1" s="137" t="s">
        <v>3171</v>
      </c>
      <c r="H1" s="137" t="s">
        <v>3172</v>
      </c>
      <c r="I1" s="137" t="s">
        <v>3173</v>
      </c>
      <c r="J1" s="137" t="s">
        <v>3174</v>
      </c>
      <c r="K1" s="138" t="s">
        <v>3175</v>
      </c>
      <c r="L1" s="138" t="s">
        <v>3176</v>
      </c>
      <c r="M1" s="138" t="s">
        <v>3177</v>
      </c>
      <c r="N1" s="138" t="s">
        <v>3178</v>
      </c>
      <c r="O1" s="74" t="s">
        <v>3179</v>
      </c>
      <c r="P1" s="74" t="s">
        <v>3180</v>
      </c>
      <c r="Q1" s="74" t="s">
        <v>3181</v>
      </c>
      <c r="R1" s="74" t="s">
        <v>4995</v>
      </c>
      <c r="S1" s="139" t="s">
        <v>2628</v>
      </c>
      <c r="T1" s="139" t="s">
        <v>2627</v>
      </c>
      <c r="U1" s="74" t="s">
        <v>4996</v>
      </c>
      <c r="V1" s="74" t="s">
        <v>4997</v>
      </c>
      <c r="W1" s="2" t="s">
        <v>4998</v>
      </c>
      <c r="X1" s="2" t="s">
        <v>4999</v>
      </c>
      <c r="Y1" s="2" t="s">
        <v>5000</v>
      </c>
      <c r="Z1" s="2" t="s">
        <v>5001</v>
      </c>
    </row>
    <row r="2" ht="18.75" customHeight="1">
      <c r="A2" s="64">
        <v>1.0</v>
      </c>
      <c r="B2" s="64" t="s">
        <v>5002</v>
      </c>
      <c r="C2" s="64"/>
      <c r="D2" s="64"/>
      <c r="E2" s="64"/>
      <c r="F2" s="64"/>
      <c r="G2" s="64">
        <v>10.0</v>
      </c>
      <c r="H2" s="64">
        <v>0.0</v>
      </c>
      <c r="I2" s="64">
        <v>0.0</v>
      </c>
      <c r="J2" s="64"/>
      <c r="K2" s="64">
        <v>10.0</v>
      </c>
      <c r="U2" s="107">
        <v>1.0</v>
      </c>
      <c r="V2" s="107">
        <v>0.0</v>
      </c>
      <c r="W2" s="37" t="s">
        <v>5003</v>
      </c>
      <c r="X2" s="37" t="s">
        <v>5004</v>
      </c>
      <c r="Y2" s="37" t="s">
        <v>5005</v>
      </c>
      <c r="Z2" s="37">
        <v>1.0</v>
      </c>
    </row>
    <row r="3" ht="18.75" customHeight="1">
      <c r="A3" s="64">
        <v>2.0</v>
      </c>
      <c r="B3" s="64" t="s">
        <v>5002</v>
      </c>
      <c r="C3" s="64"/>
      <c r="D3" s="64"/>
      <c r="E3" s="64"/>
      <c r="F3" s="64"/>
      <c r="G3" s="64">
        <v>20.0</v>
      </c>
      <c r="H3" s="64">
        <v>0.0</v>
      </c>
      <c r="I3" s="64">
        <v>0.0</v>
      </c>
      <c r="J3" s="64"/>
      <c r="K3" s="64">
        <v>20.0</v>
      </c>
      <c r="U3" s="107">
        <v>1.0</v>
      </c>
      <c r="V3" s="107">
        <v>0.15</v>
      </c>
      <c r="W3" s="37" t="s">
        <v>5006</v>
      </c>
      <c r="X3" s="37" t="s">
        <v>5007</v>
      </c>
      <c r="Y3" s="37" t="s">
        <v>5008</v>
      </c>
      <c r="Z3" s="37">
        <v>1.25</v>
      </c>
    </row>
    <row r="4" ht="18.75" customHeight="1">
      <c r="A4" s="64">
        <v>3.0</v>
      </c>
      <c r="B4" s="64" t="s">
        <v>5002</v>
      </c>
      <c r="C4" s="64"/>
      <c r="D4" s="64"/>
      <c r="E4" s="64"/>
      <c r="F4" s="64"/>
      <c r="G4" s="64">
        <v>30.0</v>
      </c>
      <c r="H4" s="78">
        <v>1.0</v>
      </c>
      <c r="I4" s="64"/>
      <c r="J4" s="64"/>
      <c r="K4" s="64">
        <v>30.0</v>
      </c>
      <c r="L4" s="78">
        <v>1.0</v>
      </c>
      <c r="U4" s="107">
        <v>1.0</v>
      </c>
      <c r="V4" s="107">
        <v>0.3</v>
      </c>
      <c r="W4" s="37" t="s">
        <v>5009</v>
      </c>
      <c r="X4" s="37" t="s">
        <v>4453</v>
      </c>
      <c r="Y4" s="37" t="s">
        <v>5010</v>
      </c>
      <c r="Z4" s="37">
        <v>1.5</v>
      </c>
    </row>
    <row r="5" ht="18.75" customHeight="1">
      <c r="A5" s="64">
        <v>4.0</v>
      </c>
      <c r="B5" s="64" t="s">
        <v>5002</v>
      </c>
      <c r="C5" s="64"/>
      <c r="D5" s="64"/>
      <c r="E5" s="64"/>
      <c r="F5" s="64"/>
      <c r="G5" s="64">
        <v>40.0</v>
      </c>
      <c r="H5" s="78">
        <v>2.0</v>
      </c>
      <c r="I5" s="78">
        <v>1.0</v>
      </c>
      <c r="J5" s="64"/>
      <c r="K5" s="64">
        <v>40.0</v>
      </c>
      <c r="L5" s="78">
        <v>1.0</v>
      </c>
      <c r="M5" s="41">
        <v>1.0</v>
      </c>
      <c r="N5" s="39">
        <v>0.0</v>
      </c>
      <c r="U5" s="107">
        <v>1.0</v>
      </c>
      <c r="V5" s="107">
        <v>0.5</v>
      </c>
      <c r="W5" s="37" t="s">
        <v>5011</v>
      </c>
      <c r="X5" s="37" t="s">
        <v>5012</v>
      </c>
      <c r="Y5" s="37" t="s">
        <v>5013</v>
      </c>
      <c r="Z5" s="37">
        <v>1.75</v>
      </c>
    </row>
    <row r="6" ht="18.75" customHeight="1">
      <c r="A6" s="64">
        <v>5.0</v>
      </c>
      <c r="B6" s="64" t="s">
        <v>5002</v>
      </c>
      <c r="C6" s="64"/>
      <c r="D6" s="64"/>
      <c r="E6" s="64"/>
      <c r="F6" s="64"/>
      <c r="G6" s="64">
        <v>50.0</v>
      </c>
      <c r="H6" s="78">
        <v>2.0</v>
      </c>
      <c r="I6" s="78">
        <v>2.0</v>
      </c>
      <c r="J6" s="64"/>
      <c r="K6" s="64">
        <v>50.0</v>
      </c>
      <c r="L6" s="78">
        <v>2.0</v>
      </c>
      <c r="M6" s="78">
        <v>1.0</v>
      </c>
      <c r="N6" s="78">
        <v>1.0</v>
      </c>
      <c r="O6" s="37">
        <v>20.0</v>
      </c>
      <c r="P6" s="39">
        <v>0.0</v>
      </c>
      <c r="Q6" s="39">
        <v>0.0</v>
      </c>
      <c r="R6" s="37" t="s">
        <v>5014</v>
      </c>
      <c r="U6" s="107">
        <v>1.0</v>
      </c>
      <c r="V6" s="107">
        <v>0.65</v>
      </c>
      <c r="W6" s="37" t="s">
        <v>5015</v>
      </c>
      <c r="X6" s="37" t="s">
        <v>5016</v>
      </c>
      <c r="Y6" s="37" t="s">
        <v>5017</v>
      </c>
      <c r="Z6" s="37">
        <v>2.0</v>
      </c>
    </row>
    <row r="7" ht="18.75" customHeight="1">
      <c r="A7" s="64">
        <v>6.0</v>
      </c>
      <c r="B7" s="64" t="s">
        <v>5002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5014</v>
      </c>
      <c r="U7" s="107">
        <v>1.0</v>
      </c>
      <c r="V7" s="107">
        <v>0.8</v>
      </c>
    </row>
    <row r="8" ht="18.75" customHeight="1">
      <c r="A8" s="64">
        <v>7.0</v>
      </c>
      <c r="B8" s="64" t="s">
        <v>5002</v>
      </c>
      <c r="C8" s="64"/>
      <c r="D8" s="64"/>
      <c r="E8" s="64"/>
      <c r="F8" s="64"/>
      <c r="G8" s="64">
        <f t="shared" si="1"/>
        <v>200</v>
      </c>
      <c r="H8" s="78">
        <v>4.0</v>
      </c>
      <c r="I8" s="78">
        <v>4.0</v>
      </c>
      <c r="J8" s="64"/>
      <c r="K8" s="64">
        <f t="shared" si="2"/>
        <v>200</v>
      </c>
      <c r="L8" s="78">
        <v>4.0</v>
      </c>
      <c r="M8" s="78">
        <v>2.0</v>
      </c>
      <c r="N8" s="78">
        <v>2.0</v>
      </c>
      <c r="O8" s="37">
        <v>80.0</v>
      </c>
      <c r="P8" s="39">
        <v>2.0</v>
      </c>
      <c r="Q8" s="39">
        <v>0.0</v>
      </c>
      <c r="R8" s="37" t="s">
        <v>5014</v>
      </c>
      <c r="U8" s="107">
        <v>1.0</v>
      </c>
      <c r="V8" s="107">
        <v>1.0</v>
      </c>
    </row>
    <row r="9" ht="18.75" customHeight="1">
      <c r="A9" s="64">
        <v>1.0</v>
      </c>
      <c r="B9" s="37" t="s">
        <v>5018</v>
      </c>
      <c r="O9" s="37">
        <v>5.0</v>
      </c>
      <c r="P9" s="39">
        <v>0.0</v>
      </c>
    </row>
    <row r="10" ht="18.75" customHeight="1">
      <c r="A10" s="64">
        <v>2.0</v>
      </c>
      <c r="B10" s="37" t="s">
        <v>5018</v>
      </c>
      <c r="O10" s="37">
        <v>10.0</v>
      </c>
      <c r="P10" s="39">
        <v>0.0</v>
      </c>
      <c r="Q10" s="39">
        <v>0.0</v>
      </c>
    </row>
    <row r="11" ht="18.75" customHeight="1">
      <c r="A11" s="64">
        <v>3.0</v>
      </c>
      <c r="B11" s="37" t="s">
        <v>5018</v>
      </c>
      <c r="O11" s="37">
        <v>20.0</v>
      </c>
      <c r="P11" s="39">
        <v>0.0</v>
      </c>
      <c r="Q11" s="39">
        <v>0.0</v>
      </c>
    </row>
    <row r="12" ht="18.75" customHeight="1">
      <c r="A12" s="64">
        <v>4.0</v>
      </c>
      <c r="B12" s="37" t="s">
        <v>5018</v>
      </c>
      <c r="O12" s="37">
        <v>40.0</v>
      </c>
      <c r="P12" s="39">
        <v>1.0</v>
      </c>
      <c r="Q12" s="39">
        <v>0.0</v>
      </c>
    </row>
    <row r="13" ht="18.75" customHeight="1">
      <c r="A13" s="64">
        <v>5.0</v>
      </c>
      <c r="B13" s="37" t="s">
        <v>5018</v>
      </c>
      <c r="O13" s="37">
        <v>80.0</v>
      </c>
      <c r="P13" s="39">
        <v>2.0</v>
      </c>
      <c r="Q13" s="39">
        <v>0.0</v>
      </c>
      <c r="R13" s="37" t="s">
        <v>5014</v>
      </c>
    </row>
    <row r="14" ht="18.75" customHeight="1">
      <c r="A14" s="64">
        <v>6.0</v>
      </c>
      <c r="B14" s="37" t="s">
        <v>5018</v>
      </c>
      <c r="O14" s="37">
        <v>160.0</v>
      </c>
      <c r="P14" s="39">
        <v>3.0</v>
      </c>
      <c r="Q14" s="39">
        <v>1.0</v>
      </c>
      <c r="R14" s="37" t="s">
        <v>5014</v>
      </c>
    </row>
    <row r="15" ht="18.75" customHeight="1">
      <c r="A15" s="64">
        <v>7.0</v>
      </c>
      <c r="B15" s="37" t="s">
        <v>5018</v>
      </c>
      <c r="O15" s="37">
        <v>320.0</v>
      </c>
      <c r="P15" s="39">
        <v>6.0</v>
      </c>
      <c r="Q15" s="39">
        <v>2.0</v>
      </c>
      <c r="R15" s="37" t="s">
        <v>5014</v>
      </c>
    </row>
    <row r="16" ht="18.75" customHeight="1">
      <c r="A16" s="37">
        <v>1.0</v>
      </c>
      <c r="B16" s="37" t="s">
        <v>4368</v>
      </c>
      <c r="C16" s="37">
        <v>2.0</v>
      </c>
      <c r="D16" s="37">
        <v>2.0</v>
      </c>
      <c r="E16" s="37">
        <v>2.0</v>
      </c>
      <c r="G16" s="37">
        <v>2.0</v>
      </c>
      <c r="J16" s="37">
        <v>2.0</v>
      </c>
      <c r="K16" s="37">
        <v>2.0</v>
      </c>
    </row>
    <row r="17" ht="18.75" customHeight="1"/>
    <row r="18" ht="18.75" customHeight="1"/>
    <row r="19" ht="18.75" customHeight="1"/>
    <row r="20" ht="18.75" customHeight="1"/>
    <row r="21" ht="18.75" customHeight="1">
      <c r="H21" s="37" t="s">
        <v>5019</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5020</v>
      </c>
      <c r="B1" s="37" t="s">
        <v>5021</v>
      </c>
      <c r="C1" s="37" t="s">
        <v>5022</v>
      </c>
      <c r="D1" s="37" t="s">
        <v>5023</v>
      </c>
      <c r="E1" s="37" t="s">
        <v>5024</v>
      </c>
      <c r="F1" s="37" t="s">
        <v>5025</v>
      </c>
      <c r="G1" s="37" t="s">
        <v>2569</v>
      </c>
      <c r="H1" s="37" t="s">
        <v>1452</v>
      </c>
      <c r="I1" s="37" t="s">
        <v>5026</v>
      </c>
      <c r="J1" s="37" t="s">
        <v>1782</v>
      </c>
      <c r="K1" s="37" t="s">
        <v>1492</v>
      </c>
      <c r="L1" s="37" t="s">
        <v>4913</v>
      </c>
      <c r="M1" s="37" t="s">
        <v>4918</v>
      </c>
      <c r="N1" s="37" t="s">
        <v>4919</v>
      </c>
      <c r="O1" s="37" t="s">
        <v>4921</v>
      </c>
      <c r="P1" s="37" t="s">
        <v>5027</v>
      </c>
      <c r="Q1" s="37" t="s">
        <v>4407</v>
      </c>
      <c r="R1" s="37" t="s">
        <v>5028</v>
      </c>
      <c r="S1" s="37" t="s">
        <v>5029</v>
      </c>
      <c r="T1" s="37" t="s">
        <v>5030</v>
      </c>
      <c r="U1" s="37" t="s">
        <v>5031</v>
      </c>
      <c r="V1" s="166" t="s">
        <v>5032</v>
      </c>
      <c r="W1" s="167" t="s">
        <v>5033</v>
      </c>
      <c r="X1" s="167" t="s">
        <v>3171</v>
      </c>
      <c r="Y1" s="39" t="s">
        <v>4290</v>
      </c>
      <c r="Z1" s="39" t="s">
        <v>3296</v>
      </c>
      <c r="AA1" s="39" t="s">
        <v>5034</v>
      </c>
    </row>
    <row r="2" ht="18.75" customHeight="1">
      <c r="A2" s="37" t="s">
        <v>2801</v>
      </c>
      <c r="B2" s="37" t="s">
        <v>3297</v>
      </c>
      <c r="C2" s="37" t="s">
        <v>5035</v>
      </c>
      <c r="D2" s="37">
        <v>20.0</v>
      </c>
      <c r="E2" s="39">
        <v>10.0</v>
      </c>
      <c r="F2" s="37">
        <v>25.0</v>
      </c>
      <c r="K2" s="37">
        <v>20.0</v>
      </c>
      <c r="M2" s="37">
        <v>10.0</v>
      </c>
      <c r="N2" s="37">
        <v>135.0</v>
      </c>
      <c r="R2" s="37" t="s">
        <v>5036</v>
      </c>
      <c r="S2" s="37" t="s">
        <v>5037</v>
      </c>
      <c r="T2" s="37" t="s">
        <v>5038</v>
      </c>
      <c r="V2" s="166">
        <v>1.0</v>
      </c>
      <c r="W2" s="168">
        <v>0.5</v>
      </c>
      <c r="X2" s="168">
        <v>0.0</v>
      </c>
    </row>
    <row r="3" ht="18.75" customHeight="1">
      <c r="A3" s="37" t="s">
        <v>2792</v>
      </c>
      <c r="B3" s="37" t="s">
        <v>3297</v>
      </c>
      <c r="C3" s="37" t="s">
        <v>5035</v>
      </c>
      <c r="D3" s="37">
        <v>30.0</v>
      </c>
      <c r="E3" s="39">
        <v>20.0</v>
      </c>
      <c r="F3" s="37">
        <v>35.0</v>
      </c>
      <c r="K3" s="37">
        <v>25.0</v>
      </c>
      <c r="M3" s="37">
        <v>10.0</v>
      </c>
      <c r="N3" s="37">
        <v>135.0</v>
      </c>
      <c r="R3" s="37" t="s">
        <v>4915</v>
      </c>
      <c r="S3" s="37" t="s">
        <v>5038</v>
      </c>
      <c r="V3" s="166">
        <v>1.25</v>
      </c>
      <c r="W3" s="168">
        <v>1.0</v>
      </c>
      <c r="X3" s="168">
        <v>0.1</v>
      </c>
    </row>
    <row r="4" ht="18.75" customHeight="1">
      <c r="A4" s="37" t="s">
        <v>2788</v>
      </c>
      <c r="B4" s="37" t="s">
        <v>3297</v>
      </c>
      <c r="C4" s="37" t="s">
        <v>5035</v>
      </c>
      <c r="D4" s="37">
        <v>40.0</v>
      </c>
      <c r="E4" s="39">
        <v>25.0</v>
      </c>
      <c r="F4" s="37">
        <v>40.0</v>
      </c>
      <c r="K4" s="37">
        <v>25.0</v>
      </c>
      <c r="M4" s="37">
        <v>10.0</v>
      </c>
      <c r="N4" s="37">
        <v>135.0</v>
      </c>
      <c r="R4" s="37" t="s">
        <v>4915</v>
      </c>
      <c r="V4" s="166">
        <v>1.5</v>
      </c>
      <c r="W4" s="168">
        <v>1.4</v>
      </c>
      <c r="X4" s="168">
        <v>0.1</v>
      </c>
    </row>
    <row r="5" ht="18.75" customHeight="1">
      <c r="A5" s="37" t="s">
        <v>2795</v>
      </c>
      <c r="B5" s="37" t="s">
        <v>3297</v>
      </c>
      <c r="C5" s="37" t="s">
        <v>5035</v>
      </c>
      <c r="D5" s="37">
        <v>40.0</v>
      </c>
      <c r="E5" s="39">
        <v>20.0</v>
      </c>
      <c r="F5" s="37">
        <v>45.0</v>
      </c>
      <c r="K5" s="37">
        <v>25.0</v>
      </c>
      <c r="M5" s="37">
        <v>10.0</v>
      </c>
      <c r="N5" s="37">
        <v>135.0</v>
      </c>
      <c r="R5" s="37" t="s">
        <v>5037</v>
      </c>
      <c r="S5" s="37" t="s">
        <v>5026</v>
      </c>
      <c r="V5" s="166">
        <v>1.25</v>
      </c>
      <c r="W5" s="168">
        <v>0.6</v>
      </c>
      <c r="X5" s="168">
        <v>1.2</v>
      </c>
    </row>
    <row r="6" ht="18.75" customHeight="1">
      <c r="A6" s="37" t="s">
        <v>5039</v>
      </c>
      <c r="B6" s="37" t="s">
        <v>3297</v>
      </c>
      <c r="C6" s="37" t="s">
        <v>5035</v>
      </c>
      <c r="D6" s="37">
        <v>50.0</v>
      </c>
      <c r="E6" s="39">
        <v>30.0</v>
      </c>
      <c r="F6" s="37">
        <v>45.0</v>
      </c>
      <c r="K6" s="37">
        <v>30.0</v>
      </c>
      <c r="M6" s="37">
        <v>10.0</v>
      </c>
      <c r="N6" s="37">
        <v>125.0</v>
      </c>
      <c r="R6" s="37" t="s">
        <v>5037</v>
      </c>
      <c r="V6" s="166">
        <v>1.25</v>
      </c>
      <c r="W6" s="168">
        <v>1.2</v>
      </c>
      <c r="X6" s="168">
        <v>0.4</v>
      </c>
    </row>
    <row r="7" ht="18.75" customHeight="1">
      <c r="A7" s="37" t="s">
        <v>2811</v>
      </c>
      <c r="B7" s="37" t="s">
        <v>3297</v>
      </c>
      <c r="C7" s="37" t="s">
        <v>5035</v>
      </c>
      <c r="D7" s="37">
        <v>30.0</v>
      </c>
      <c r="E7" s="39">
        <v>10.0</v>
      </c>
      <c r="F7" s="37">
        <v>30.0</v>
      </c>
      <c r="K7" s="37">
        <v>20.0</v>
      </c>
      <c r="M7" s="37">
        <v>10.0</v>
      </c>
      <c r="N7" s="37">
        <v>125.0</v>
      </c>
      <c r="R7" s="37" t="s">
        <v>1490</v>
      </c>
      <c r="V7" s="166">
        <v>1.0</v>
      </c>
      <c r="W7" s="168">
        <v>0.0</v>
      </c>
      <c r="X7" s="168">
        <v>1.0</v>
      </c>
    </row>
    <row r="8" ht="18.75" customHeight="1">
      <c r="A8" s="37" t="s">
        <v>5040</v>
      </c>
      <c r="B8" s="37" t="s">
        <v>3297</v>
      </c>
      <c r="C8" s="37" t="s">
        <v>5035</v>
      </c>
      <c r="D8" s="37">
        <v>50.0</v>
      </c>
      <c r="E8" s="39">
        <v>30.0</v>
      </c>
      <c r="F8" s="37">
        <v>45.0</v>
      </c>
      <c r="K8" s="37">
        <v>25.0</v>
      </c>
      <c r="M8" s="37">
        <v>10.0</v>
      </c>
      <c r="N8" s="37">
        <v>125.0</v>
      </c>
      <c r="R8" s="37" t="s">
        <v>1490</v>
      </c>
      <c r="V8" s="166">
        <v>1.5</v>
      </c>
      <c r="W8" s="168">
        <v>1.6</v>
      </c>
      <c r="X8" s="168">
        <v>0.2</v>
      </c>
    </row>
    <row r="9" ht="18.75" customHeight="1">
      <c r="A9" s="37" t="s">
        <v>2803</v>
      </c>
      <c r="B9" s="37" t="s">
        <v>3297</v>
      </c>
      <c r="C9" s="37" t="s">
        <v>4913</v>
      </c>
      <c r="D9" s="37">
        <v>65.0</v>
      </c>
      <c r="E9" s="39">
        <v>20.0</v>
      </c>
      <c r="F9" s="37">
        <v>25.0</v>
      </c>
      <c r="K9" s="37">
        <v>25.0</v>
      </c>
      <c r="L9" s="37">
        <v>40.0</v>
      </c>
      <c r="M9" s="37">
        <v>10.0</v>
      </c>
      <c r="N9" s="37">
        <v>135.0</v>
      </c>
      <c r="O9" s="37">
        <v>20.0</v>
      </c>
      <c r="V9" s="166">
        <v>1.25</v>
      </c>
      <c r="W9" s="168">
        <v>0.2</v>
      </c>
      <c r="X9" s="168">
        <v>1.4</v>
      </c>
    </row>
    <row r="10" ht="18.75" customHeight="1">
      <c r="A10" s="37" t="s">
        <v>5041</v>
      </c>
      <c r="B10" s="37" t="s">
        <v>3297</v>
      </c>
      <c r="C10" s="37" t="s">
        <v>4913</v>
      </c>
      <c r="D10" s="37">
        <v>20.0</v>
      </c>
      <c r="E10" s="39">
        <v>10.0</v>
      </c>
      <c r="F10" s="37">
        <v>10.0</v>
      </c>
      <c r="K10" s="37">
        <v>25.0</v>
      </c>
      <c r="L10" s="37">
        <v>40.0</v>
      </c>
      <c r="M10" s="37">
        <v>10.0</v>
      </c>
      <c r="N10" s="37">
        <v>140.0</v>
      </c>
      <c r="O10" s="37">
        <v>20.0</v>
      </c>
      <c r="R10" s="37" t="s">
        <v>5042</v>
      </c>
      <c r="V10" s="166">
        <v>2.0</v>
      </c>
      <c r="W10" s="168">
        <v>2.0</v>
      </c>
      <c r="X10" s="168">
        <v>0.3</v>
      </c>
      <c r="Y10" s="41">
        <v>3.0</v>
      </c>
    </row>
    <row r="11" ht="18.75" customHeight="1">
      <c r="A11" s="37" t="s">
        <v>2806</v>
      </c>
      <c r="B11" s="37" t="s">
        <v>3297</v>
      </c>
      <c r="C11" s="37" t="s">
        <v>4726</v>
      </c>
      <c r="D11" s="37">
        <v>40.0</v>
      </c>
      <c r="E11" s="39">
        <v>-20.0</v>
      </c>
      <c r="F11" s="37">
        <v>15.0</v>
      </c>
      <c r="G11" s="37">
        <v>15.0</v>
      </c>
      <c r="K11" s="37">
        <v>25.0</v>
      </c>
      <c r="M11" s="37">
        <v>10.0</v>
      </c>
      <c r="N11" s="37">
        <v>120.0</v>
      </c>
      <c r="R11" s="37" t="s">
        <v>137</v>
      </c>
      <c r="V11" s="166">
        <v>2.0</v>
      </c>
      <c r="W11" s="168">
        <v>0.1</v>
      </c>
      <c r="X11" s="168">
        <v>1.3</v>
      </c>
    </row>
    <row r="12" ht="18.75" customHeight="1">
      <c r="V12" s="166"/>
      <c r="W12" s="166"/>
      <c r="X12" s="166"/>
    </row>
    <row r="13" ht="18.75" customHeight="1">
      <c r="A13" s="37" t="s">
        <v>2793</v>
      </c>
      <c r="B13" s="37" t="s">
        <v>3297</v>
      </c>
      <c r="C13" s="37" t="s">
        <v>79</v>
      </c>
      <c r="D13" s="37">
        <v>-5.0</v>
      </c>
      <c r="E13" s="39">
        <v>10.0</v>
      </c>
      <c r="F13" s="37">
        <v>15.0</v>
      </c>
      <c r="K13" s="37">
        <v>25.0</v>
      </c>
      <c r="M13" s="37">
        <v>10.0</v>
      </c>
      <c r="N13" s="37">
        <v>120.0</v>
      </c>
      <c r="V13" s="166">
        <v>1.0</v>
      </c>
      <c r="W13" s="168">
        <v>0.2</v>
      </c>
      <c r="X13" s="168">
        <v>1.0</v>
      </c>
    </row>
    <row r="14" ht="18.75" customHeight="1">
      <c r="A14" s="37" t="s">
        <v>79</v>
      </c>
      <c r="B14" s="37" t="s">
        <v>3297</v>
      </c>
      <c r="C14" s="37" t="s">
        <v>79</v>
      </c>
      <c r="D14" s="37">
        <v>0.0</v>
      </c>
      <c r="E14" s="39">
        <v>20.0</v>
      </c>
      <c r="F14" s="37">
        <v>20.0</v>
      </c>
      <c r="K14" s="37">
        <v>35.0</v>
      </c>
      <c r="M14" s="37">
        <v>10.0</v>
      </c>
      <c r="N14" s="37">
        <v>120.0</v>
      </c>
      <c r="V14" s="166">
        <v>1.0</v>
      </c>
      <c r="W14" s="168">
        <v>0.6</v>
      </c>
      <c r="X14" s="168">
        <v>0.8</v>
      </c>
    </row>
    <row r="15" ht="18.75" customHeight="1">
      <c r="A15" s="37" t="s">
        <v>5043</v>
      </c>
      <c r="B15" s="37" t="s">
        <v>3297</v>
      </c>
      <c r="C15" s="37" t="s">
        <v>79</v>
      </c>
      <c r="D15" s="37">
        <v>10.0</v>
      </c>
      <c r="E15" s="39">
        <v>30.0</v>
      </c>
      <c r="F15" s="37">
        <v>25.0</v>
      </c>
      <c r="K15" s="37">
        <v>45.0</v>
      </c>
      <c r="M15" s="37">
        <v>10.0</v>
      </c>
      <c r="N15" s="37">
        <v>120.0</v>
      </c>
      <c r="V15" s="166">
        <v>1.5</v>
      </c>
      <c r="W15" s="168">
        <v>1.0</v>
      </c>
      <c r="X15" s="168">
        <v>1.2</v>
      </c>
    </row>
    <row r="16" ht="18.75" customHeight="1">
      <c r="V16" s="166"/>
      <c r="W16" s="168">
        <v>0.2</v>
      </c>
      <c r="X16" s="168">
        <v>0.0</v>
      </c>
    </row>
    <row r="17" ht="18.75" customHeight="1">
      <c r="A17" s="37" t="s">
        <v>2816</v>
      </c>
      <c r="B17" s="37" t="s">
        <v>2634</v>
      </c>
      <c r="Q17" s="37">
        <v>3.0</v>
      </c>
      <c r="R17" s="37" t="s">
        <v>137</v>
      </c>
      <c r="V17" s="166">
        <v>1.0</v>
      </c>
      <c r="W17" s="168">
        <v>0.2</v>
      </c>
      <c r="X17" s="168">
        <v>0.1</v>
      </c>
    </row>
    <row r="18" ht="18.75" customHeight="1">
      <c r="A18" s="37" t="s">
        <v>5044</v>
      </c>
      <c r="B18" s="37" t="s">
        <v>2634</v>
      </c>
      <c r="E18" s="37">
        <v>5.0</v>
      </c>
      <c r="P18" s="37">
        <v>5.0</v>
      </c>
      <c r="Q18" s="37">
        <v>10.0</v>
      </c>
      <c r="V18" s="166">
        <v>1.5</v>
      </c>
      <c r="W18" s="168">
        <v>0.7</v>
      </c>
      <c r="X18" s="168">
        <v>0.1</v>
      </c>
    </row>
    <row r="19" ht="18.75" customHeight="1">
      <c r="A19" s="37" t="s">
        <v>2796</v>
      </c>
      <c r="B19" s="37" t="s">
        <v>2634</v>
      </c>
      <c r="Q19" s="37">
        <v>4.0</v>
      </c>
      <c r="V19" s="166">
        <v>1.0</v>
      </c>
      <c r="W19" s="168">
        <v>0.1</v>
      </c>
      <c r="X19" s="168">
        <v>0.3</v>
      </c>
    </row>
    <row r="20" ht="18.75" customHeight="1">
      <c r="A20" s="37" t="s">
        <v>5045</v>
      </c>
      <c r="B20" s="37" t="s">
        <v>2634</v>
      </c>
      <c r="Q20" s="37">
        <v>0.0</v>
      </c>
      <c r="R20" s="37" t="s">
        <v>5046</v>
      </c>
      <c r="S20" s="37" t="s">
        <v>5047</v>
      </c>
      <c r="V20" s="166">
        <v>1.0</v>
      </c>
      <c r="W20" s="168">
        <v>0.1</v>
      </c>
      <c r="X20" s="168">
        <v>0.3</v>
      </c>
    </row>
    <row r="21" ht="18.75" customHeight="1">
      <c r="V21" s="166"/>
      <c r="W21" s="166"/>
      <c r="X21" s="166"/>
    </row>
    <row r="22" ht="18.75" customHeight="1">
      <c r="A22" s="37" t="s">
        <v>2789</v>
      </c>
      <c r="B22" s="37" t="s">
        <v>2635</v>
      </c>
      <c r="E22" s="37">
        <v>10.0</v>
      </c>
      <c r="P22" s="37">
        <v>10.0</v>
      </c>
      <c r="Q22" s="37">
        <v>20.0</v>
      </c>
      <c r="V22" s="166">
        <v>2.0</v>
      </c>
      <c r="W22" s="168">
        <v>2.8</v>
      </c>
      <c r="X22" s="168">
        <v>0.25</v>
      </c>
      <c r="AA22" s="39">
        <v>1.0</v>
      </c>
    </row>
    <row r="23" ht="18.75" customHeight="1">
      <c r="A23" s="37" t="s">
        <v>2797</v>
      </c>
      <c r="B23" s="37" t="s">
        <v>2635</v>
      </c>
      <c r="Q23" s="37">
        <v>10.0</v>
      </c>
      <c r="V23" s="166">
        <v>1.5</v>
      </c>
      <c r="W23" s="168">
        <v>0.25</v>
      </c>
      <c r="X23" s="168">
        <v>1.0</v>
      </c>
      <c r="AA23" s="39">
        <v>2.0</v>
      </c>
    </row>
    <row r="24" ht="18.75" customHeight="1">
      <c r="A24" s="37" t="s">
        <v>2807</v>
      </c>
      <c r="B24" s="37" t="s">
        <v>2635</v>
      </c>
      <c r="Q24" s="37">
        <v>5.0</v>
      </c>
      <c r="R24" s="37" t="s">
        <v>5048</v>
      </c>
      <c r="V24" s="166">
        <v>1.5</v>
      </c>
      <c r="W24" s="168">
        <v>0.25</v>
      </c>
      <c r="X24" s="168">
        <v>1.0</v>
      </c>
      <c r="AA24" s="39">
        <v>3.0</v>
      </c>
    </row>
    <row r="25" ht="18.75" customHeight="1">
      <c r="V25" s="166"/>
      <c r="W25" s="166"/>
      <c r="X25" s="166"/>
    </row>
    <row r="26" ht="18.75" customHeight="1">
      <c r="A26" s="37" t="s">
        <v>5049</v>
      </c>
      <c r="B26" s="37" t="s">
        <v>2636</v>
      </c>
      <c r="E26" s="37">
        <v>5.0</v>
      </c>
      <c r="Q26" s="37">
        <v>3.0</v>
      </c>
      <c r="R26" s="37" t="s">
        <v>5046</v>
      </c>
      <c r="V26" s="166"/>
      <c r="W26" s="166"/>
      <c r="X26" s="166"/>
    </row>
    <row r="27" ht="18.75" customHeight="1">
      <c r="A27" s="37" t="s">
        <v>2790</v>
      </c>
      <c r="B27" s="37" t="s">
        <v>2636</v>
      </c>
      <c r="Q27" s="37">
        <v>1.0</v>
      </c>
      <c r="R27" s="37" t="s">
        <v>5050</v>
      </c>
      <c r="V27" s="166"/>
      <c r="W27" s="166"/>
      <c r="X27" s="166"/>
    </row>
    <row r="28" ht="18.75" customHeight="1">
      <c r="V28" s="166"/>
      <c r="W28" s="166"/>
      <c r="X28" s="166"/>
    </row>
    <row r="29" ht="18.75" customHeight="1">
      <c r="A29" s="37" t="s">
        <v>5051</v>
      </c>
      <c r="B29" s="37" t="s">
        <v>5052</v>
      </c>
      <c r="R29" s="37" t="s">
        <v>137</v>
      </c>
      <c r="V29" s="166">
        <v>1.0</v>
      </c>
      <c r="W29" s="168">
        <v>0.15</v>
      </c>
      <c r="X29" s="168">
        <v>0.05</v>
      </c>
    </row>
    <row r="30" ht="18.75" customHeight="1">
      <c r="A30" s="37" t="s">
        <v>4957</v>
      </c>
      <c r="B30" s="37" t="s">
        <v>5052</v>
      </c>
      <c r="R30" s="37" t="s">
        <v>5046</v>
      </c>
      <c r="S30" s="37" t="s">
        <v>5047</v>
      </c>
      <c r="V30" s="166">
        <v>1.0</v>
      </c>
      <c r="W30" s="168">
        <v>0.1</v>
      </c>
      <c r="X30" s="168">
        <v>0.05</v>
      </c>
    </row>
    <row r="31" ht="18.75" customHeight="1">
      <c r="A31" s="37" t="s">
        <v>5053</v>
      </c>
      <c r="B31" s="37" t="s">
        <v>5052</v>
      </c>
      <c r="R31" s="37" t="s">
        <v>5054</v>
      </c>
      <c r="V31" s="166">
        <v>1.0</v>
      </c>
      <c r="W31" s="168">
        <v>0.1</v>
      </c>
      <c r="X31" s="168">
        <v>0.05</v>
      </c>
    </row>
    <row r="32" ht="18.75" customHeight="1">
      <c r="A32" s="37" t="s">
        <v>5055</v>
      </c>
      <c r="B32" s="37" t="s">
        <v>5052</v>
      </c>
      <c r="R32" s="37" t="s">
        <v>5056</v>
      </c>
      <c r="S32" s="37" t="s">
        <v>5057</v>
      </c>
      <c r="V32" s="166">
        <v>1.0</v>
      </c>
      <c r="W32" s="168">
        <v>0.2</v>
      </c>
      <c r="X32" s="168">
        <v>0.05</v>
      </c>
    </row>
    <row r="33" ht="18.75" customHeight="1"/>
    <row r="34" ht="18.75" customHeight="1">
      <c r="A34" s="39" t="s">
        <v>32</v>
      </c>
      <c r="B34" s="39" t="s">
        <v>5058</v>
      </c>
      <c r="C34" s="39" t="s">
        <v>5035</v>
      </c>
      <c r="D34" s="39">
        <v>60.0</v>
      </c>
      <c r="F34" s="41">
        <v>35.0</v>
      </c>
      <c r="K34" s="41">
        <v>15.0</v>
      </c>
      <c r="M34" s="41">
        <v>10.0</v>
      </c>
      <c r="N34" s="41">
        <v>125.0</v>
      </c>
      <c r="V34" s="166"/>
      <c r="W34" s="168"/>
      <c r="X34" s="168"/>
      <c r="Y34" s="39">
        <v>1.0</v>
      </c>
      <c r="Z34" s="39" t="s">
        <v>5059</v>
      </c>
      <c r="AA34" s="39"/>
    </row>
    <row r="35" ht="18.75" customHeight="1">
      <c r="A35" s="39" t="s">
        <v>35</v>
      </c>
      <c r="B35" s="39" t="s">
        <v>5058</v>
      </c>
      <c r="C35" s="39" t="s">
        <v>5035</v>
      </c>
      <c r="D35" s="41">
        <v>30.0</v>
      </c>
      <c r="F35" s="41">
        <v>25.0</v>
      </c>
      <c r="K35" s="41">
        <v>10.0</v>
      </c>
      <c r="M35" s="41">
        <v>10.0</v>
      </c>
      <c r="N35" s="41">
        <v>135.0</v>
      </c>
      <c r="P35" s="41">
        <v>15.0</v>
      </c>
      <c r="V35" s="166"/>
      <c r="W35" s="168"/>
      <c r="X35" s="168"/>
      <c r="Y35" s="39">
        <v>1.0</v>
      </c>
      <c r="Z35" s="39" t="s">
        <v>5059</v>
      </c>
      <c r="AA35" s="39"/>
    </row>
    <row r="36" ht="18.75" customHeight="1">
      <c r="A36" s="39" t="s">
        <v>37</v>
      </c>
      <c r="B36" s="39" t="s">
        <v>5058</v>
      </c>
      <c r="C36" s="39" t="s">
        <v>5035</v>
      </c>
      <c r="D36" s="41">
        <v>50.0</v>
      </c>
      <c r="F36" s="39">
        <v>15.0</v>
      </c>
      <c r="K36" s="41">
        <v>10.0</v>
      </c>
      <c r="M36" s="41">
        <v>10.0</v>
      </c>
      <c r="N36" s="41">
        <v>135.0</v>
      </c>
      <c r="V36" s="166"/>
      <c r="W36" s="168"/>
      <c r="X36" s="168"/>
      <c r="Y36" s="39">
        <v>2.0</v>
      </c>
      <c r="Z36" s="39" t="s">
        <v>5059</v>
      </c>
      <c r="AA36" s="39"/>
    </row>
    <row r="37" ht="18.75" customHeight="1">
      <c r="A37" s="39" t="s">
        <v>39</v>
      </c>
      <c r="B37" s="39" t="s">
        <v>5058</v>
      </c>
      <c r="C37" s="39" t="s">
        <v>5035</v>
      </c>
      <c r="D37" s="39">
        <v>20.0</v>
      </c>
      <c r="F37" s="41">
        <v>12.0</v>
      </c>
      <c r="K37" s="41">
        <v>7.0</v>
      </c>
      <c r="M37" s="41">
        <v>10.0</v>
      </c>
      <c r="N37" s="41">
        <v>125.0</v>
      </c>
      <c r="V37" s="166"/>
      <c r="W37" s="168"/>
      <c r="X37" s="168"/>
      <c r="Y37" s="39">
        <v>1.0</v>
      </c>
      <c r="Z37" s="39" t="s">
        <v>5059</v>
      </c>
      <c r="AA37" s="39"/>
    </row>
    <row r="38" ht="18.75" customHeight="1">
      <c r="A38" s="39" t="s">
        <v>45</v>
      </c>
      <c r="B38" s="39" t="s">
        <v>5058</v>
      </c>
      <c r="C38" s="39" t="s">
        <v>5035</v>
      </c>
      <c r="D38" s="41">
        <v>20.0</v>
      </c>
      <c r="F38" s="39">
        <v>10.0</v>
      </c>
      <c r="K38" s="39">
        <v>15.0</v>
      </c>
      <c r="M38" s="41">
        <v>5.0</v>
      </c>
      <c r="N38" s="41">
        <v>115.0</v>
      </c>
      <c r="V38" s="166"/>
      <c r="W38" s="168"/>
      <c r="X38" s="168"/>
      <c r="Y38" s="39">
        <v>2.0</v>
      </c>
      <c r="Z38" s="39" t="s">
        <v>5059</v>
      </c>
      <c r="AA38" s="39"/>
    </row>
    <row r="39" ht="18.75" customHeight="1">
      <c r="A39" s="39" t="s">
        <v>2605</v>
      </c>
      <c r="B39" s="39" t="s">
        <v>5060</v>
      </c>
      <c r="C39" s="41" t="s">
        <v>5058</v>
      </c>
      <c r="D39" s="41">
        <v>10.0</v>
      </c>
      <c r="F39" s="41">
        <v>10.0</v>
      </c>
      <c r="K39" s="41">
        <v>8.0</v>
      </c>
      <c r="M39" s="41">
        <v>5.0</v>
      </c>
      <c r="N39" s="41">
        <v>110.0</v>
      </c>
      <c r="Q39" s="41">
        <v>10.0</v>
      </c>
      <c r="V39" s="166"/>
      <c r="W39" s="168"/>
      <c r="X39" s="168"/>
      <c r="Z39" s="39" t="s">
        <v>5061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9" t="s">
        <v>2561</v>
      </c>
      <c r="B1" s="169" t="s">
        <v>3816</v>
      </c>
      <c r="C1" s="169" t="s">
        <v>3629</v>
      </c>
      <c r="D1" s="169" t="s">
        <v>5062</v>
      </c>
      <c r="E1" s="169" t="s">
        <v>2994</v>
      </c>
      <c r="F1" s="169" t="s">
        <v>5063</v>
      </c>
      <c r="G1" s="169" t="s">
        <v>4125</v>
      </c>
      <c r="H1" s="169" t="s">
        <v>5064</v>
      </c>
      <c r="I1" s="169" t="s">
        <v>5065</v>
      </c>
      <c r="J1" s="169" t="s">
        <v>4394</v>
      </c>
      <c r="K1" s="169" t="s">
        <v>5066</v>
      </c>
      <c r="L1" s="169" t="s">
        <v>5067</v>
      </c>
      <c r="M1" s="169" t="s">
        <v>8</v>
      </c>
      <c r="N1" s="169" t="s">
        <v>5068</v>
      </c>
      <c r="O1" s="169" t="s">
        <v>5069</v>
      </c>
      <c r="P1" s="169" t="s">
        <v>5070</v>
      </c>
      <c r="Q1" s="169" t="s">
        <v>5071</v>
      </c>
      <c r="R1" s="169" t="s">
        <v>5072</v>
      </c>
      <c r="S1" s="169" t="s">
        <v>5073</v>
      </c>
      <c r="T1" s="169" t="s">
        <v>3296</v>
      </c>
      <c r="U1" s="169" t="s">
        <v>3301</v>
      </c>
      <c r="V1" s="170" t="s">
        <v>5074</v>
      </c>
      <c r="W1" s="170" t="s">
        <v>5075</v>
      </c>
      <c r="X1" s="170" t="s">
        <v>5076</v>
      </c>
      <c r="Y1" s="170" t="s">
        <v>5077</v>
      </c>
      <c r="Z1" s="170" t="s">
        <v>5078</v>
      </c>
      <c r="AA1" s="170" t="s">
        <v>5079</v>
      </c>
      <c r="AB1" s="170" t="s">
        <v>5080</v>
      </c>
      <c r="AC1" s="170" t="s">
        <v>5081</v>
      </c>
    </row>
    <row r="2">
      <c r="A2" s="171" t="s">
        <v>5082</v>
      </c>
      <c r="B2" s="171" t="s">
        <v>5083</v>
      </c>
      <c r="C2" s="171" t="s">
        <v>5084</v>
      </c>
      <c r="D2" s="171" t="s">
        <v>5085</v>
      </c>
      <c r="E2" s="171" t="s">
        <v>5086</v>
      </c>
      <c r="F2" s="171" t="s">
        <v>5087</v>
      </c>
      <c r="G2" s="171" t="s">
        <v>5088</v>
      </c>
      <c r="H2" s="171" t="s">
        <v>5089</v>
      </c>
      <c r="I2" s="171" t="s">
        <v>5090</v>
      </c>
      <c r="J2" s="171" t="s">
        <v>5091</v>
      </c>
      <c r="K2" s="171" t="s">
        <v>5092</v>
      </c>
      <c r="L2" s="171" t="s">
        <v>5093</v>
      </c>
      <c r="M2" s="171" t="s">
        <v>5094</v>
      </c>
      <c r="N2" s="171" t="s">
        <v>5095</v>
      </c>
      <c r="O2" s="171">
        <v>10.0</v>
      </c>
      <c r="P2" s="171" t="b">
        <v>1</v>
      </c>
      <c r="Q2" s="171">
        <v>5.0</v>
      </c>
      <c r="R2" s="171" t="s">
        <v>29</v>
      </c>
      <c r="S2" s="171" t="s">
        <v>29</v>
      </c>
      <c r="T2" s="171" t="s">
        <v>5096</v>
      </c>
      <c r="U2" s="171" t="s">
        <v>5097</v>
      </c>
      <c r="V2" s="171"/>
      <c r="W2" s="171"/>
      <c r="X2" s="171"/>
      <c r="Y2" s="171"/>
      <c r="Z2" s="171"/>
      <c r="AA2" s="171"/>
      <c r="AB2" s="171"/>
      <c r="AC2" s="171"/>
    </row>
    <row r="3">
      <c r="A3" s="171" t="s">
        <v>5098</v>
      </c>
      <c r="B3" s="171" t="s">
        <v>5083</v>
      </c>
      <c r="C3" s="171" t="s">
        <v>5084</v>
      </c>
      <c r="D3" s="171" t="s">
        <v>5085</v>
      </c>
      <c r="E3" s="171" t="s">
        <v>5099</v>
      </c>
      <c r="F3" s="171" t="s">
        <v>5087</v>
      </c>
      <c r="G3" s="171" t="s">
        <v>29</v>
      </c>
      <c r="H3" s="171" t="s">
        <v>5100</v>
      </c>
      <c r="I3" s="171" t="s">
        <v>5101</v>
      </c>
      <c r="J3" s="171" t="s">
        <v>5102</v>
      </c>
      <c r="K3" s="171" t="s">
        <v>29</v>
      </c>
      <c r="L3" s="171" t="s">
        <v>5093</v>
      </c>
      <c r="M3" s="171" t="s">
        <v>5103</v>
      </c>
      <c r="N3" s="171" t="s">
        <v>5104</v>
      </c>
      <c r="O3" s="171">
        <v>15.0</v>
      </c>
      <c r="P3" s="171" t="b">
        <v>1</v>
      </c>
      <c r="Q3" s="171">
        <v>5.0</v>
      </c>
      <c r="R3" s="171" t="s">
        <v>29</v>
      </c>
      <c r="S3" s="171" t="s">
        <v>29</v>
      </c>
      <c r="T3" s="171" t="s">
        <v>5105</v>
      </c>
      <c r="U3" s="171" t="s">
        <v>5106</v>
      </c>
      <c r="V3" s="171"/>
      <c r="W3" s="171"/>
      <c r="X3" s="171"/>
      <c r="Y3" s="171"/>
      <c r="Z3" s="171"/>
      <c r="AA3" s="171"/>
      <c r="AB3" s="171"/>
      <c r="AC3" s="171"/>
    </row>
    <row r="4">
      <c r="A4" s="171" t="s">
        <v>5107</v>
      </c>
      <c r="B4" s="171" t="s">
        <v>5083</v>
      </c>
      <c r="C4" s="171" t="s">
        <v>5084</v>
      </c>
      <c r="D4" s="171" t="s">
        <v>5108</v>
      </c>
      <c r="E4" s="171" t="s">
        <v>5109</v>
      </c>
      <c r="F4" s="171" t="s">
        <v>5087</v>
      </c>
      <c r="G4" s="171" t="s">
        <v>29</v>
      </c>
      <c r="H4" s="171" t="s">
        <v>5110</v>
      </c>
      <c r="I4" s="171" t="s">
        <v>5111</v>
      </c>
      <c r="J4" s="171" t="s">
        <v>5112</v>
      </c>
      <c r="K4" s="171" t="s">
        <v>29</v>
      </c>
      <c r="L4" s="171" t="s">
        <v>29</v>
      </c>
      <c r="M4" s="171" t="s">
        <v>5113</v>
      </c>
      <c r="N4" s="171" t="s">
        <v>29</v>
      </c>
      <c r="O4" s="171" t="s">
        <v>29</v>
      </c>
      <c r="P4" s="171" t="b">
        <v>0</v>
      </c>
      <c r="Q4" s="171" t="s">
        <v>29</v>
      </c>
      <c r="R4" s="171">
        <v>5.0</v>
      </c>
      <c r="S4" s="171">
        <v>3.0</v>
      </c>
      <c r="T4" s="171" t="s">
        <v>5114</v>
      </c>
      <c r="U4" s="171" t="s">
        <v>5115</v>
      </c>
      <c r="V4" s="171"/>
      <c r="W4" s="171"/>
      <c r="X4" s="171"/>
      <c r="Y4" s="171"/>
      <c r="Z4" s="171"/>
      <c r="AA4" s="171"/>
      <c r="AB4" s="171"/>
      <c r="AC4" s="171"/>
    </row>
    <row r="5">
      <c r="A5" s="171" t="s">
        <v>5116</v>
      </c>
      <c r="B5" s="171" t="s">
        <v>5083</v>
      </c>
      <c r="C5" s="171" t="s">
        <v>5084</v>
      </c>
      <c r="D5" s="171" t="s">
        <v>5085</v>
      </c>
      <c r="E5" s="171" t="s">
        <v>5117</v>
      </c>
      <c r="F5" s="171" t="s">
        <v>5087</v>
      </c>
      <c r="G5" s="171" t="s">
        <v>5118</v>
      </c>
      <c r="H5" s="171" t="s">
        <v>5089</v>
      </c>
      <c r="I5" s="171" t="s">
        <v>5119</v>
      </c>
      <c r="J5" s="171" t="s">
        <v>5120</v>
      </c>
      <c r="K5" s="171" t="s">
        <v>5121</v>
      </c>
      <c r="L5" s="171" t="s">
        <v>5122</v>
      </c>
      <c r="M5" s="171" t="s">
        <v>5123</v>
      </c>
      <c r="N5" s="171" t="s">
        <v>5124</v>
      </c>
      <c r="O5" s="171">
        <v>10.0</v>
      </c>
      <c r="P5" s="171" t="b">
        <v>1</v>
      </c>
      <c r="Q5" s="171">
        <v>5.0</v>
      </c>
      <c r="R5" s="171" t="s">
        <v>29</v>
      </c>
      <c r="S5" s="171" t="s">
        <v>29</v>
      </c>
      <c r="T5" s="171" t="s">
        <v>5125</v>
      </c>
      <c r="U5" s="171" t="s">
        <v>5126</v>
      </c>
      <c r="V5" s="171"/>
      <c r="W5" s="171"/>
      <c r="X5" s="171"/>
      <c r="Y5" s="171"/>
      <c r="Z5" s="171"/>
      <c r="AA5" s="171"/>
      <c r="AB5" s="171"/>
      <c r="AC5" s="171"/>
    </row>
    <row r="6">
      <c r="A6" s="171" t="s">
        <v>5127</v>
      </c>
      <c r="B6" s="172" t="s">
        <v>5128</v>
      </c>
      <c r="C6" s="171" t="s">
        <v>5084</v>
      </c>
      <c r="D6" s="171" t="s">
        <v>5085</v>
      </c>
      <c r="E6" s="171" t="s">
        <v>5129</v>
      </c>
      <c r="F6" s="171" t="s">
        <v>5087</v>
      </c>
      <c r="G6" s="171" t="s">
        <v>29</v>
      </c>
      <c r="H6" s="171" t="s">
        <v>5089</v>
      </c>
      <c r="I6" s="171" t="s">
        <v>5130</v>
      </c>
      <c r="J6" s="171" t="s">
        <v>5131</v>
      </c>
      <c r="K6" s="171" t="s">
        <v>5132</v>
      </c>
      <c r="L6" s="171" t="s">
        <v>5093</v>
      </c>
      <c r="M6" s="171" t="s">
        <v>5133</v>
      </c>
      <c r="N6" s="171" t="s">
        <v>5134</v>
      </c>
      <c r="O6" s="171">
        <v>15.0</v>
      </c>
      <c r="P6" s="171" t="b">
        <v>1</v>
      </c>
      <c r="Q6" s="171">
        <v>5.0</v>
      </c>
      <c r="R6" s="171" t="s">
        <v>29</v>
      </c>
      <c r="S6" s="171" t="s">
        <v>29</v>
      </c>
      <c r="T6" s="171" t="s">
        <v>5135</v>
      </c>
      <c r="U6" s="171" t="s">
        <v>5136</v>
      </c>
      <c r="V6" s="171"/>
      <c r="W6" s="171"/>
      <c r="X6" s="171"/>
      <c r="Y6" s="171"/>
      <c r="Z6" s="171"/>
      <c r="AA6" s="171"/>
      <c r="AB6" s="171"/>
      <c r="AC6" s="171"/>
    </row>
    <row r="7">
      <c r="A7" s="171" t="s">
        <v>5137</v>
      </c>
      <c r="B7" s="172" t="s">
        <v>5128</v>
      </c>
      <c r="C7" s="171" t="s">
        <v>5084</v>
      </c>
      <c r="D7" s="171" t="s">
        <v>5085</v>
      </c>
      <c r="E7" s="171" t="s">
        <v>5129</v>
      </c>
      <c r="F7" s="171" t="s">
        <v>5087</v>
      </c>
      <c r="G7" s="171" t="s">
        <v>29</v>
      </c>
      <c r="H7" s="171" t="s">
        <v>5089</v>
      </c>
      <c r="I7" s="171" t="s">
        <v>5138</v>
      </c>
      <c r="J7" s="171" t="s">
        <v>5139</v>
      </c>
      <c r="K7" s="171" t="s">
        <v>5140</v>
      </c>
      <c r="L7" s="171" t="s">
        <v>5093</v>
      </c>
      <c r="M7" s="171" t="s">
        <v>5141</v>
      </c>
      <c r="N7" s="171" t="s">
        <v>5142</v>
      </c>
      <c r="O7" s="171">
        <v>15.0</v>
      </c>
      <c r="P7" s="171" t="b">
        <v>1</v>
      </c>
      <c r="Q7" s="171">
        <v>5.0</v>
      </c>
      <c r="R7" s="171" t="s">
        <v>29</v>
      </c>
      <c r="S7" s="171" t="s">
        <v>29</v>
      </c>
      <c r="T7" s="171" t="s">
        <v>5135</v>
      </c>
      <c r="U7" s="171" t="s">
        <v>5143</v>
      </c>
      <c r="V7" s="171"/>
      <c r="W7" s="171"/>
      <c r="X7" s="171"/>
      <c r="Y7" s="171"/>
      <c r="Z7" s="171"/>
      <c r="AA7" s="171"/>
      <c r="AB7" s="171"/>
      <c r="AC7" s="171"/>
    </row>
    <row r="8">
      <c r="A8" s="171" t="s">
        <v>5098</v>
      </c>
      <c r="B8" s="172" t="s">
        <v>5128</v>
      </c>
      <c r="C8" s="171" t="s">
        <v>5084</v>
      </c>
      <c r="D8" s="171" t="s">
        <v>5085</v>
      </c>
      <c r="E8" s="171" t="s">
        <v>5144</v>
      </c>
      <c r="F8" s="171" t="s">
        <v>5087</v>
      </c>
      <c r="G8" s="171" t="s">
        <v>29</v>
      </c>
      <c r="H8" s="171" t="s">
        <v>5145</v>
      </c>
      <c r="I8" s="171" t="s">
        <v>5146</v>
      </c>
      <c r="J8" s="171" t="s">
        <v>5102</v>
      </c>
      <c r="K8" s="171" t="s">
        <v>29</v>
      </c>
      <c r="L8" s="171" t="s">
        <v>5093</v>
      </c>
      <c r="M8" s="171" t="s">
        <v>5147</v>
      </c>
      <c r="N8" s="171" t="s">
        <v>5104</v>
      </c>
      <c r="O8" s="171">
        <v>15.0</v>
      </c>
      <c r="P8" s="171" t="b">
        <v>1</v>
      </c>
      <c r="Q8" s="171">
        <v>5.0</v>
      </c>
      <c r="R8" s="171" t="s">
        <v>29</v>
      </c>
      <c r="S8" s="171" t="s">
        <v>29</v>
      </c>
      <c r="T8" s="171" t="s">
        <v>5135</v>
      </c>
      <c r="U8" s="171" t="s">
        <v>5148</v>
      </c>
      <c r="V8" s="171"/>
      <c r="W8" s="171"/>
      <c r="X8" s="171"/>
      <c r="Y8" s="171"/>
      <c r="Z8" s="171"/>
      <c r="AA8" s="171"/>
      <c r="AB8" s="171"/>
      <c r="AC8" s="171"/>
    </row>
    <row r="9">
      <c r="A9" s="171" t="s">
        <v>5116</v>
      </c>
      <c r="B9" s="171" t="s">
        <v>4113</v>
      </c>
      <c r="C9" s="171" t="s">
        <v>5084</v>
      </c>
      <c r="D9" s="171" t="s">
        <v>5085</v>
      </c>
      <c r="E9" s="171" t="s">
        <v>5129</v>
      </c>
      <c r="F9" s="171" t="s">
        <v>5087</v>
      </c>
      <c r="G9" s="171" t="s">
        <v>5118</v>
      </c>
      <c r="H9" s="171" t="s">
        <v>5089</v>
      </c>
      <c r="I9" s="171" t="s">
        <v>5149</v>
      </c>
      <c r="J9" s="171" t="s">
        <v>5120</v>
      </c>
      <c r="K9" s="171" t="s">
        <v>5121</v>
      </c>
      <c r="L9" s="171" t="s">
        <v>5150</v>
      </c>
      <c r="M9" s="171" t="s">
        <v>5151</v>
      </c>
      <c r="N9" s="171" t="s">
        <v>5124</v>
      </c>
      <c r="O9" s="171">
        <v>15.0</v>
      </c>
      <c r="P9" s="171" t="b">
        <v>1</v>
      </c>
      <c r="Q9" s="171">
        <v>5.0</v>
      </c>
      <c r="R9" s="171" t="s">
        <v>29</v>
      </c>
      <c r="S9" s="171" t="s">
        <v>29</v>
      </c>
      <c r="T9" s="171" t="s">
        <v>5135</v>
      </c>
      <c r="U9" s="171" t="s">
        <v>5152</v>
      </c>
      <c r="V9" s="171"/>
      <c r="W9" s="171"/>
      <c r="X9" s="171"/>
      <c r="Y9" s="171"/>
      <c r="Z9" s="171"/>
      <c r="AA9" s="171"/>
      <c r="AB9" s="171"/>
      <c r="AC9" s="171"/>
    </row>
    <row r="10">
      <c r="A10" s="172" t="s">
        <v>5153</v>
      </c>
      <c r="B10" s="172" t="s">
        <v>4113</v>
      </c>
      <c r="C10" s="172" t="s">
        <v>5084</v>
      </c>
      <c r="D10" s="172" t="s">
        <v>5154</v>
      </c>
      <c r="E10" s="172" t="s">
        <v>5155</v>
      </c>
      <c r="F10" s="171"/>
      <c r="G10" s="171"/>
      <c r="H10" s="171"/>
      <c r="I10" s="171"/>
      <c r="J10" s="171"/>
      <c r="K10" s="171"/>
      <c r="L10" s="171"/>
      <c r="M10" s="171"/>
      <c r="N10" s="171"/>
      <c r="O10" s="171"/>
      <c r="P10" s="171"/>
      <c r="Q10" s="171"/>
      <c r="R10" s="171"/>
      <c r="S10" s="171"/>
      <c r="T10" s="172" t="s">
        <v>5156</v>
      </c>
      <c r="U10" s="172" t="s">
        <v>5157</v>
      </c>
      <c r="V10" s="171" t="s">
        <v>5158</v>
      </c>
      <c r="W10" s="171">
        <v>100.0</v>
      </c>
      <c r="X10" s="171" t="s">
        <v>5159</v>
      </c>
      <c r="Y10" s="171" t="s">
        <v>5160</v>
      </c>
      <c r="Z10" s="171" t="s">
        <v>5161</v>
      </c>
      <c r="AA10" s="171">
        <v>3.0</v>
      </c>
      <c r="AB10" s="171">
        <v>3.0</v>
      </c>
      <c r="AC10" s="171">
        <v>5.0</v>
      </c>
    </row>
    <row r="11">
      <c r="A11" s="172" t="s">
        <v>5162</v>
      </c>
      <c r="B11" s="172" t="s">
        <v>4113</v>
      </c>
      <c r="C11" s="172" t="s">
        <v>5084</v>
      </c>
      <c r="D11" s="172" t="s">
        <v>5154</v>
      </c>
      <c r="E11" s="172" t="s">
        <v>5163</v>
      </c>
      <c r="F11" s="171"/>
      <c r="G11" s="171"/>
      <c r="H11" s="171"/>
      <c r="I11" s="171"/>
      <c r="J11" s="171"/>
      <c r="K11" s="171"/>
      <c r="L11" s="171"/>
      <c r="M11" s="171"/>
      <c r="N11" s="171"/>
      <c r="O11" s="171"/>
      <c r="P11" s="171"/>
      <c r="Q11" s="171"/>
      <c r="R11" s="171"/>
      <c r="S11" s="171"/>
      <c r="T11" s="172" t="s">
        <v>5164</v>
      </c>
      <c r="U11" s="172" t="s">
        <v>5165</v>
      </c>
      <c r="V11" s="171" t="s">
        <v>5166</v>
      </c>
      <c r="W11" s="171">
        <v>90.0</v>
      </c>
      <c r="X11" s="171" t="s">
        <v>5167</v>
      </c>
      <c r="Y11" s="171" t="s">
        <v>5168</v>
      </c>
      <c r="Z11" s="171"/>
      <c r="AA11" s="171">
        <v>3.0</v>
      </c>
      <c r="AB11" s="171">
        <v>1.0</v>
      </c>
      <c r="AC11" s="171">
        <v>3.0</v>
      </c>
    </row>
    <row r="12">
      <c r="A12" s="172" t="s">
        <v>5169</v>
      </c>
      <c r="B12" s="172" t="s">
        <v>4113</v>
      </c>
      <c r="C12" s="172" t="s">
        <v>5084</v>
      </c>
      <c r="D12" s="172" t="s">
        <v>5154</v>
      </c>
      <c r="E12" s="172" t="s">
        <v>5170</v>
      </c>
      <c r="F12" s="171"/>
      <c r="G12" s="171"/>
      <c r="H12" s="171"/>
      <c r="I12" s="171"/>
      <c r="J12" s="171"/>
      <c r="K12" s="171"/>
      <c r="L12" s="171"/>
      <c r="M12" s="171"/>
      <c r="N12" s="171"/>
      <c r="O12" s="171"/>
      <c r="P12" s="171"/>
      <c r="Q12" s="171"/>
      <c r="R12" s="171"/>
      <c r="S12" s="171"/>
      <c r="T12" s="172" t="s">
        <v>5171</v>
      </c>
      <c r="U12" s="172" t="s">
        <v>5172</v>
      </c>
      <c r="V12" s="171" t="s">
        <v>4342</v>
      </c>
      <c r="W12" s="171">
        <v>80.0</v>
      </c>
      <c r="X12" s="171" t="s">
        <v>5173</v>
      </c>
      <c r="Y12" s="171" t="s">
        <v>5174</v>
      </c>
      <c r="Z12" s="171" t="s">
        <v>5175</v>
      </c>
      <c r="AA12" s="171">
        <v>3.0</v>
      </c>
      <c r="AB12" s="171">
        <v>100.0</v>
      </c>
      <c r="AC12" s="171">
        <v>3.0</v>
      </c>
    </row>
    <row r="13">
      <c r="A13" s="172" t="s">
        <v>5176</v>
      </c>
      <c r="B13" s="172" t="s">
        <v>4113</v>
      </c>
      <c r="C13" s="172" t="s">
        <v>5084</v>
      </c>
      <c r="D13" s="172" t="s">
        <v>5154</v>
      </c>
      <c r="E13" s="172" t="s">
        <v>5177</v>
      </c>
      <c r="F13" s="171"/>
      <c r="G13" s="171"/>
      <c r="H13" s="171"/>
      <c r="I13" s="171"/>
      <c r="J13" s="171"/>
      <c r="K13" s="171"/>
      <c r="L13" s="171"/>
      <c r="M13" s="171"/>
      <c r="N13" s="171"/>
      <c r="O13" s="171"/>
      <c r="P13" s="171"/>
      <c r="Q13" s="171"/>
      <c r="R13" s="171"/>
      <c r="S13" s="171"/>
      <c r="T13" s="172" t="s">
        <v>5178</v>
      </c>
      <c r="U13" s="172" t="s">
        <v>5179</v>
      </c>
      <c r="V13" s="171" t="s">
        <v>4567</v>
      </c>
      <c r="W13" s="171">
        <v>60.0</v>
      </c>
      <c r="X13" s="171" t="s">
        <v>5180</v>
      </c>
      <c r="Y13" s="171" t="s">
        <v>5181</v>
      </c>
      <c r="Z13" s="171" t="s">
        <v>5175</v>
      </c>
      <c r="AA13" s="171">
        <v>3.0</v>
      </c>
      <c r="AB13" s="171">
        <v>100.0</v>
      </c>
      <c r="AC13" s="171">
        <v>5.0</v>
      </c>
    </row>
    <row r="14">
      <c r="A14" s="172" t="s">
        <v>5182</v>
      </c>
      <c r="B14" s="172" t="s">
        <v>5183</v>
      </c>
      <c r="C14" s="172" t="s">
        <v>5084</v>
      </c>
      <c r="D14" s="172" t="s">
        <v>5154</v>
      </c>
      <c r="E14" s="172" t="s">
        <v>5184</v>
      </c>
      <c r="F14" s="171"/>
      <c r="G14" s="171"/>
      <c r="H14" s="171"/>
      <c r="I14" s="171"/>
      <c r="J14" s="171"/>
      <c r="K14" s="171"/>
      <c r="L14" s="171"/>
      <c r="M14" s="171"/>
      <c r="N14" s="171"/>
      <c r="O14" s="171"/>
      <c r="P14" s="171"/>
      <c r="Q14" s="171"/>
      <c r="R14" s="171"/>
      <c r="S14" s="171"/>
      <c r="T14" s="172" t="s">
        <v>5185</v>
      </c>
      <c r="U14" s="172" t="s">
        <v>5186</v>
      </c>
      <c r="V14" s="171" t="s">
        <v>4565</v>
      </c>
      <c r="W14" s="171">
        <v>50.0</v>
      </c>
      <c r="X14" s="171" t="s">
        <v>5187</v>
      </c>
      <c r="Y14" s="171" t="s">
        <v>5181</v>
      </c>
      <c r="Z14" s="171" t="s">
        <v>5175</v>
      </c>
      <c r="AA14" s="171">
        <v>3.0</v>
      </c>
      <c r="AB14" s="171">
        <v>100.0</v>
      </c>
      <c r="AC14" s="171">
        <v>8.0</v>
      </c>
    </row>
    <row r="15">
      <c r="A15" s="172" t="s">
        <v>5188</v>
      </c>
      <c r="B15" s="172" t="s">
        <v>5183</v>
      </c>
      <c r="C15" s="172" t="s">
        <v>5084</v>
      </c>
      <c r="D15" s="172" t="s">
        <v>5154</v>
      </c>
      <c r="E15" s="172" t="s">
        <v>5189</v>
      </c>
      <c r="F15" s="171"/>
      <c r="G15" s="171"/>
      <c r="H15" s="171"/>
      <c r="I15" s="171"/>
      <c r="J15" s="171"/>
      <c r="K15" s="171"/>
      <c r="L15" s="171"/>
      <c r="M15" s="171"/>
      <c r="N15" s="171"/>
      <c r="O15" s="171"/>
      <c r="P15" s="171"/>
      <c r="Q15" s="171"/>
      <c r="R15" s="171"/>
      <c r="S15" s="171"/>
      <c r="T15" s="172" t="s">
        <v>5190</v>
      </c>
      <c r="U15" s="172" t="s">
        <v>5191</v>
      </c>
      <c r="V15" s="171" t="s">
        <v>5192</v>
      </c>
      <c r="W15" s="171">
        <v>70.0</v>
      </c>
      <c r="X15" s="171" t="s">
        <v>5193</v>
      </c>
      <c r="Y15" s="171" t="s">
        <v>5194</v>
      </c>
      <c r="Z15" s="171"/>
      <c r="AA15" s="171">
        <v>5.0</v>
      </c>
      <c r="AB15" s="171">
        <v>1.0</v>
      </c>
      <c r="AC15" s="171">
        <v>10.0</v>
      </c>
    </row>
    <row r="16">
      <c r="A16" s="172" t="s">
        <v>5195</v>
      </c>
      <c r="B16" s="172" t="s">
        <v>4113</v>
      </c>
      <c r="C16" s="172" t="s">
        <v>5084</v>
      </c>
      <c r="D16" s="172" t="s">
        <v>5196</v>
      </c>
      <c r="E16" s="172" t="s">
        <v>5197</v>
      </c>
      <c r="F16" s="172" t="s">
        <v>5087</v>
      </c>
      <c r="G16" s="171"/>
      <c r="H16" s="172" t="s">
        <v>5198</v>
      </c>
      <c r="I16" s="172" t="s">
        <v>5199</v>
      </c>
      <c r="J16" s="172" t="s">
        <v>5200</v>
      </c>
      <c r="K16" s="171"/>
      <c r="L16" s="172" t="s">
        <v>5201</v>
      </c>
      <c r="M16" s="171"/>
      <c r="N16" s="172" t="s">
        <v>5202</v>
      </c>
      <c r="O16" s="172">
        <v>15.0</v>
      </c>
      <c r="P16" s="172" t="b">
        <v>1</v>
      </c>
      <c r="Q16" s="172">
        <v>5.0</v>
      </c>
      <c r="R16" s="171"/>
      <c r="S16" s="171"/>
      <c r="T16" s="172" t="s">
        <v>5203</v>
      </c>
      <c r="U16" s="172" t="s">
        <v>5175</v>
      </c>
      <c r="V16" s="171" t="s">
        <v>5204</v>
      </c>
      <c r="W16" s="171"/>
      <c r="X16" s="171"/>
      <c r="Y16" s="171"/>
      <c r="Z16" s="171"/>
      <c r="AA16" s="171"/>
      <c r="AB16" s="171">
        <v>100.0</v>
      </c>
      <c r="AC16" s="171"/>
    </row>
    <row r="17">
      <c r="A17" s="172" t="s">
        <v>5205</v>
      </c>
      <c r="B17" s="172" t="s">
        <v>4113</v>
      </c>
      <c r="C17" s="172" t="s">
        <v>5084</v>
      </c>
      <c r="D17" s="172" t="s">
        <v>5196</v>
      </c>
      <c r="E17" s="172" t="s">
        <v>5206</v>
      </c>
      <c r="F17" s="172" t="s">
        <v>5087</v>
      </c>
      <c r="G17" s="171"/>
      <c r="H17" s="172" t="s">
        <v>5198</v>
      </c>
      <c r="I17" s="172" t="s">
        <v>5199</v>
      </c>
      <c r="J17" s="172" t="s">
        <v>5200</v>
      </c>
      <c r="K17" s="171"/>
      <c r="L17" s="172" t="s">
        <v>5201</v>
      </c>
      <c r="M17" s="171"/>
      <c r="N17" s="172" t="s">
        <v>5207</v>
      </c>
      <c r="O17" s="172">
        <v>15.0</v>
      </c>
      <c r="P17" s="172" t="b">
        <v>1</v>
      </c>
      <c r="Q17" s="172">
        <v>5.0</v>
      </c>
      <c r="R17" s="171"/>
      <c r="S17" s="171"/>
      <c r="T17" s="172" t="s">
        <v>5208</v>
      </c>
      <c r="U17" s="172" t="s">
        <v>5161</v>
      </c>
      <c r="V17" s="171" t="s">
        <v>5158</v>
      </c>
      <c r="W17" s="171"/>
      <c r="X17" s="171"/>
      <c r="Y17" s="171"/>
      <c r="Z17" s="171"/>
      <c r="AA17" s="171"/>
      <c r="AB17" s="171">
        <v>3.0</v>
      </c>
      <c r="AC17" s="171"/>
    </row>
    <row r="18">
      <c r="A18" s="172" t="s">
        <v>5209</v>
      </c>
      <c r="B18" s="172" t="s">
        <v>4113</v>
      </c>
      <c r="C18" s="172" t="s">
        <v>2049</v>
      </c>
      <c r="D18" s="172" t="s">
        <v>5085</v>
      </c>
      <c r="E18" s="172" t="s">
        <v>5210</v>
      </c>
      <c r="F18" s="172" t="s">
        <v>5211</v>
      </c>
      <c r="G18" s="171"/>
      <c r="H18" s="172" t="s">
        <v>5100</v>
      </c>
      <c r="I18" s="172" t="s">
        <v>5212</v>
      </c>
      <c r="J18" s="172" t="s">
        <v>5200</v>
      </c>
      <c r="K18" s="172" t="s">
        <v>5213</v>
      </c>
      <c r="L18" s="172" t="s">
        <v>5214</v>
      </c>
      <c r="M18" s="172" t="s">
        <v>5215</v>
      </c>
      <c r="N18" s="172" t="s">
        <v>5216</v>
      </c>
      <c r="O18" s="172"/>
      <c r="P18" s="172" t="b">
        <v>0</v>
      </c>
      <c r="Q18" s="172"/>
      <c r="R18" s="171"/>
      <c r="S18" s="171"/>
      <c r="T18" s="172" t="s">
        <v>5217</v>
      </c>
      <c r="U18" s="172" t="s">
        <v>5218</v>
      </c>
      <c r="V18" s="171"/>
      <c r="W18" s="171"/>
      <c r="X18" s="171"/>
      <c r="Y18" s="171"/>
      <c r="Z18" s="171"/>
      <c r="AA18" s="171"/>
      <c r="AB18" s="171"/>
      <c r="AC18" s="171"/>
    </row>
    <row r="19">
      <c r="A19" s="172" t="s">
        <v>5219</v>
      </c>
      <c r="B19" s="172" t="s">
        <v>4113</v>
      </c>
      <c r="C19" s="172" t="s">
        <v>2049</v>
      </c>
      <c r="D19" s="172" t="s">
        <v>5085</v>
      </c>
      <c r="E19" s="172" t="s">
        <v>5220</v>
      </c>
      <c r="F19" s="172" t="s">
        <v>5211</v>
      </c>
      <c r="G19" s="171"/>
      <c r="H19" s="172" t="s">
        <v>5100</v>
      </c>
      <c r="I19" s="172" t="s">
        <v>5212</v>
      </c>
      <c r="J19" s="172" t="s">
        <v>5200</v>
      </c>
      <c r="K19" s="171"/>
      <c r="L19" s="172" t="s">
        <v>5214</v>
      </c>
      <c r="M19" s="172" t="s">
        <v>5221</v>
      </c>
      <c r="N19" s="172" t="s">
        <v>5222</v>
      </c>
      <c r="O19" s="172"/>
      <c r="P19" s="172" t="b">
        <v>0</v>
      </c>
      <c r="Q19" s="172"/>
      <c r="R19" s="171"/>
      <c r="S19" s="171"/>
      <c r="T19" s="172" t="s">
        <v>5217</v>
      </c>
      <c r="U19" s="172" t="s">
        <v>5223</v>
      </c>
      <c r="V19" s="171"/>
      <c r="W19" s="171"/>
      <c r="X19" s="171"/>
      <c r="Y19" s="171"/>
      <c r="Z19" s="171"/>
      <c r="AA19" s="172">
        <v>3.0</v>
      </c>
      <c r="AB19" s="171"/>
      <c r="AC19" s="171"/>
    </row>
    <row r="20">
      <c r="A20" s="172" t="s">
        <v>5224</v>
      </c>
      <c r="B20" s="172" t="s">
        <v>4113</v>
      </c>
      <c r="C20" s="172" t="s">
        <v>2049</v>
      </c>
      <c r="D20" s="172" t="s">
        <v>5085</v>
      </c>
      <c r="E20" s="172" t="s">
        <v>5225</v>
      </c>
      <c r="F20" s="172" t="s">
        <v>5211</v>
      </c>
      <c r="G20" s="171"/>
      <c r="H20" s="172" t="s">
        <v>5100</v>
      </c>
      <c r="I20" s="172" t="s">
        <v>5212</v>
      </c>
      <c r="J20" s="172" t="s">
        <v>5200</v>
      </c>
      <c r="K20" s="171"/>
      <c r="L20" s="172" t="s">
        <v>5214</v>
      </c>
      <c r="M20" s="172" t="s">
        <v>5226</v>
      </c>
      <c r="N20" s="172" t="s">
        <v>5227</v>
      </c>
      <c r="O20" s="172"/>
      <c r="P20" s="172" t="b">
        <v>0</v>
      </c>
      <c r="Q20" s="172"/>
      <c r="R20" s="171"/>
      <c r="S20" s="171"/>
      <c r="T20" s="172" t="s">
        <v>5217</v>
      </c>
      <c r="U20" s="172" t="s">
        <v>5228</v>
      </c>
      <c r="V20" s="171"/>
      <c r="W20" s="171"/>
      <c r="X20" s="171"/>
      <c r="Y20" s="171"/>
      <c r="Z20" s="171"/>
      <c r="AA20" s="172">
        <v>8.0</v>
      </c>
      <c r="AB20" s="171"/>
      <c r="AC20" s="171"/>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3" t="s">
        <v>3301</v>
      </c>
      <c r="B1" s="173" t="s">
        <v>3628</v>
      </c>
      <c r="C1" s="173" t="s">
        <v>5229</v>
      </c>
      <c r="D1" s="173" t="s">
        <v>5230</v>
      </c>
      <c r="E1" s="173" t="s">
        <v>2620</v>
      </c>
      <c r="F1" s="173" t="s">
        <v>5231</v>
      </c>
    </row>
    <row r="2">
      <c r="A2" s="115" t="s">
        <v>5232</v>
      </c>
      <c r="B2" s="115" t="s">
        <v>3262</v>
      </c>
      <c r="C2" s="115" t="s">
        <v>57</v>
      </c>
      <c r="D2" s="115" t="s">
        <v>58</v>
      </c>
      <c r="E2" s="115" t="s">
        <v>5233</v>
      </c>
      <c r="F2" s="115" t="s">
        <v>4868</v>
      </c>
    </row>
    <row r="3">
      <c r="A3" s="115" t="s">
        <v>5234</v>
      </c>
      <c r="B3" s="115" t="s">
        <v>3264</v>
      </c>
      <c r="C3" s="115" t="s">
        <v>56</v>
      </c>
      <c r="D3" s="115" t="s">
        <v>54</v>
      </c>
      <c r="E3" s="115" t="s">
        <v>5235</v>
      </c>
      <c r="F3" s="115" t="s">
        <v>4868</v>
      </c>
    </row>
    <row r="4">
      <c r="A4" s="115" t="s">
        <v>5236</v>
      </c>
      <c r="B4" s="115" t="s">
        <v>3266</v>
      </c>
      <c r="C4" s="115" t="s">
        <v>67</v>
      </c>
      <c r="D4" s="115" t="s">
        <v>57</v>
      </c>
      <c r="E4" s="115" t="s">
        <v>5237</v>
      </c>
      <c r="F4" s="115" t="s">
        <v>4868</v>
      </c>
    </row>
    <row r="5">
      <c r="A5" s="115" t="s">
        <v>5238</v>
      </c>
      <c r="B5" s="115" t="s">
        <v>3268</v>
      </c>
      <c r="C5" s="115" t="s">
        <v>61</v>
      </c>
      <c r="D5" s="115" t="s">
        <v>60</v>
      </c>
      <c r="E5" s="115" t="s">
        <v>5239</v>
      </c>
      <c r="F5" s="115" t="s">
        <v>4868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4" t="s">
        <v>2561</v>
      </c>
      <c r="B1" s="174" t="s">
        <v>3288</v>
      </c>
      <c r="C1" s="174" t="s">
        <v>3629</v>
      </c>
      <c r="D1" s="174" t="s">
        <v>5240</v>
      </c>
      <c r="E1" s="174" t="s">
        <v>5241</v>
      </c>
      <c r="F1" s="174" t="s">
        <v>5242</v>
      </c>
      <c r="G1" s="174" t="s">
        <v>5243</v>
      </c>
      <c r="H1" s="174" t="s">
        <v>5244</v>
      </c>
      <c r="I1" s="174" t="s">
        <v>5245</v>
      </c>
      <c r="J1" s="174" t="s">
        <v>5246</v>
      </c>
      <c r="K1" s="174" t="s">
        <v>5247</v>
      </c>
      <c r="L1" s="175" t="s">
        <v>3197</v>
      </c>
      <c r="M1" s="175" t="s">
        <v>3198</v>
      </c>
      <c r="N1" s="112" t="s">
        <v>3309</v>
      </c>
      <c r="O1" s="112" t="s">
        <v>3310</v>
      </c>
      <c r="P1" s="112" t="s">
        <v>5248</v>
      </c>
      <c r="Q1" s="112" t="s">
        <v>5249</v>
      </c>
    </row>
    <row r="2">
      <c r="A2" s="39" t="s">
        <v>5250</v>
      </c>
      <c r="B2" s="39" t="s">
        <v>5251</v>
      </c>
      <c r="C2" s="39" t="s">
        <v>4342</v>
      </c>
      <c r="D2" s="39" t="s">
        <v>29</v>
      </c>
      <c r="E2" s="39" t="s">
        <v>29</v>
      </c>
      <c r="F2" s="39" t="s">
        <v>29</v>
      </c>
      <c r="G2" s="39" t="s">
        <v>29</v>
      </c>
      <c r="H2" s="39" t="s">
        <v>29</v>
      </c>
      <c r="I2" s="39"/>
      <c r="J2" s="39"/>
      <c r="K2" s="39">
        <v>1.0</v>
      </c>
      <c r="L2" s="39" t="s">
        <v>3249</v>
      </c>
      <c r="M2" s="39">
        <v>0.0</v>
      </c>
      <c r="N2" s="39">
        <v>-5.0</v>
      </c>
      <c r="O2" s="39">
        <v>30.0</v>
      </c>
      <c r="P2" s="39">
        <v>50.0</v>
      </c>
      <c r="Q2" s="39"/>
    </row>
    <row r="3">
      <c r="A3" s="39" t="s">
        <v>5252</v>
      </c>
      <c r="B3" s="39" t="s">
        <v>5253</v>
      </c>
      <c r="C3" s="39" t="s">
        <v>4342</v>
      </c>
      <c r="D3" s="39" t="s">
        <v>29</v>
      </c>
      <c r="E3" s="39" t="s">
        <v>29</v>
      </c>
      <c r="F3" s="39" t="s">
        <v>29</v>
      </c>
      <c r="G3" s="39" t="s">
        <v>29</v>
      </c>
      <c r="H3" s="39" t="s">
        <v>29</v>
      </c>
      <c r="I3" s="39"/>
      <c r="J3" s="39"/>
      <c r="K3" s="39">
        <v>1.0</v>
      </c>
      <c r="L3" s="39" t="s">
        <v>3249</v>
      </c>
      <c r="M3" s="39">
        <v>0.0</v>
      </c>
      <c r="N3" s="39">
        <v>-5.0</v>
      </c>
      <c r="O3" s="39">
        <v>30.0</v>
      </c>
      <c r="P3" s="39">
        <v>30.0</v>
      </c>
      <c r="Q3" s="39"/>
    </row>
    <row r="4">
      <c r="A4" s="39" t="s">
        <v>5254</v>
      </c>
      <c r="B4" s="39" t="s">
        <v>56</v>
      </c>
      <c r="C4" s="39" t="s">
        <v>4342</v>
      </c>
      <c r="D4" s="39" t="s">
        <v>29</v>
      </c>
      <c r="E4" s="39" t="s">
        <v>29</v>
      </c>
      <c r="F4" s="39" t="s">
        <v>29</v>
      </c>
      <c r="G4" s="39" t="s">
        <v>29</v>
      </c>
      <c r="H4" s="39" t="s">
        <v>29</v>
      </c>
      <c r="I4" s="39"/>
      <c r="J4" s="39"/>
      <c r="K4" s="39">
        <v>1.0</v>
      </c>
      <c r="L4" s="39" t="s">
        <v>3249</v>
      </c>
      <c r="M4" s="39">
        <v>0.0</v>
      </c>
      <c r="N4" s="39">
        <v>18.0</v>
      </c>
      <c r="O4" s="39">
        <v>40.0</v>
      </c>
      <c r="P4" s="39">
        <v>55.0</v>
      </c>
      <c r="Q4" s="39"/>
    </row>
    <row r="5">
      <c r="A5" s="39" t="s">
        <v>5255</v>
      </c>
      <c r="B5" s="39" t="s">
        <v>5253</v>
      </c>
      <c r="C5" s="39" t="s">
        <v>4342</v>
      </c>
      <c r="D5" s="39"/>
      <c r="E5" s="39"/>
      <c r="F5" s="39"/>
      <c r="G5" s="39"/>
      <c r="H5" s="39"/>
      <c r="I5" s="39"/>
      <c r="J5" s="39"/>
      <c r="K5" s="39">
        <v>1.0</v>
      </c>
      <c r="L5" s="39" t="s">
        <v>3249</v>
      </c>
      <c r="M5" s="39">
        <v>0.0</v>
      </c>
      <c r="N5" s="39">
        <v>0.0</v>
      </c>
      <c r="O5" s="39">
        <v>28.0</v>
      </c>
      <c r="P5" s="39">
        <v>30.0</v>
      </c>
      <c r="Q5" s="39"/>
    </row>
    <row r="6">
      <c r="A6" s="39" t="s">
        <v>5256</v>
      </c>
      <c r="B6" s="39" t="s">
        <v>5257</v>
      </c>
      <c r="C6" s="39" t="s">
        <v>4342</v>
      </c>
      <c r="D6" s="39"/>
      <c r="E6" s="39"/>
      <c r="F6" s="39"/>
      <c r="G6" s="39"/>
      <c r="H6" s="39"/>
      <c r="I6" s="39"/>
      <c r="J6" s="39"/>
      <c r="K6" s="39">
        <v>1.0</v>
      </c>
      <c r="L6" s="39" t="s">
        <v>3249</v>
      </c>
      <c r="M6" s="39">
        <v>0.0</v>
      </c>
      <c r="N6" s="39">
        <v>10.0</v>
      </c>
      <c r="O6" s="39">
        <v>35.0</v>
      </c>
      <c r="P6" s="39">
        <v>35.0</v>
      </c>
      <c r="Q6" s="39"/>
    </row>
    <row r="7">
      <c r="A7" s="39" t="s">
        <v>5258</v>
      </c>
      <c r="B7" s="39" t="s">
        <v>5257</v>
      </c>
      <c r="C7" s="39" t="s">
        <v>4342</v>
      </c>
      <c r="D7" s="39" t="s">
        <v>29</v>
      </c>
      <c r="E7" s="39" t="s">
        <v>29</v>
      </c>
      <c r="F7" s="39" t="s">
        <v>29</v>
      </c>
      <c r="G7" s="39" t="s">
        <v>29</v>
      </c>
      <c r="H7" s="39" t="s">
        <v>29</v>
      </c>
      <c r="I7" s="39"/>
      <c r="J7" s="39"/>
      <c r="K7" s="39">
        <v>1.0</v>
      </c>
      <c r="L7" s="39" t="s">
        <v>3249</v>
      </c>
      <c r="M7" s="39">
        <v>0.0</v>
      </c>
      <c r="N7" s="39">
        <v>5.0</v>
      </c>
      <c r="O7" s="39">
        <v>35.0</v>
      </c>
      <c r="P7" s="39">
        <v>25.0</v>
      </c>
      <c r="Q7" s="39"/>
    </row>
    <row r="8">
      <c r="A8" s="39" t="s">
        <v>5259</v>
      </c>
      <c r="B8" s="39" t="s">
        <v>5260</v>
      </c>
      <c r="C8" s="39" t="s">
        <v>4342</v>
      </c>
      <c r="D8" s="39" t="s">
        <v>29</v>
      </c>
      <c r="E8" s="39" t="s">
        <v>29</v>
      </c>
      <c r="F8" s="39" t="s">
        <v>29</v>
      </c>
      <c r="G8" s="39" t="s">
        <v>29</v>
      </c>
      <c r="H8" s="39" t="s">
        <v>29</v>
      </c>
      <c r="I8" s="39"/>
      <c r="J8" s="39"/>
      <c r="K8" s="39">
        <v>1.0</v>
      </c>
      <c r="L8" s="39" t="s">
        <v>3249</v>
      </c>
      <c r="M8" s="39">
        <v>0.0</v>
      </c>
      <c r="N8" s="39">
        <v>-20.0</v>
      </c>
      <c r="O8" s="39">
        <v>35.0</v>
      </c>
      <c r="P8" s="39"/>
      <c r="Q8" s="39"/>
    </row>
    <row r="9">
      <c r="A9" s="39" t="s">
        <v>5261</v>
      </c>
      <c r="B9" s="39" t="s">
        <v>61</v>
      </c>
      <c r="C9" s="39" t="s">
        <v>4342</v>
      </c>
      <c r="D9" s="39"/>
      <c r="E9" s="39"/>
      <c r="F9" s="39"/>
      <c r="G9" s="39"/>
      <c r="H9" s="39"/>
      <c r="I9" s="39"/>
      <c r="J9" s="39"/>
      <c r="K9" s="39">
        <v>1.0</v>
      </c>
      <c r="L9" s="39" t="s">
        <v>3249</v>
      </c>
      <c r="M9" s="39">
        <v>0.0</v>
      </c>
      <c r="N9" s="39">
        <v>-5.0</v>
      </c>
      <c r="O9" s="39">
        <v>30.0</v>
      </c>
      <c r="P9" s="39"/>
      <c r="Q9" s="39"/>
    </row>
    <row r="10">
      <c r="A10" s="39" t="s">
        <v>5262</v>
      </c>
      <c r="B10" s="39" t="s">
        <v>61</v>
      </c>
      <c r="C10" s="39" t="s">
        <v>4342</v>
      </c>
      <c r="D10" s="39"/>
      <c r="E10" s="39"/>
      <c r="F10" s="39"/>
      <c r="G10" s="39"/>
      <c r="H10" s="39"/>
      <c r="I10" s="39"/>
      <c r="J10" s="39"/>
      <c r="K10" s="39">
        <v>1.0</v>
      </c>
      <c r="L10" s="39" t="s">
        <v>3249</v>
      </c>
      <c r="M10" s="39">
        <v>0.0</v>
      </c>
      <c r="N10" s="39">
        <v>0.0</v>
      </c>
      <c r="O10" s="39">
        <v>35.0</v>
      </c>
      <c r="P10" s="39"/>
      <c r="Q10" s="39"/>
    </row>
    <row r="11">
      <c r="A11" s="39" t="s">
        <v>5263</v>
      </c>
      <c r="B11" s="39" t="s">
        <v>5260</v>
      </c>
      <c r="C11" s="39" t="s">
        <v>4342</v>
      </c>
      <c r="D11" s="39"/>
      <c r="E11" s="39"/>
      <c r="F11" s="39"/>
      <c r="G11" s="39"/>
      <c r="H11" s="39"/>
      <c r="I11" s="39"/>
      <c r="J11" s="39"/>
      <c r="K11" s="39">
        <v>1.0</v>
      </c>
      <c r="L11" s="39" t="s">
        <v>3249</v>
      </c>
      <c r="M11" s="39">
        <v>0.0</v>
      </c>
      <c r="N11" s="39">
        <v>-10.0</v>
      </c>
      <c r="O11" s="39">
        <v>35.0</v>
      </c>
      <c r="P11" s="39"/>
      <c r="Q11" s="39"/>
    </row>
    <row r="12">
      <c r="A12" s="39" t="s">
        <v>5264</v>
      </c>
      <c r="B12" s="39" t="s">
        <v>5260</v>
      </c>
      <c r="C12" s="39" t="s">
        <v>4342</v>
      </c>
      <c r="D12" s="39"/>
      <c r="E12" s="39"/>
      <c r="F12" s="39"/>
      <c r="G12" s="39"/>
      <c r="H12" s="39"/>
      <c r="I12" s="39"/>
      <c r="J12" s="39"/>
      <c r="K12" s="39">
        <v>1.0</v>
      </c>
      <c r="L12" s="39" t="s">
        <v>3249</v>
      </c>
      <c r="M12" s="39">
        <v>0.0</v>
      </c>
      <c r="N12" s="39">
        <v>0.0</v>
      </c>
      <c r="O12" s="39">
        <v>35.0</v>
      </c>
      <c r="P12" s="39"/>
      <c r="Q12" s="39"/>
    </row>
    <row r="13">
      <c r="A13" s="39" t="s">
        <v>3175</v>
      </c>
      <c r="B13" s="39" t="s">
        <v>5265</v>
      </c>
      <c r="C13" s="39" t="s">
        <v>5033</v>
      </c>
      <c r="D13" s="39" t="s">
        <v>29</v>
      </c>
      <c r="E13" s="39" t="s">
        <v>29</v>
      </c>
      <c r="F13" s="39" t="s">
        <v>29</v>
      </c>
      <c r="G13" s="39" t="s">
        <v>29</v>
      </c>
      <c r="H13" s="39" t="s">
        <v>29</v>
      </c>
      <c r="I13" s="39"/>
      <c r="J13" s="39"/>
      <c r="K13" s="39">
        <v>1.0</v>
      </c>
      <c r="L13" s="39" t="s">
        <v>3251</v>
      </c>
      <c r="M13" s="39">
        <v>1.0</v>
      </c>
      <c r="N13" s="39"/>
      <c r="O13" s="39"/>
      <c r="P13" s="39"/>
      <c r="Q13" s="39"/>
    </row>
    <row r="14">
      <c r="A14" s="39" t="s">
        <v>3176</v>
      </c>
      <c r="B14" s="39" t="s">
        <v>5266</v>
      </c>
      <c r="C14" s="39" t="s">
        <v>4360</v>
      </c>
      <c r="D14" s="39">
        <v>5.0</v>
      </c>
      <c r="E14" s="39">
        <v>1.0</v>
      </c>
      <c r="F14" s="39" t="s">
        <v>4690</v>
      </c>
      <c r="G14" s="39">
        <v>0.2</v>
      </c>
      <c r="H14" s="39" t="s">
        <v>5267</v>
      </c>
      <c r="I14" s="39"/>
      <c r="J14" s="39"/>
      <c r="K14" s="39">
        <v>1.0</v>
      </c>
      <c r="L14" s="39" t="s">
        <v>3251</v>
      </c>
      <c r="M14" s="39">
        <v>2.0</v>
      </c>
      <c r="N14" s="39"/>
      <c r="O14" s="39"/>
      <c r="P14" s="39"/>
      <c r="Q14" s="39"/>
    </row>
    <row r="15">
      <c r="A15" s="41" t="s">
        <v>3181</v>
      </c>
      <c r="B15" s="39" t="s">
        <v>5268</v>
      </c>
      <c r="C15" s="39" t="s">
        <v>4360</v>
      </c>
      <c r="D15" s="39">
        <v>5.0</v>
      </c>
      <c r="E15" s="39">
        <v>1.0</v>
      </c>
      <c r="F15" s="39" t="s">
        <v>4690</v>
      </c>
      <c r="G15" s="39">
        <v>0.2</v>
      </c>
      <c r="H15" s="39" t="s">
        <v>5267</v>
      </c>
      <c r="I15" s="39"/>
      <c r="J15" s="39"/>
      <c r="K15" s="39">
        <v>1.0</v>
      </c>
      <c r="L15" s="39" t="s">
        <v>3251</v>
      </c>
      <c r="M15" s="39">
        <v>2.0</v>
      </c>
      <c r="N15" s="39"/>
      <c r="O15" s="39"/>
      <c r="P15" s="39"/>
      <c r="Q15" s="39"/>
    </row>
    <row r="16">
      <c r="A16" s="39" t="s">
        <v>3172</v>
      </c>
      <c r="B16" s="39" t="s">
        <v>56</v>
      </c>
      <c r="C16" s="39" t="s">
        <v>4360</v>
      </c>
      <c r="D16" s="39">
        <v>5.0</v>
      </c>
      <c r="E16" s="39">
        <v>1.0</v>
      </c>
      <c r="F16" s="39" t="s">
        <v>4831</v>
      </c>
      <c r="G16" s="39">
        <v>0.2</v>
      </c>
      <c r="H16" s="39" t="s">
        <v>5267</v>
      </c>
      <c r="I16" s="39"/>
      <c r="J16" s="39"/>
      <c r="K16" s="39">
        <v>1.0</v>
      </c>
      <c r="L16" s="39" t="s">
        <v>3249</v>
      </c>
      <c r="M16" s="39">
        <v>2.0</v>
      </c>
      <c r="N16" s="39"/>
      <c r="O16" s="39"/>
      <c r="P16" s="39"/>
      <c r="Q16" s="39"/>
    </row>
    <row r="17">
      <c r="A17" s="39" t="s">
        <v>3173</v>
      </c>
      <c r="B17" s="39" t="s">
        <v>56</v>
      </c>
      <c r="C17" s="39" t="s">
        <v>4360</v>
      </c>
      <c r="D17" s="39">
        <v>5.0</v>
      </c>
      <c r="E17" s="39">
        <v>1.0</v>
      </c>
      <c r="F17" s="39" t="s">
        <v>4831</v>
      </c>
      <c r="G17" s="39">
        <v>0.2</v>
      </c>
      <c r="H17" s="39" t="s">
        <v>5267</v>
      </c>
      <c r="I17" s="39"/>
      <c r="J17" s="39"/>
      <c r="K17" s="39">
        <v>1.0</v>
      </c>
      <c r="L17" s="39" t="s">
        <v>3249</v>
      </c>
      <c r="M17" s="39">
        <v>3.0</v>
      </c>
      <c r="N17" s="39"/>
      <c r="O17" s="39"/>
      <c r="P17" s="39"/>
      <c r="Q17" s="39"/>
    </row>
    <row r="18">
      <c r="A18" s="39" t="s">
        <v>3177</v>
      </c>
      <c r="B18" s="39" t="s">
        <v>5266</v>
      </c>
      <c r="C18" s="39" t="s">
        <v>4360</v>
      </c>
      <c r="D18" s="39">
        <v>5.0</v>
      </c>
      <c r="E18" s="39">
        <v>1.0</v>
      </c>
      <c r="F18" s="39" t="s">
        <v>4690</v>
      </c>
      <c r="G18" s="39">
        <v>0.2</v>
      </c>
      <c r="H18" s="39" t="s">
        <v>5267</v>
      </c>
      <c r="I18" s="39"/>
      <c r="J18" s="39"/>
      <c r="K18" s="39">
        <v>1.0</v>
      </c>
      <c r="L18" s="39" t="s">
        <v>3251</v>
      </c>
      <c r="M18" s="39">
        <v>3.0</v>
      </c>
      <c r="N18" s="39"/>
      <c r="O18" s="39"/>
      <c r="P18" s="39"/>
      <c r="Q18" s="39"/>
    </row>
    <row r="19">
      <c r="A19" s="39" t="s">
        <v>3178</v>
      </c>
      <c r="B19" s="39" t="s">
        <v>5266</v>
      </c>
      <c r="C19" s="39" t="s">
        <v>4360</v>
      </c>
      <c r="D19" s="39">
        <v>5.0</v>
      </c>
      <c r="E19" s="39">
        <v>1.0</v>
      </c>
      <c r="F19" s="39" t="s">
        <v>4690</v>
      </c>
      <c r="G19" s="39">
        <v>0.2</v>
      </c>
      <c r="H19" s="39" t="s">
        <v>5267</v>
      </c>
      <c r="I19" s="39"/>
      <c r="J19" s="39"/>
      <c r="K19" s="39">
        <v>1.0</v>
      </c>
      <c r="L19" s="39" t="s">
        <v>3251</v>
      </c>
      <c r="M19" s="39">
        <v>3.0</v>
      </c>
      <c r="N19" s="39"/>
      <c r="O19" s="39"/>
      <c r="P19" s="39"/>
      <c r="Q19" s="39"/>
    </row>
    <row r="20">
      <c r="A20" s="39" t="s">
        <v>3180</v>
      </c>
      <c r="B20" s="39" t="s">
        <v>5269</v>
      </c>
      <c r="C20" s="39" t="s">
        <v>4360</v>
      </c>
      <c r="D20" s="39">
        <v>5.0</v>
      </c>
      <c r="E20" s="39">
        <v>1.0</v>
      </c>
      <c r="F20" s="39" t="s">
        <v>4690</v>
      </c>
      <c r="G20" s="39">
        <v>0.2</v>
      </c>
      <c r="H20" s="39" t="s">
        <v>5267</v>
      </c>
      <c r="I20" s="39"/>
      <c r="J20" s="39"/>
      <c r="K20" s="39">
        <v>1.0</v>
      </c>
      <c r="L20" s="39" t="s">
        <v>3251</v>
      </c>
      <c r="M20" s="39">
        <v>1.0</v>
      </c>
      <c r="N20" s="39"/>
      <c r="O20" s="39"/>
      <c r="P20" s="39"/>
      <c r="Q20" s="39"/>
    </row>
    <row r="21">
      <c r="A21" s="39" t="s">
        <v>48</v>
      </c>
      <c r="B21" s="39" t="s">
        <v>5270</v>
      </c>
      <c r="C21" s="39" t="s">
        <v>48</v>
      </c>
      <c r="D21" s="39" t="s">
        <v>29</v>
      </c>
      <c r="E21" s="39" t="s">
        <v>29</v>
      </c>
      <c r="F21" s="39" t="s">
        <v>29</v>
      </c>
      <c r="G21" s="39" t="s">
        <v>29</v>
      </c>
      <c r="H21" s="39" t="s">
        <v>5271</v>
      </c>
      <c r="I21" s="39" t="s">
        <v>29</v>
      </c>
      <c r="J21" s="39" t="s">
        <v>29</v>
      </c>
      <c r="K21" s="39">
        <v>1.0</v>
      </c>
      <c r="L21" s="39" t="s">
        <v>3249</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6" t="s">
        <v>2561</v>
      </c>
      <c r="B1" s="176" t="s">
        <v>6</v>
      </c>
      <c r="C1" s="176" t="s">
        <v>5272</v>
      </c>
      <c r="D1" s="176" t="s">
        <v>5273</v>
      </c>
      <c r="E1" s="176" t="s">
        <v>5274</v>
      </c>
      <c r="F1" s="176" t="s">
        <v>5275</v>
      </c>
      <c r="G1" s="176" t="s">
        <v>5276</v>
      </c>
      <c r="H1" s="176" t="s">
        <v>5277</v>
      </c>
      <c r="I1" s="176" t="s">
        <v>5278</v>
      </c>
      <c r="J1" s="176" t="s">
        <v>5279</v>
      </c>
      <c r="K1" s="176" t="s">
        <v>8</v>
      </c>
      <c r="L1" s="176" t="s">
        <v>4921</v>
      </c>
      <c r="M1" s="176" t="s">
        <v>2620</v>
      </c>
    </row>
    <row r="2">
      <c r="A2" s="132" t="s">
        <v>48</v>
      </c>
      <c r="B2" s="132">
        <v>20.0</v>
      </c>
      <c r="C2" s="132">
        <v>0.0</v>
      </c>
      <c r="D2" s="132">
        <v>5.0</v>
      </c>
      <c r="E2" s="132">
        <v>6.0</v>
      </c>
      <c r="F2" s="132">
        <v>3.0</v>
      </c>
      <c r="G2" s="132" t="s">
        <v>29</v>
      </c>
      <c r="H2" s="132" t="s">
        <v>29</v>
      </c>
      <c r="I2" s="132">
        <v>1.0</v>
      </c>
      <c r="J2" s="132">
        <v>1.0</v>
      </c>
      <c r="K2" s="132" t="s">
        <v>849</v>
      </c>
      <c r="L2" s="132">
        <v>0.0</v>
      </c>
      <c r="M2" s="132" t="s">
        <v>5280</v>
      </c>
    </row>
    <row r="3">
      <c r="A3" s="132" t="s">
        <v>50</v>
      </c>
      <c r="B3" s="132">
        <v>20.0</v>
      </c>
      <c r="C3" s="132">
        <v>20.0</v>
      </c>
      <c r="D3" s="132">
        <v>5.0</v>
      </c>
      <c r="E3" s="132">
        <v>6.0</v>
      </c>
      <c r="F3" s="132">
        <v>3.0</v>
      </c>
      <c r="G3" s="132" t="s">
        <v>5281</v>
      </c>
      <c r="H3" s="132" t="s">
        <v>4601</v>
      </c>
      <c r="I3" s="132">
        <v>1.0</v>
      </c>
      <c r="J3" s="132">
        <v>1.0</v>
      </c>
      <c r="K3" s="132" t="s">
        <v>849</v>
      </c>
      <c r="L3" s="132">
        <v>0.0</v>
      </c>
      <c r="M3" s="132" t="s">
        <v>5282</v>
      </c>
    </row>
    <row r="4">
      <c r="A4" s="132" t="s">
        <v>52</v>
      </c>
      <c r="B4" s="132">
        <v>20.0</v>
      </c>
      <c r="C4" s="132">
        <v>80.0</v>
      </c>
      <c r="D4" s="132">
        <v>0.0</v>
      </c>
      <c r="E4" s="132">
        <v>0.0</v>
      </c>
      <c r="F4" s="132">
        <v>3.0</v>
      </c>
      <c r="G4" s="132" t="s">
        <v>5283</v>
      </c>
      <c r="H4" s="132" t="s">
        <v>4604</v>
      </c>
      <c r="I4" s="132">
        <v>1.0</v>
      </c>
      <c r="J4" s="132">
        <v>1.0</v>
      </c>
      <c r="K4" s="132" t="s">
        <v>849</v>
      </c>
      <c r="L4" s="132">
        <v>0.0</v>
      </c>
      <c r="M4" s="132" t="s">
        <v>5284</v>
      </c>
    </row>
    <row r="5">
      <c r="A5" s="132" t="s">
        <v>484</v>
      </c>
      <c r="B5" s="132">
        <v>20.0</v>
      </c>
      <c r="C5" s="132">
        <v>0.0</v>
      </c>
      <c r="D5" s="132">
        <v>0.0</v>
      </c>
      <c r="E5" s="132">
        <v>0.0</v>
      </c>
      <c r="F5" s="132">
        <v>3.0</v>
      </c>
      <c r="G5" s="132" t="s">
        <v>5281</v>
      </c>
      <c r="H5" s="132" t="s">
        <v>4565</v>
      </c>
      <c r="I5" s="132">
        <v>1.0</v>
      </c>
      <c r="J5" s="132">
        <v>1.0</v>
      </c>
      <c r="K5" s="132" t="s">
        <v>1845</v>
      </c>
      <c r="L5" s="132">
        <v>0.0</v>
      </c>
      <c r="M5" s="132" t="s">
        <v>5285</v>
      </c>
    </row>
    <row r="6">
      <c r="A6" s="132" t="s">
        <v>5286</v>
      </c>
      <c r="B6" s="132">
        <v>20.0</v>
      </c>
      <c r="C6" s="132">
        <v>0.0</v>
      </c>
      <c r="D6" s="132">
        <v>0.0</v>
      </c>
      <c r="E6" s="132">
        <v>3.0</v>
      </c>
      <c r="F6" s="132">
        <v>3.0</v>
      </c>
      <c r="G6" s="132" t="s">
        <v>5287</v>
      </c>
      <c r="H6" s="132" t="s">
        <v>4557</v>
      </c>
      <c r="I6" s="132">
        <v>1.0</v>
      </c>
      <c r="J6" s="132">
        <v>1.0</v>
      </c>
      <c r="K6" s="132" t="s">
        <v>4267</v>
      </c>
      <c r="L6" s="132">
        <v>10.0</v>
      </c>
      <c r="M6" s="132" t="s">
        <v>5288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7" t="s">
        <v>13</v>
      </c>
      <c r="H1" s="155" t="s">
        <v>2620</v>
      </c>
      <c r="I1" s="156" t="s">
        <v>5289</v>
      </c>
      <c r="J1" s="156" t="s">
        <v>4394</v>
      </c>
      <c r="K1" s="156" t="s">
        <v>5290</v>
      </c>
      <c r="L1" s="157" t="s">
        <v>849</v>
      </c>
      <c r="M1" s="157" t="s">
        <v>4911</v>
      </c>
      <c r="N1" s="157" t="s">
        <v>1492</v>
      </c>
      <c r="O1" s="157" t="s">
        <v>4912</v>
      </c>
      <c r="P1" s="157" t="s">
        <v>4726</v>
      </c>
      <c r="Q1" s="157" t="s">
        <v>4913</v>
      </c>
      <c r="R1" s="157" t="s">
        <v>1452</v>
      </c>
      <c r="S1" s="157" t="s">
        <v>5026</v>
      </c>
      <c r="T1" s="157" t="s">
        <v>1782</v>
      </c>
      <c r="U1" s="157" t="s">
        <v>284</v>
      </c>
      <c r="V1" s="157" t="s">
        <v>370</v>
      </c>
      <c r="W1" s="157" t="s">
        <v>518</v>
      </c>
      <c r="X1" s="157" t="s">
        <v>644</v>
      </c>
      <c r="Y1" s="157" t="s">
        <v>783</v>
      </c>
      <c r="Z1" s="157" t="s">
        <v>716</v>
      </c>
      <c r="AA1" s="157" t="s">
        <v>5291</v>
      </c>
      <c r="AB1" s="157" t="s">
        <v>4914</v>
      </c>
      <c r="AC1" s="157" t="s">
        <v>1490</v>
      </c>
      <c r="AD1" s="157" t="s">
        <v>4915</v>
      </c>
      <c r="AE1" s="157" t="s">
        <v>4916</v>
      </c>
      <c r="AF1" s="157" t="s">
        <v>4917</v>
      </c>
      <c r="AG1" s="157" t="s">
        <v>4918</v>
      </c>
      <c r="AH1" s="157" t="s">
        <v>4919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5292</v>
      </c>
      <c r="BU1" s="48" t="s">
        <v>4920</v>
      </c>
      <c r="BV1" s="48" t="s">
        <v>2587</v>
      </c>
      <c r="BW1" s="48" t="s">
        <v>2588</v>
      </c>
      <c r="BX1" s="48" t="s">
        <v>2589</v>
      </c>
      <c r="BY1" s="48" t="s">
        <v>2590</v>
      </c>
      <c r="BZ1" s="48" t="s">
        <v>2591</v>
      </c>
      <c r="CA1" s="48" t="s">
        <v>2592</v>
      </c>
      <c r="CB1" s="178" t="s">
        <v>1842</v>
      </c>
      <c r="CC1" s="158" t="s">
        <v>4921</v>
      </c>
      <c r="CD1" s="158" t="s">
        <v>4922</v>
      </c>
      <c r="CE1" s="158" t="s">
        <v>3069</v>
      </c>
      <c r="CF1" s="158" t="s">
        <v>4923</v>
      </c>
      <c r="CG1" s="158" t="s">
        <v>8</v>
      </c>
      <c r="CH1" s="158" t="s">
        <v>4290</v>
      </c>
      <c r="CI1" s="158" t="s">
        <v>4924</v>
      </c>
      <c r="CJ1" s="158" t="s">
        <v>4925</v>
      </c>
      <c r="CK1" s="158" t="s">
        <v>4926</v>
      </c>
      <c r="CL1" s="158" t="s">
        <v>4927</v>
      </c>
      <c r="CM1" s="158" t="s">
        <v>4928</v>
      </c>
      <c r="CN1" s="158" t="s">
        <v>4929</v>
      </c>
    </row>
    <row r="2" ht="18.75" customHeight="1" outlineLevel="1">
      <c r="B2" s="37">
        <v>2.0</v>
      </c>
      <c r="C2" s="37">
        <v>3.0</v>
      </c>
      <c r="D2" s="37">
        <v>4.0</v>
      </c>
      <c r="E2" s="37">
        <v>5.0</v>
      </c>
      <c r="F2" s="37">
        <v>6.0</v>
      </c>
      <c r="G2" s="111"/>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1"/>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1"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1"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1"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1"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1"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1"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1"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1" t="str">
        <f>IFERROR(LET(_xlpm.v,
VLOOKUP($A11,CS!$B:$N,COLUMN(CS!M$1),FALSE),
IF(_xlpm.v=0,"",_xlpm.v)
),"")</f>
        <v/>
      </c>
      <c r="H11" s="64" t="str">
        <f>IFERROR(LET(_xlpm.v,
VLOOKUP($A11,CS!$B:$H,COLUMN(CS!G$1),FALSE),
IF(_xlpm.v=0,"",_xlpm.v)
),"")</f>
        <v>攻撃手段:武器 物理+25 判定:攻撃</v>
      </c>
      <c r="I11" s="37" t="s">
        <v>3297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1" t="str">
        <f>IFERROR(LET(_xlpm.v,
VLOOKUP($A12,CS!$B:$N,COLUMN(CS!M$1),FALSE),
IF(_xlpm.v=0,"",_xlpm.v)
),"")</f>
        <v/>
      </c>
      <c r="H12" s="64" t="str">
        <f>IFERROR(LET(_xlpm.v,
VLOOKUP($A12,CS!$B:$H,COLUMN(CS!G$1),FALSE),
IF(_xlpm.v=0,"",_xlpm.v)
),"")</f>
        <v>攻撃手段:武器 命中+10</v>
      </c>
      <c r="I12" s="37" t="s">
        <v>3297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1" t="str">
        <f>IFERROR(LET(_xlpm.v,
VLOOKUP($A13,CS!$B:$N,COLUMN(CS!M$1),FALSE),
IF(_xlpm.v=0,"",_xlpm.v)
),"")</f>
        <v/>
      </c>
      <c r="H13" s="64" t="str">
        <f>IFERROR(LET(_xlpm.v,
VLOOKUP($A13,CS!$B:$H,COLUMN(CS!G$1),FALSE),
IF(_xlpm.v=0,"",_xlpm.v)
),"")</f>
        <v>攻撃手段:武器 ガード+25 判定:防御</v>
      </c>
      <c r="I13" s="37" t="s">
        <v>3297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1"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5293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1" t="str">
        <f>IFERROR(LET(_xlpm.v,
VLOOKUP($A15,CS!$B:$N,COLUMN(CS!M$1),FALSE),
IF(_xlpm.v=0,"",_xlpm.v)
),"")</f>
        <v/>
      </c>
      <c r="H15" s="64" t="str">
        <f>IFERROR(LET(_xlpm.v,
VLOOKUP($A15,CS!$B:$H,COLUMN(CS!G$1),FALSE),
IF(_xlpm.v=0,"",_xlpm.v)
),"")</f>
        <v>攻撃手段:武器 物理+2 命中+5</v>
      </c>
      <c r="I15" s="37" t="s">
        <v>3297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1" t="str">
        <f>IFERROR(LET(_xlpm.v,
VLOOKUP($A16,CS!$B:$N,COLUMN(CS!M$1),FALSE),
IF(_xlpm.v=0,"",_xlpm.v)
),"")</f>
        <v/>
      </c>
      <c r="H16" s="64" t="str">
        <f>IFERROR(LET(_xlpm.v,
VLOOKUP($A16,CS!$B:$H,COLUMN(CS!G$1),FALSE),
IF(_xlpm.v=0,"",_xlpm.v)
),"")</f>
        <v>攻撃手段:武器 物理+15 命中+25 判定:攻撃</v>
      </c>
      <c r="I16" s="37" t="s">
        <v>3297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1" t="str">
        <f>IFERROR(LET(_xlpm.v,
VLOOKUP($A17,CS!$B:$N,COLUMN(CS!M$1),FALSE),
IF(_xlpm.v=0,"",_xlpm.v)
),"")</f>
        <v/>
      </c>
      <c r="H17" s="64" t="str">
        <f>IFERROR(LET(_xlpm.v,
VLOOKUP($A17,CS!$B:$H,COLUMN(CS!G$1),FALSE),
IF(_xlpm.v=0,"",_xlpm.v)
),"")</f>
        <v>条件:ガード時 物理+3 </v>
      </c>
      <c r="J17" s="37" t="s">
        <v>5294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1" t="str">
        <f>IFERROR(LET(_xlpm.v,
VLOOKUP($A18,CS!$B:$N,COLUMN(CS!M$1),FALSE),
IF(_xlpm.v=0,"",_xlpm.v)
),"")</f>
        <v/>
      </c>
      <c r="H18" s="64" t="str">
        <f>IFERROR(LET(_xlpm.v,
VLOOKUP($A18,CS!$B:$H,COLUMN(CS!G$1),FALSE),
IF(_xlpm.v=0,"",_xlpm.v)
),"")</f>
        <v>攻撃手段:武器 ガード+2 命中+5</v>
      </c>
      <c r="I18" s="37" t="s">
        <v>3297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1" t="str">
        <f>IFERROR(LET(_xlpm.v,
VLOOKUP($A19,CS!$B:$N,COLUMN(CS!M$1),FALSE),
IF(_xlpm.v=0,"",_xlpm.v)
),"")</f>
        <v/>
      </c>
      <c r="H19" s="64" t="str">
        <f>IFERROR(LET(_xlpm.v,
VLOOKUP($A19,CS!$B:$H,COLUMN(CS!G$1),FALSE),
IF(_xlpm.v=0,"",_xlpm.v)
),"")</f>
        <v>攻撃手段:武器 物理+15 速度+25 判定:速度 </v>
      </c>
      <c r="I19" s="37" t="s">
        <v>3297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1" t="str">
        <f>IFERROR(LET(_xlpm.v,
VLOOKUP($A20,CS!$B:$N,COLUMN(CS!M$1),FALSE),
IF(_xlpm.v=0,"",_xlpm.v)
),"")</f>
        <v/>
      </c>
      <c r="H20" s="64" t="str">
        <f>IFERROR(LET(_xlpm.v,
VLOOKUP($A20,CS!$B:$H,COLUMN(CS!G$1),FALSE),
IF(_xlpm.v=0,"",_xlpm.v)
),"")</f>
        <v>条件:不意打ち 物理+35 判定:命中 </v>
      </c>
      <c r="J20" s="37" t="s">
        <v>5295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1"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1" t="str">
        <f>IFERROR(LET(_xlpm.v,
VLOOKUP($A22,CS!$B:$N,COLUMN(CS!M$1),FALSE),
IF(_xlpm.v=0,"",_xlpm.v)
),"")</f>
        <v/>
      </c>
      <c r="H22" s="64" t="str">
        <f>IFERROR(LET(_xlpm.v,
VLOOKUP($A22,CS!$B:$H,COLUMN(CS!G$1),FALSE),
IF(_xlpm.v=0,"",_xlpm.v)
),"")</f>
        <v>攻撃手段:武器 怯み+30 判定:命中</v>
      </c>
      <c r="I22" s="37" t="s">
        <v>3297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1"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1"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5293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1" t="str">
        <f>IFERROR(LET(_xlpm.v,
VLOOKUP($A25,CS!$B:$N,COLUMN(CS!M$1),FALSE),
IF(_xlpm.v=0,"",_xlpm.v)
),"")</f>
        <v/>
      </c>
      <c r="H25" s="64" t="str">
        <f>IFERROR(LET(_xlpm.v,
VLOOKUP($A25,CS!$B:$H,COLUMN(CS!G$1),FALSE),
IF(_xlpm.v=0,"",_xlpm.v)
),"")</f>
        <v>攻撃手段:素手 物理+15 炎+25 判定:攻撃</v>
      </c>
      <c r="I25" s="37" t="s">
        <v>5296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1"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5297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1"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5298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1"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5299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1" t="str">
        <f>IFERROR(LET(_xlpm.v,
VLOOKUP($A29,CS!$B:$N,COLUMN(CS!M$1),FALSE),
IF(_xlpm.v=0,"",_xlpm.v)
),"")</f>
        <v/>
      </c>
      <c r="H29" s="64" t="str">
        <f>IFERROR(LET(_xlpm.v,
VLOOKUP($A29,CS!$B:$H,COLUMN(CS!G$1),FALSE),
IF(_xlpm.v=0,"",_xlpm.v)
),"")</f>
        <v>攻撃手段:吐息 炎+45 射程:20 範囲:放射</v>
      </c>
      <c r="I29" s="37" t="s">
        <v>5300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3054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1" t="str">
        <f>IFERROR(LET(_xlpm.v,
VLOOKUP($A30,CS!$B:$N,COLUMN(CS!M$1),FALSE),
IF(_xlpm.v=0,"",_xlpm.v)
),"")</f>
        <v/>
      </c>
      <c r="H30" s="64" t="str">
        <f>IFERROR(LET(_xlpm.v,
VLOOKUP($A30,CS!$B:$H,COLUMN(CS!G$1),FALSE),
IF(_xlpm.v=0,"",_xlpm.v)
),"")</f>
        <v>攻撃手段:素手 物理+15 氷+25 判定:攻撃</v>
      </c>
      <c r="I30" s="37" t="s">
        <v>5296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5301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1"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5302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1"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5303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1" t="str">
        <f>IFERROR(LET(_xlpm.v,
VLOOKUP($A33,CS!$B:$N,COLUMN(CS!M$1),FALSE),
IF(_xlpm.v=0,"",_xlpm.v)
),"")</f>
        <v/>
      </c>
      <c r="H33" s="64" t="str">
        <f>IFERROR(LET(_xlpm.v,
VLOOKUP($A33,CS!$B:$H,COLUMN(CS!G$1),FALSE),
IF(_xlpm.v=0,"",_xlpm.v)
),"")</f>
        <v>攻撃手段:吐息 氷+45 射程:20 範囲:放射</v>
      </c>
      <c r="I33" s="37" t="s">
        <v>5300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3054</v>
      </c>
    </row>
    <row r="34" ht="18.75" customHeight="1" outlineLevel="1">
      <c r="A34" s="1" t="s">
        <v>5304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1" t="str">
        <f>IFERROR(LET(_xlpm.v,
VLOOKUP($A34,CS!$B:$N,COLUMN(CS!M$1),FALSE),
IF(_xlpm.v=0,"",_xlpm.v)
),"")</f>
        <v/>
      </c>
      <c r="H34" s="64" t="str">
        <f>IFERROR(LET(_xlpm.v,
VLOOKUP($A34,CS!$B:$H,COLUMN(CS!G$1),FALSE),
IF(_xlpm.v=0,"",_xlpm.v)
),"")</f>
        <v>攻撃手段:素手 物理+15 怯み+25 判定:攻撃</v>
      </c>
      <c r="I34" s="37" t="s">
        <v>5296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5305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1"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5306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1"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5307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1" t="str">
        <f>IFERROR(LET(_xlpm.v,
VLOOKUP($A37,CS!$B:$N,COLUMN(CS!M$1),FALSE),
IF(_xlpm.v=0,"",_xlpm.v)
),"")</f>
        <v/>
      </c>
      <c r="H37" s="64" t="str">
        <f>IFERROR(LET(_xlpm.v,
VLOOKUP($A37,CS!$B:$H,COLUMN(CS!G$1),FALSE),
IF(_xlpm.v=0,"",_xlpm.v)
),"")</f>
        <v>攻撃手段:吐息 怯み+45 射程:20 範囲:放射</v>
      </c>
      <c r="I37" s="37" t="s">
        <v>5300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3054</v>
      </c>
    </row>
    <row r="38" ht="18.75" customHeight="1" outlineLevel="1">
      <c r="A38" s="1" t="s">
        <v>5308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1" t="str">
        <f>IFERROR(LET(_xlpm.v,
VLOOKUP($A38,CS!$B:$N,COLUMN(CS!M$1),FALSE),
IF(_xlpm.v=0,"",_xlpm.v)
),"")</f>
        <v/>
      </c>
      <c r="H38" s="64" t="str">
        <f>IFERROR(LET(_xlpm.v,
VLOOKUP($A38,CS!$B:$H,COLUMN(CS!G$1),FALSE),
IF(_xlpm.v=0,"",_xlpm.v)
),"")</f>
        <v>攻撃手段:素手 物理+15 ガード+25 判定:攻撃</v>
      </c>
      <c r="I38" s="37" t="s">
        <v>5296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5309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1"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5310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1"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5311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1" t="str">
        <f>IFERROR(LET(_xlpm.v,
VLOOKUP($A41,CS!$B:$N,COLUMN(CS!M$1),FALSE),
IF(_xlpm.v=0,"",_xlpm.v)
),"")</f>
        <v/>
      </c>
      <c r="H41" s="64" t="str">
        <f>IFERROR(LET(_xlpm.v,
VLOOKUP($A41,CS!$B:$H,COLUMN(CS!G$1),FALSE),
IF(_xlpm.v=0,"",_xlpm.v)
),"")</f>
        <v>攻撃手段:吐息 物理+35 怯み+20 射程:20 範囲:放射</v>
      </c>
      <c r="I41" s="37" t="s">
        <v>5300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3054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1" t="str">
        <f>IFERROR(LET(_xlpm.v,
VLOOKUP($A42,CS!$B:$N,COLUMN(CS!M$1),FALSE),
IF(_xlpm.v=0,"",_xlpm.v)
),"")</f>
        <v/>
      </c>
      <c r="H42" s="64" t="str">
        <f>IFERROR(LET(_xlpm.v,
VLOOKUP($A42,CS!$B:$H,COLUMN(CS!G$1),FALSE),
IF(_xlpm.v=0,"",_xlpm.v)
),"")</f>
        <v>攻撃手段:魔法 光+25 盲目+20 射程:10 判定:魔力</v>
      </c>
      <c r="I42" s="37" t="s">
        <v>4726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1" t="str">
        <f>IFERROR(LET(_xlpm.v,
VLOOKUP($A43,CS!$B:$N,COLUMN(CS!M$1),FALSE),
IF(_xlpm.v=0,"",_xlpm.v)
),"")</f>
        <v/>
      </c>
      <c r="H43" s="64" t="str">
        <f>IFERROR(LET(_xlpm.v,
VLOOKUP($A43,CS!$B:$H,COLUMN(CS!G$1),FALSE),
IF(_xlpm.v=0,"",_xlpm.v)
),"")</f>
        <v/>
      </c>
      <c r="I43" s="37" t="s">
        <v>4726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1" t="str">
        <f>IFERROR(LET(_xlpm.v,
VLOOKUP($A44,CS!$B:$N,COLUMN(CS!M$1),FALSE),
IF(_xlpm.v=0,"",_xlpm.v)
),"")</f>
        <v/>
      </c>
      <c r="H44" s="64" t="str">
        <f>IFERROR(LET(_xlpm.v,
VLOOKUP($A44,CS!$B:$H,COLUMN(CS!G$1),FALSE),
IF(_xlpm.v=0,"",_xlpm.v)
),"")</f>
        <v>攻撃手段:魔法 物理+10 拘束+30 射程:20 判定:魔力</v>
      </c>
      <c r="I44" s="37" t="s">
        <v>4726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1" t="str">
        <f>IFERROR(LET(_xlpm.v,
VLOOKUP($A45,CS!$B:$N,COLUMN(CS!M$1),FALSE),
IF(_xlpm.v=0,"",_xlpm.v)
),"")</f>
        <v/>
      </c>
      <c r="H45" s="64" t="str">
        <f>IFERROR(LET(_xlpm.v,
VLOOKUP($A45,CS!$B:$H,COLUMN(CS!G$1),FALSE),
IF(_xlpm.v=0,"",_xlpm.v)
),"")</f>
        <v>攻撃手段:魔法 炎+15 射程:10 炸裂:1 判定:魔力 追加威力:技術 </v>
      </c>
      <c r="I45" s="37" t="s">
        <v>4726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1" t="str">
        <f>IFERROR(LET(_xlpm.v,
VLOOKUP($A46,CS!$B:$N,COLUMN(CS!M$1),FALSE),
IF(_xlpm.v=0,"",_xlpm.v)
),"")</f>
        <v/>
      </c>
      <c r="H46" s="64" t="str">
        <f>IFERROR(LET(_xlpm.v,
VLOOKUP($A46,CS!$B:$H,COLUMN(CS!G$1),FALSE),
IF(_xlpm.v=0,"",_xlpm.v)
),"")</f>
        <v>攻撃手段:魔法 特殊:攻撃 炎+35 射程:10 判定:魔力</v>
      </c>
      <c r="I46" s="37" t="s">
        <v>4726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1" t="str">
        <f>IFERROR(LET(_xlpm.v,
VLOOKUP($A47,CS!$B:$N,COLUMN(CS!M$1),FALSE),
IF(_xlpm.v=0,"",_xlpm.v)
),"")</f>
        <v/>
      </c>
      <c r="H47" s="64" t="str">
        <f>IFERROR(LET(_xlpm.v,
VLOOKUP($A47,CS!$B:$H,COLUMN(CS!G$1),FALSE),
IF(_xlpm.v=0,"",_xlpm.v)
),"")</f>
        <v>攻撃手段:魔法 炎+12 攻撃回数4 射程:10 範囲:炸裂</v>
      </c>
      <c r="I47" s="37" t="s">
        <v>4726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3058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1" t="str">
        <f>IFERROR(LET(_xlpm.v,
VLOOKUP($A48,CS!$B:$N,COLUMN(CS!M$1),FALSE),
IF(_xlpm.v=0,"",_xlpm.v)
),"")</f>
        <v/>
      </c>
      <c r="H48" s="64" t="str">
        <f>IFERROR(LET(_xlpm.v,
VLOOKUP($A48,CS!$B:$H,COLUMN(CS!G$1),FALSE),
IF(_xlpm.v=0,"",_xlpm.v)
),"")</f>
        <v>攻撃手段:魔法 特殊:攻撃 炎+55 射程:20 範囲:周囲 判定:魔力</v>
      </c>
      <c r="I48" s="37" t="s">
        <v>4726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1" t="str">
        <f>IFERROR(LET(_xlpm.v,
VLOOKUP($A49,CS!$B:$N,COLUMN(CS!M$1),FALSE),
IF(_xlpm.v=0,"",_xlpm.v)
),"")</f>
        <v/>
      </c>
      <c r="H49" s="64" t="str">
        <f>IFERROR(LET(_xlpm.v,
VLOOKUP($A49,CS!$B:$H,COLUMN(CS!G$1),FALSE),
IF(_xlpm.v=0,"",_xlpm.v)
),"")</f>
        <v>攻撃手段:魔法 特殊:攻撃 炎+60 射程:20 範囲:全体 判定:魔力</v>
      </c>
      <c r="I49" s="37" t="s">
        <v>4726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1" t="str">
        <f>IFERROR(LET(_xlpm.v,
VLOOKUP($A50,CS!$B:$N,COLUMN(CS!M$1),FALSE),
IF(_xlpm.v=0,"",_xlpm.v)
),"")</f>
        <v/>
      </c>
      <c r="H50" s="64" t="str">
        <f>IFERROR(LET(_xlpm.v,
VLOOKUP($A50,CS!$B:$H,COLUMN(CS!G$1),FALSE),
IF(_xlpm.v=0,"",_xlpm.v)
),"")</f>
        <v>効果時間2t 攻撃手段:魔法 特殊:攻撃  炎+30 射程:20 範囲:ライン 判定:魔力</v>
      </c>
      <c r="I50" s="37" t="s">
        <v>4726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3030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1" t="str">
        <f>IFERROR(LET(_xlpm.v,
VLOOKUP($A51,CS!$B:$N,COLUMN(CS!M$1),FALSE),
IF(_xlpm.v=0,"",_xlpm.v)
),"")</f>
        <v/>
      </c>
      <c r="H51" s="64" t="str">
        <f>IFERROR(LET(_xlpm.v,
VLOOKUP($A51,CS!$B:$H,COLUMN(CS!G$1),FALSE),
IF(_xlpm.v=0,"",_xlpm.v)
),"")</f>
        <v/>
      </c>
      <c r="I51" s="37" t="s">
        <v>4726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1" t="str">
        <f>IFERROR(LET(_xlpm.v,
VLOOKUP($A52,CS!$B:$N,COLUMN(CS!M$1),FALSE),
IF(_xlpm.v=0,"",_xlpm.v)
),"")</f>
        <v/>
      </c>
      <c r="H52" s="64" t="str">
        <f>IFERROR(LET(_xlpm.v,
VLOOKUP($A52,CS!$B:$H,COLUMN(CS!G$1),FALSE),
IF(_xlpm.v=0,"",_xlpm.v)
),"")</f>
        <v>攻撃手段:魔法 特殊:攻撃 炎+115 射程:3  範囲:縦 判定:魔力</v>
      </c>
      <c r="I52" s="37" t="s">
        <v>4726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3062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1" t="str">
        <f>IFERROR(LET(_xlpm.v,
VLOOKUP($A53,CS!$B:$N,COLUMN(CS!M$1),FALSE),
IF(_xlpm.v=0,"",_xlpm.v)
),"")</f>
        <v/>
      </c>
      <c r="H53" s="64" t="str">
        <f>IFERROR(LET(_xlpm.v,
VLOOKUP($A53,CS!$B:$H,COLUMN(CS!G$1),FALSE),
IF(_xlpm.v=0,"",_xlpm.v)
),"")</f>
        <v/>
      </c>
      <c r="I53" s="37" t="s">
        <v>4726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3065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1" t="str">
        <f>IFERROR(LET(_xlpm.v,
VLOOKUP($A54,CS!$B:$N,COLUMN(CS!M$1),FALSE),
IF(_xlpm.v=0,"",_xlpm.v)
),"")</f>
        <v/>
      </c>
      <c r="H54" s="64" t="str">
        <f>IFERROR(LET(_xlpm.v,
VLOOKUP($A54,CS!$B:$H,COLUMN(CS!G$1),FALSE),
IF(_xlpm.v=0,"",_xlpm.v)
),"")</f>
        <v/>
      </c>
      <c r="I54" s="37" t="s">
        <v>4726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3065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1" t="str">
        <f>IFERROR(LET(_xlpm.v,
VLOOKUP($A55,CS!$B:$N,COLUMN(CS!M$1),FALSE),
IF(_xlpm.v=0,"",_xlpm.v)
),"")</f>
        <v/>
      </c>
      <c r="H55" s="64" t="str">
        <f>IFERROR(LET(_xlpm.v,
VLOOKUP($A55,CS!$B:$H,COLUMN(CS!G$1),FALSE),
IF(_xlpm.v=0,"",_xlpm.v)
),"")</f>
        <v>攻撃手段:魔法 盲目+45 疲労+15 射程:10 範囲:炸裂 効果:設置</v>
      </c>
      <c r="I55" s="37" t="s">
        <v>4726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3069</v>
      </c>
      <c r="CG55" s="37" t="s">
        <v>5312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1" t="str">
        <f>IFERROR(LET(_xlpm.v,
VLOOKUP($A56,CS!$B:$N,COLUMN(CS!M$1),FALSE),
IF(_xlpm.v=0,"",_xlpm.v)
),"")</f>
        <v/>
      </c>
      <c r="H56" s="64" t="str">
        <f>IFERROR(LET(_xlpm.v,
VLOOKUP($A56,CS!$B:$H,COLUMN(CS!G$1),FALSE),
IF(_xlpm.v=0,"",_xlpm.v)
),"")</f>
        <v>攻撃手段:魔法 特殊:攻撃 炎+115 射程:4 範囲:全体 判定:魔力</v>
      </c>
      <c r="I56" s="37" t="s">
        <v>4726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3034</v>
      </c>
      <c r="CK56" s="37" t="s">
        <v>2569</v>
      </c>
    </row>
    <row r="57" ht="18.75" customHeight="1" outlineLevel="1">
      <c r="A57" s="19" t="s">
        <v>5313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1" t="str">
        <f>IFERROR(LET(_xlpm.v,
VLOOKUP($A57,CS!$B:$N,COLUMN(CS!M$1),FALSE),
IF(_xlpm.v=0,"",_xlpm.v)
),"")</f>
        <v/>
      </c>
      <c r="H57" s="64" t="str">
        <f>IFERROR(LET(_xlpm.v,
VLOOKUP($A57,CS!$B:$H,COLUMN(CS!G$1),FALSE),
IF(_xlpm.v=0,"",_xlpm.v)
),"")</f>
        <v/>
      </c>
      <c r="I57" s="37" t="s">
        <v>4726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5314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1" t="str">
        <f>IFERROR(LET(_xlpm.v,
VLOOKUP($A58,CS!$B:$N,COLUMN(CS!M$1),FALSE),
IF(_xlpm.v=0,"",_xlpm.v)
),"")</f>
        <v/>
      </c>
      <c r="H58" s="64" t="str">
        <f>IFERROR(LET(_xlpm.v,
VLOOKUP($A58,CS!$B:$H,COLUMN(CS!G$1),FALSE),
IF(_xlpm.v=0,"",_xlpm.v)
),"")</f>
        <v>攻撃手段:魔法 特殊:攻撃 回復+75 効果:蘇生 (死亡状態を回復する) 判定:魔力</v>
      </c>
      <c r="I58" s="37" t="s">
        <v>4726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5315</v>
      </c>
    </row>
    <row r="59" ht="18.75" customHeight="1" outlineLevel="1">
      <c r="A59" s="19" t="s">
        <v>5316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1" t="str">
        <f>IFERROR(LET(_xlpm.v,
VLOOKUP($A59,CS!$B:$N,COLUMN(CS!M$1),FALSE),
IF(_xlpm.v=0,"",_xlpm.v)
),"")</f>
        <v/>
      </c>
      <c r="H59" s="64" t="str">
        <f>IFERROR(LET(_xlpm.v,
VLOOKUP($A59,CS!$B:$H,COLUMN(CS!G$1),FALSE),
IF(_xlpm.v=0,"",_xlpm.v)
),"")</f>
        <v/>
      </c>
      <c r="I59" s="37" t="s">
        <v>4726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5317</v>
      </c>
    </row>
    <row r="60" ht="18.75" customHeight="1" outlineLevel="1">
      <c r="A60" s="24" t="s">
        <v>5318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1" t="str">
        <f>IFERROR(LET(_xlpm.v,
VLOOKUP($A60,CS!$B:$N,COLUMN(CS!M$1),FALSE),
IF(_xlpm.v=0,"",_xlpm.v)
),"")</f>
        <v/>
      </c>
      <c r="H60" s="64" t="str">
        <f>IFERROR(LET(_xlpm.v,
VLOOKUP($A60,CS!$B:$H,COLUMN(CS!G$1),FALSE),
IF(_xlpm.v=0,"",_xlpm.v)
),"")</f>
        <v>攻撃手段:魔法 効果:平地_変換 射程:20</v>
      </c>
      <c r="I60" s="37" t="s">
        <v>4726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5319</v>
      </c>
    </row>
    <row r="61" ht="18.75" customHeight="1" outlineLevel="1">
      <c r="A61" s="24" t="s">
        <v>5320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1" t="str">
        <f>IFERROR(LET(_xlpm.v,
VLOOKUP($A61,CS!$B:$N,COLUMN(CS!M$1),FALSE),
IF(_xlpm.v=0,"",_xlpm.v)
),"")</f>
        <v/>
      </c>
      <c r="H61" s="64" t="str">
        <f>IFERROR(LET(_xlpm.v,
VLOOKUP($A61,CS!$B:$H,COLUMN(CS!G$1),FALSE),
IF(_xlpm.v=0,"",_xlpm.v)
),"")</f>
        <v>攻撃手段:魔法 効果:森_変換 射程:20</v>
      </c>
      <c r="I61" s="37" t="s">
        <v>4726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5321</v>
      </c>
    </row>
    <row r="62" ht="18.75" customHeight="1" outlineLevel="1">
      <c r="A62" s="24" t="s">
        <v>5322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1" t="str">
        <f>IFERROR(LET(_xlpm.v,
VLOOKUP($A62,CS!$B:$N,COLUMN(CS!M$1),FALSE),
IF(_xlpm.v=0,"",_xlpm.v)
),"")</f>
        <v/>
      </c>
      <c r="H62" s="64" t="str">
        <f>IFERROR(LET(_xlpm.v,
VLOOKUP($A62,CS!$B:$H,COLUMN(CS!G$1),FALSE),
IF(_xlpm.v=0,"",_xlpm.v)
),"")</f>
        <v>攻撃手段:魔法 効果:山岳_変換 射程:20</v>
      </c>
      <c r="I62" s="37" t="s">
        <v>4726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5323</v>
      </c>
    </row>
    <row r="63" ht="18.75" customHeight="1" outlineLevel="1">
      <c r="A63" s="24" t="s">
        <v>5324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1" t="str">
        <f>IFERROR(LET(_xlpm.v,
VLOOKUP($A63,CS!$B:$N,COLUMN(CS!M$1),FALSE),
IF(_xlpm.v=0,"",_xlpm.v)
),"")</f>
        <v/>
      </c>
      <c r="H63" s="64" t="str">
        <f>IFERROR(LET(_xlpm.v,
VLOOKUP($A63,CS!$B:$H,COLUMN(CS!G$1),FALSE),
IF(_xlpm.v=0,"",_xlpm.v)
),"")</f>
        <v>攻撃手段:魔法 効果:丘陵_変換 射程:20</v>
      </c>
      <c r="I63" s="37" t="s">
        <v>4726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5325</v>
      </c>
    </row>
    <row r="64" ht="18.75" customHeight="1" outlineLevel="1">
      <c r="A64" s="24" t="s">
        <v>5326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1" t="str">
        <f>IFERROR(LET(_xlpm.v,
VLOOKUP($A64,CS!$B:$N,COLUMN(CS!M$1),FALSE),
IF(_xlpm.v=0,"",_xlpm.v)
),"")</f>
        <v/>
      </c>
      <c r="H64" s="64" t="str">
        <f>IFERROR(LET(_xlpm.v,
VLOOKUP($A64,CS!$B:$H,COLUMN(CS!G$1),FALSE),
IF(_xlpm.v=0,"",_xlpm.v)
),"")</f>
        <v>攻撃手段:魔法 効果:河川_変換 射程:20</v>
      </c>
      <c r="I64" s="37" t="s">
        <v>4726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5327</v>
      </c>
    </row>
    <row r="65" ht="18.75" customHeight="1" outlineLevel="1">
      <c r="A65" s="24" t="s">
        <v>5328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1" t="str">
        <f>IFERROR(LET(_xlpm.v,
VLOOKUP($A65,CS!$B:$N,COLUMN(CS!M$1),FALSE),
IF(_xlpm.v=0,"",_xlpm.v)
),"")</f>
        <v/>
      </c>
      <c r="H65" s="64" t="str">
        <f>IFERROR(LET(_xlpm.v,
VLOOKUP($A65,CS!$B:$H,COLUMN(CS!G$1),FALSE),
IF(_xlpm.v=0,"",_xlpm.v)
),"")</f>
        <v>攻撃手段:魔法 効果:湖_変換 射程:20 炸裂:10</v>
      </c>
      <c r="I65" s="37" t="s">
        <v>4726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5329</v>
      </c>
    </row>
    <row r="66" ht="18.75" customHeight="1" outlineLevel="1">
      <c r="A66" s="24" t="s">
        <v>5330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1" t="str">
        <f>IFERROR(LET(_xlpm.v,
VLOOKUP($A66,CS!$B:$N,COLUMN(CS!M$1),FALSE),
IF(_xlpm.v=0,"",_xlpm.v)
),"")</f>
        <v/>
      </c>
      <c r="H66" s="64" t="str">
        <f>IFERROR(LET(_xlpm.v,
VLOOKUP($A66,CS!$B:$H,COLUMN(CS!G$1),FALSE),
IF(_xlpm.v=0,"",_xlpm.v)
),"")</f>
        <v>攻撃手段:魔法 効果:海_変換 射程:20</v>
      </c>
      <c r="I66" s="37" t="s">
        <v>4726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5331</v>
      </c>
    </row>
    <row r="67" ht="18.75" customHeight="1" outlineLevel="1">
      <c r="A67" s="24" t="s">
        <v>5332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1" t="str">
        <f>IFERROR(LET(_xlpm.v,
VLOOKUP($A67,CS!$B:$N,COLUMN(CS!M$1),FALSE),
IF(_xlpm.v=0,"",_xlpm.v)
),"")</f>
        <v/>
      </c>
      <c r="H67" s="64" t="str">
        <f>IFERROR(LET(_xlpm.v,
VLOOKUP($A67,CS!$B:$H,COLUMN(CS!G$1),FALSE),
IF(_xlpm.v=0,"",_xlpm.v)
),"")</f>
        <v>攻撃手段:魔法 効果:砂漠_変換 射程:20</v>
      </c>
      <c r="I67" s="37" t="s">
        <v>4726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5333</v>
      </c>
    </row>
    <row r="68" ht="18.75" customHeight="1" outlineLevel="1">
      <c r="A68" s="24" t="s">
        <v>5334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1" t="str">
        <f>IFERROR(LET(_xlpm.v,
VLOOKUP($A68,CS!$B:$N,COLUMN(CS!M$1),FALSE),
IF(_xlpm.v=0,"",_xlpm.v)
),"")</f>
        <v/>
      </c>
      <c r="H68" s="64" t="str">
        <f>IFERROR(LET(_xlpm.v,
VLOOKUP($A68,CS!$B:$H,COLUMN(CS!G$1),FALSE),
IF(_xlpm.v=0,"",_xlpm.v)
),"")</f>
        <v>攻撃手段:魔法 効果:沼地_変換 射程:20</v>
      </c>
      <c r="I68" s="37" t="s">
        <v>4726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5335</v>
      </c>
    </row>
    <row r="69" ht="18.75" customHeight="1" outlineLevel="1">
      <c r="A69" s="24" t="s">
        <v>5336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1" t="str">
        <f>IFERROR(LET(_xlpm.v,
VLOOKUP($A69,CS!$B:$N,COLUMN(CS!M$1),FALSE),
IF(_xlpm.v=0,"",_xlpm.v)
),"")</f>
        <v/>
      </c>
      <c r="H69" s="64" t="str">
        <f>IFERROR(LET(_xlpm.v,
VLOOKUP($A69,CS!$B:$H,COLUMN(CS!G$1),FALSE),
IF(_xlpm.v=0,"",_xlpm.v)
),"")</f>
        <v>攻撃手段:魔法 効果:薬草繁茂_変換 射程:20</v>
      </c>
      <c r="I69" s="37" t="s">
        <v>4726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5337</v>
      </c>
    </row>
    <row r="70" ht="18.75" customHeight="1" outlineLevel="1">
      <c r="A70" s="24" t="s">
        <v>5338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1" t="str">
        <f>IFERROR(LET(_xlpm.v,
VLOOKUP($A70,CS!$B:$N,COLUMN(CS!M$1),FALSE),
IF(_xlpm.v=0,"",_xlpm.v)
),"")</f>
        <v/>
      </c>
      <c r="H70" s="64" t="str">
        <f>IFERROR(LET(_xlpm.v,
VLOOKUP($A70,CS!$B:$H,COLUMN(CS!G$1),FALSE),
IF(_xlpm.v=0,"",_xlpm.v)
),"")</f>
        <v>攻撃手段:魔法 効果:峡谷_変換 射程:20</v>
      </c>
      <c r="I70" s="37" t="s">
        <v>4726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5339</v>
      </c>
    </row>
    <row r="71" ht="18.75" customHeight="1" outlineLevel="1">
      <c r="A71" s="24" t="s">
        <v>5340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1" t="str">
        <f>IFERROR(LET(_xlpm.v,
VLOOKUP($A71,CS!$B:$N,COLUMN(CS!M$1),FALSE),
IF(_xlpm.v=0,"",_xlpm.v)
),"")</f>
        <v/>
      </c>
      <c r="H71" s="64" t="str">
        <f>IFERROR(LET(_xlpm.v,
VLOOKUP($A71,CS!$B:$H,COLUMN(CS!G$1),FALSE),
IF(_xlpm.v=0,"",_xlpm.v)
),"")</f>
        <v>攻撃手段:魔法 効果:洞窟_変換 射程:20</v>
      </c>
      <c r="I71" s="37" t="s">
        <v>4726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5341</v>
      </c>
    </row>
    <row r="72" ht="18.75" customHeight="1" outlineLevel="1">
      <c r="A72" s="24" t="s">
        <v>5342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1" t="str">
        <f>IFERROR(LET(_xlpm.v,
VLOOKUP($A72,CS!$B:$N,COLUMN(CS!M$1),FALSE),
IF(_xlpm.v=0,"",_xlpm.v)
),"")</f>
        <v/>
      </c>
      <c r="H72" s="64" t="str">
        <f>IFERROR(LET(_xlpm.v,
VLOOKUP($A72,CS!$B:$H,COLUMN(CS!G$1),FALSE),
IF(_xlpm.v=0,"",_xlpm.v)
),"")</f>
        <v>攻撃手段:魔法 効果:雪原_変換 射程:20</v>
      </c>
      <c r="I72" s="37" t="s">
        <v>4726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5343</v>
      </c>
    </row>
    <row r="73" ht="18.75" customHeight="1" outlineLevel="1">
      <c r="A73" s="24" t="s">
        <v>5344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1" t="str">
        <f>IFERROR(LET(_xlpm.v,
VLOOKUP($A73,CS!$B:$N,COLUMN(CS!M$1),FALSE),
IF(_xlpm.v=0,"",_xlpm.v)
),"")</f>
        <v/>
      </c>
      <c r="H73" s="64" t="str">
        <f>IFERROR(LET(_xlpm.v,
VLOOKUP($A73,CS!$B:$H,COLUMN(CS!G$1),FALSE),
IF(_xlpm.v=0,"",_xlpm.v)
),"")</f>
        <v>攻撃手段:魔法 効果:火山_変換 射程:20</v>
      </c>
      <c r="I73" s="37" t="s">
        <v>4726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5345</v>
      </c>
    </row>
    <row r="74" ht="18.75" customHeight="1" outlineLevel="1">
      <c r="A74" s="24" t="s">
        <v>5346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1" t="str">
        <f>IFERROR(LET(_xlpm.v,
VLOOKUP($A74,CS!$B:$N,COLUMN(CS!M$1),FALSE),
IF(_xlpm.v=0,"",_xlpm.v)
),"")</f>
        <v/>
      </c>
      <c r="H74" s="64" t="str">
        <f>IFERROR(LET(_xlpm.v,
VLOOKUP($A74,CS!$B:$H,COLUMN(CS!G$1),FALSE),
IF(_xlpm.v=0,"",_xlpm.v)
),"")</f>
        <v>攻撃手段:魔法 効果:溶岩_変換 射程:20</v>
      </c>
      <c r="I74" s="37" t="s">
        <v>4726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5347</v>
      </c>
    </row>
    <row r="75" ht="18.75" customHeight="1" outlineLevel="1">
      <c r="A75" s="24" t="s">
        <v>5348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1" t="str">
        <f>IFERROR(LET(_xlpm.v,
VLOOKUP($A75,CS!$B:$N,COLUMN(CS!M$1),FALSE),
IF(_xlpm.v=0,"",_xlpm.v)
),"")</f>
        <v/>
      </c>
      <c r="H75" s="64" t="str">
        <f>IFERROR(LET(_xlpm.v,
VLOOKUP($A75,CS!$B:$H,COLUMN(CS!G$1),FALSE),
IF(_xlpm.v=0,"",_xlpm.v)
),"")</f>
        <v>攻撃手段:魔法 効果:死の霧_変換 射程:20</v>
      </c>
      <c r="I75" s="37" t="s">
        <v>4726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5349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1"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1"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1"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1"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1"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1"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1"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1"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1"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1"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1"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1"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1"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1"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1"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1"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1"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1"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1"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1"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1"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1"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1"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1"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1"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1"/>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1"/>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1"/>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1"/>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1"/>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1"/>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1"/>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1"/>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1"/>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1"/>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1"/>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1"/>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1"/>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1"/>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1"/>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1"/>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1"/>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1"/>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1"/>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1"/>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1"/>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1"/>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1"/>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1"/>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1"/>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1"/>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1"/>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1"/>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1"/>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1"/>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1"/>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1"/>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1"/>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1"/>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1"/>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1"/>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1"/>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1"/>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1"/>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1"/>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1"/>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1"/>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1"/>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1"/>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1"/>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1"/>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1"/>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1"/>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1"/>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1"/>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1"/>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1"/>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1"/>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1"/>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1"/>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1"/>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1"/>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1"/>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1"/>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1"/>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1"/>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1"/>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1"/>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1"/>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1"/>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1"/>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1"/>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1"/>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1"/>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1"/>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1"/>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1"/>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1"/>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1"/>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1"/>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1"/>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1"/>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1"/>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1"/>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1"/>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1"/>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1"/>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1"/>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1"/>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1"/>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1"/>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1"/>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1"/>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1"/>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1"/>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1"/>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1"/>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1"/>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1"/>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1"/>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1"/>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1"/>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1"/>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1"/>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1"/>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1"/>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1"/>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1"/>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1"/>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1"/>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1"/>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1"/>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1"/>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1"/>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1"/>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1"/>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1"/>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1"/>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1"/>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1"/>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1"/>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1"/>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1"/>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1"/>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1"/>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1"/>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1"/>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1"/>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1"/>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1"/>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1"/>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1"/>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1"/>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1"/>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1"/>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1"/>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1"/>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1"/>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1"/>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1"/>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1"/>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1"/>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1"/>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1"/>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1"/>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1"/>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1"/>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1"/>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1"/>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1"/>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1"/>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1"/>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1"/>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1"/>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1"/>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1"/>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1"/>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1"/>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1"/>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1"/>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1"/>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1"/>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1"/>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1"/>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1"/>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1"/>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1"/>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1"/>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1"/>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1"/>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1"/>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1"/>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1"/>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1"/>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1"/>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1"/>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1"/>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1"/>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1"/>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1"/>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1"/>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1"/>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1"/>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1"/>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1"/>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1"/>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1"/>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1"/>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1"/>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1"/>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1"/>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1"/>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1"/>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1"/>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1"/>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1"/>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1"/>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1"/>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1"/>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1"/>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1"/>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1"/>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1"/>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1"/>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1"/>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1"/>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1"/>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1"/>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1"/>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1"/>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1"/>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1"/>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1"/>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1"/>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1"/>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1"/>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1"/>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1"/>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1"/>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1"/>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1"/>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1"/>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1"/>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1"/>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1"/>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1"/>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1"/>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1"/>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1"/>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1"/>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1"/>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1"/>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1"/>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1"/>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1"/>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1"/>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1"/>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1"/>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1"/>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1"/>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1"/>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1"/>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1"/>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1"/>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1"/>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1"/>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1"/>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1"/>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1"/>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1"/>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1"/>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1"/>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1"/>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1"/>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1"/>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1"/>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1"/>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1"/>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1"/>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1"/>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1"/>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1"/>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1"/>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1"/>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1"/>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1"/>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1"/>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1"/>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1"/>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1"/>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1"/>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1"/>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1"/>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1"/>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1"/>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1"/>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1"/>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1"/>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1"/>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1"/>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1"/>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1"/>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1"/>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1"/>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1"/>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1"/>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1"/>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1"/>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1"/>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1"/>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1"/>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1"/>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1"/>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1"/>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1"/>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1"/>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1"/>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1"/>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1"/>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1"/>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1"/>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1"/>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1"/>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1"/>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1"/>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1"/>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1"/>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1"/>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1"/>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1"/>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1"/>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1"/>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1"/>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1"/>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1"/>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1"/>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1"/>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1"/>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1"/>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1"/>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1"/>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1"/>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1"/>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1"/>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1"/>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1"/>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1"/>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1"/>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1"/>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1"/>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1"/>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1"/>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1"/>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1"/>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1"/>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1"/>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1"/>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1"/>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1"/>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1"/>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1"/>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1"/>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1"/>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1"/>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1"/>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1"/>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1"/>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1"/>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1"/>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1"/>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1"/>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1"/>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1"/>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1"/>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1"/>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1"/>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1"/>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1"/>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1"/>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1"/>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1"/>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1"/>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1"/>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1"/>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1"/>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1"/>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1"/>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1"/>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1"/>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1"/>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1"/>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1"/>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1"/>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1"/>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1"/>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1"/>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1"/>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1"/>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1"/>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1"/>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1"/>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1"/>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1"/>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1"/>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1"/>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1"/>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1"/>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1"/>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1"/>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1"/>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1"/>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1"/>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1"/>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1"/>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1"/>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1"/>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1"/>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1"/>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1"/>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1"/>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1"/>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1"/>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1"/>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1"/>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1"/>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1"/>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1"/>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1"/>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1"/>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1"/>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1"/>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1"/>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1"/>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1"/>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1"/>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1"/>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1"/>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1"/>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1"/>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1"/>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1"/>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1"/>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1"/>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1"/>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1"/>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1"/>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1"/>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1"/>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1"/>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1"/>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1"/>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1"/>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1"/>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1"/>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1"/>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1"/>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1"/>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1"/>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1"/>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1"/>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1"/>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1"/>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1"/>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1"/>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1"/>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1"/>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1"/>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1"/>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1"/>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1"/>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1"/>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1"/>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1"/>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1"/>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1"/>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1"/>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1"/>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1"/>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1"/>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1"/>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1"/>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1"/>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1"/>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1"/>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1"/>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1"/>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1"/>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1"/>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1"/>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1"/>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1"/>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1"/>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1"/>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1"/>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1"/>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1"/>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1"/>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1"/>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1"/>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1"/>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1"/>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1"/>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1"/>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1"/>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1"/>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1"/>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1"/>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1"/>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1"/>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1"/>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1"/>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1"/>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1"/>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1"/>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1"/>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1"/>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1"/>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1"/>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1"/>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1"/>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1"/>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1"/>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1"/>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1"/>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1"/>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1"/>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1"/>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1"/>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1"/>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1"/>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1"/>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1"/>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1"/>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1"/>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1"/>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1"/>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1"/>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1"/>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1"/>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1"/>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1"/>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1"/>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1"/>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1"/>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1"/>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1"/>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1"/>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1"/>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1"/>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1"/>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1"/>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1"/>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1"/>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1"/>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1"/>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1"/>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1"/>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1"/>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1"/>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1"/>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1"/>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1"/>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1"/>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1"/>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1"/>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1"/>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1"/>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1"/>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1"/>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1"/>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1"/>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1"/>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1"/>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1"/>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1"/>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1"/>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1"/>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1"/>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1"/>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1"/>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1"/>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1"/>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1"/>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1"/>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1"/>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1"/>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1"/>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1"/>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1"/>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1"/>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1"/>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1"/>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1"/>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1"/>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1"/>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1"/>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1"/>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1"/>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1"/>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1"/>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1"/>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1"/>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1"/>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1"/>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1"/>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1"/>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1"/>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1"/>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1"/>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1"/>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1"/>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1"/>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1"/>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1"/>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1"/>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1"/>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1"/>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1"/>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1"/>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1"/>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1"/>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1"/>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1"/>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1"/>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1"/>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1"/>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1"/>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1"/>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1"/>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1"/>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1"/>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1"/>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1"/>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1"/>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1"/>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1"/>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1"/>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1"/>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1"/>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1"/>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1"/>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1"/>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1"/>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1"/>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1"/>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1"/>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1"/>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1"/>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1"/>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1"/>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1"/>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1"/>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1"/>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1"/>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1"/>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1"/>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1"/>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1"/>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1"/>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1"/>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1"/>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1"/>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1"/>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1"/>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1"/>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1"/>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1"/>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1"/>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1"/>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1"/>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1"/>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1"/>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1"/>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1"/>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1"/>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1"/>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1"/>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1"/>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1"/>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1"/>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1"/>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1"/>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1"/>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1"/>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1"/>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1"/>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1"/>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1"/>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1"/>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1"/>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1"/>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1"/>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1"/>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1"/>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1"/>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1"/>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1"/>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1"/>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1"/>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1"/>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1"/>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1"/>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1"/>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1"/>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1"/>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1"/>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1"/>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1"/>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1"/>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1"/>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1"/>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1"/>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1"/>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1"/>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1"/>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1"/>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1"/>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1"/>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1"/>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1"/>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1"/>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1"/>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1"/>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1"/>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1"/>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1"/>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1"/>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1"/>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1"/>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1"/>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1"/>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1"/>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1"/>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1"/>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1"/>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1"/>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1"/>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1"/>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1"/>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1"/>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1"/>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1"/>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1"/>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1"/>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1"/>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1"/>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1"/>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1"/>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1"/>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1"/>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1"/>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1"/>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1"/>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1"/>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1"/>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1"/>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1"/>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1"/>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1"/>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1"/>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1"/>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1"/>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1"/>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1"/>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1"/>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1"/>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1"/>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1"/>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1"/>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1"/>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1"/>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1"/>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1"/>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1"/>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1"/>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1"/>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1"/>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1"/>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1"/>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1"/>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1"/>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1"/>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1"/>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1"/>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1"/>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1"/>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1"/>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1"/>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1"/>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1"/>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1"/>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1"/>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1"/>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1"/>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1"/>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1"/>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1"/>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1"/>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1"/>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1"/>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1"/>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1"/>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1"/>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1"/>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1"/>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1"/>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1"/>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1"/>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1"/>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1"/>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1"/>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1"/>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1"/>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1"/>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1"/>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1"/>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1"/>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1"/>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1"/>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1"/>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1"/>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1"/>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1"/>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1"/>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1"/>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1"/>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1"/>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1"/>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1"/>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1"/>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1"/>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1"/>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1"/>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1"/>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1"/>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1"/>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1"/>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1"/>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1"/>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1"/>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1"/>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1"/>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1"/>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1"/>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1"/>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1"/>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1"/>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1"/>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1"/>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1"/>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1"/>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1"/>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1"/>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1"/>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1"/>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1"/>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1"/>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1"/>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1"/>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1"/>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1"/>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1"/>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1"/>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1"/>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1"/>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1"/>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1"/>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1"/>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1"/>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1"/>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1"/>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1"/>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1"/>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1"/>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1"/>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1"/>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1"/>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1"/>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1"/>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1"/>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1"/>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1"/>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1"/>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1"/>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1"/>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1"/>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1"/>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1"/>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1"/>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1"/>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1"/>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1"/>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1"/>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1"/>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1"/>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1"/>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1"/>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1"/>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1"/>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1"/>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1"/>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1"/>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1"/>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1"/>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1"/>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1"/>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1"/>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1"/>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1"/>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1"/>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1"/>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1"/>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1"/>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1"/>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1"/>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1"/>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1"/>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1"/>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1"/>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1"/>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1"/>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1"/>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1"/>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1"/>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1"/>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9" t="s">
        <v>5350</v>
      </c>
      <c r="B1" s="179" t="s">
        <v>5351</v>
      </c>
      <c r="C1" s="179" t="s">
        <v>5352</v>
      </c>
      <c r="D1" s="179" t="s">
        <v>5353</v>
      </c>
      <c r="E1" s="179" t="s">
        <v>5354</v>
      </c>
      <c r="F1" s="179" t="s">
        <v>5355</v>
      </c>
      <c r="G1" s="179" t="s">
        <v>5356</v>
      </c>
      <c r="H1" s="179" t="s">
        <v>5357</v>
      </c>
      <c r="I1" s="179" t="s">
        <v>5358</v>
      </c>
      <c r="J1" s="179" t="s">
        <v>5359</v>
      </c>
      <c r="K1" s="179" t="s">
        <v>5360</v>
      </c>
      <c r="L1" s="179" t="s">
        <v>5361</v>
      </c>
      <c r="M1" s="179" t="s">
        <v>5362</v>
      </c>
      <c r="N1" s="179" t="s">
        <v>1921</v>
      </c>
      <c r="O1" s="179" t="s">
        <v>5363</v>
      </c>
      <c r="P1" s="179" t="s">
        <v>5364</v>
      </c>
      <c r="Q1" s="179" t="s">
        <v>5365</v>
      </c>
      <c r="R1" s="179" t="s">
        <v>5366</v>
      </c>
      <c r="S1" s="179" t="s">
        <v>5367</v>
      </c>
    </row>
    <row r="2">
      <c r="A2" s="100" t="s">
        <v>5368</v>
      </c>
      <c r="B2" s="100" t="s">
        <v>5369</v>
      </c>
      <c r="C2" s="100" t="s">
        <v>5370</v>
      </c>
      <c r="D2" s="100" t="s">
        <v>5371</v>
      </c>
      <c r="E2" s="100" t="s">
        <v>5372</v>
      </c>
      <c r="F2" s="100" t="s">
        <v>5373</v>
      </c>
      <c r="G2" s="100" t="s">
        <v>5374</v>
      </c>
      <c r="H2" s="100" t="s">
        <v>5375</v>
      </c>
      <c r="I2" s="100" t="s">
        <v>5376</v>
      </c>
      <c r="J2" s="100" t="s">
        <v>5377</v>
      </c>
      <c r="K2" s="100" t="s">
        <v>5378</v>
      </c>
      <c r="L2" s="100" t="s">
        <v>5379</v>
      </c>
      <c r="M2" s="100" t="s">
        <v>5380</v>
      </c>
      <c r="N2" s="100" t="s">
        <v>5381</v>
      </c>
      <c r="O2" s="100" t="s">
        <v>5382</v>
      </c>
      <c r="P2" s="100" t="s">
        <v>5383</v>
      </c>
      <c r="Q2" s="100" t="s">
        <v>5384</v>
      </c>
      <c r="R2" s="100" t="s">
        <v>5385</v>
      </c>
      <c r="S2" s="100" t="s">
        <v>5386</v>
      </c>
    </row>
    <row r="3">
      <c r="A3" s="100" t="s">
        <v>5387</v>
      </c>
      <c r="B3" s="100" t="s">
        <v>5369</v>
      </c>
      <c r="C3" s="100" t="s">
        <v>5388</v>
      </c>
      <c r="D3" s="100" t="s">
        <v>5389</v>
      </c>
      <c r="E3" s="100" t="s">
        <v>5390</v>
      </c>
      <c r="F3" s="100" t="s">
        <v>5391</v>
      </c>
      <c r="G3" s="100" t="s">
        <v>5392</v>
      </c>
      <c r="H3" s="100" t="s">
        <v>5393</v>
      </c>
      <c r="I3" s="100" t="s">
        <v>5394</v>
      </c>
      <c r="J3" s="100" t="s">
        <v>5395</v>
      </c>
      <c r="K3" s="100" t="s">
        <v>5396</v>
      </c>
      <c r="L3" s="100" t="s">
        <v>5397</v>
      </c>
      <c r="M3" s="100" t="s">
        <v>5398</v>
      </c>
      <c r="N3" s="100" t="s">
        <v>5399</v>
      </c>
      <c r="O3" s="100" t="s">
        <v>5400</v>
      </c>
      <c r="P3" s="100" t="s">
        <v>5401</v>
      </c>
      <c r="Q3" s="100" t="s">
        <v>5402</v>
      </c>
      <c r="R3" s="100" t="s">
        <v>5403</v>
      </c>
      <c r="S3" s="100" t="s">
        <v>5404</v>
      </c>
    </row>
    <row r="4">
      <c r="A4" s="100" t="s">
        <v>5405</v>
      </c>
      <c r="B4" s="100" t="s">
        <v>5369</v>
      </c>
      <c r="C4" s="100" t="s">
        <v>5370</v>
      </c>
      <c r="D4" s="100" t="s">
        <v>5406</v>
      </c>
      <c r="E4" s="100" t="s">
        <v>5407</v>
      </c>
      <c r="F4" s="100" t="s">
        <v>5408</v>
      </c>
      <c r="G4" s="100" t="s">
        <v>5409</v>
      </c>
      <c r="H4" s="100" t="s">
        <v>5410</v>
      </c>
      <c r="I4" s="100" t="s">
        <v>5411</v>
      </c>
      <c r="J4" s="100" t="s">
        <v>5412</v>
      </c>
      <c r="K4" s="100" t="s">
        <v>5413</v>
      </c>
      <c r="L4" s="100" t="s">
        <v>5414</v>
      </c>
      <c r="M4" s="100" t="s">
        <v>5415</v>
      </c>
      <c r="N4" s="100" t="s">
        <v>5416</v>
      </c>
      <c r="O4" s="100" t="s">
        <v>5417</v>
      </c>
      <c r="P4" s="100" t="s">
        <v>5418</v>
      </c>
      <c r="Q4" s="100" t="s">
        <v>5419</v>
      </c>
      <c r="R4" s="100" t="s">
        <v>5420</v>
      </c>
      <c r="S4" s="100" t="s">
        <v>5421</v>
      </c>
    </row>
    <row r="5">
      <c r="A5" s="100" t="s">
        <v>5422</v>
      </c>
      <c r="B5" s="100" t="s">
        <v>5423</v>
      </c>
      <c r="C5" s="100" t="s">
        <v>5424</v>
      </c>
      <c r="D5" s="100" t="s">
        <v>5425</v>
      </c>
      <c r="E5" s="100" t="s">
        <v>5426</v>
      </c>
      <c r="F5" s="100" t="s">
        <v>5427</v>
      </c>
      <c r="G5" s="100" t="s">
        <v>5428</v>
      </c>
      <c r="H5" s="100" t="s">
        <v>5429</v>
      </c>
      <c r="I5" s="100" t="s">
        <v>5430</v>
      </c>
      <c r="J5" s="100" t="s">
        <v>5431</v>
      </c>
      <c r="K5" s="100" t="s">
        <v>5432</v>
      </c>
      <c r="L5" s="100" t="s">
        <v>5433</v>
      </c>
      <c r="M5" s="100" t="s">
        <v>5434</v>
      </c>
      <c r="N5" s="100" t="s">
        <v>5435</v>
      </c>
      <c r="O5" s="100" t="s">
        <v>5436</v>
      </c>
      <c r="P5" s="100" t="s">
        <v>5437</v>
      </c>
      <c r="Q5" s="100" t="s">
        <v>5438</v>
      </c>
      <c r="R5" s="100" t="s">
        <v>5439</v>
      </c>
      <c r="S5" s="100" t="s">
        <v>5440</v>
      </c>
    </row>
    <row r="6">
      <c r="A6" s="100" t="s">
        <v>5441</v>
      </c>
      <c r="B6" s="100" t="s">
        <v>5369</v>
      </c>
      <c r="C6" s="100" t="s">
        <v>5370</v>
      </c>
      <c r="D6" s="100" t="s">
        <v>5442</v>
      </c>
      <c r="E6" s="100" t="s">
        <v>5443</v>
      </c>
      <c r="F6" s="100" t="s">
        <v>5444</v>
      </c>
      <c r="G6" s="100" t="s">
        <v>5445</v>
      </c>
      <c r="H6" s="100" t="s">
        <v>5446</v>
      </c>
      <c r="I6" s="100" t="s">
        <v>5447</v>
      </c>
      <c r="J6" s="100" t="s">
        <v>5448</v>
      </c>
      <c r="K6" s="100" t="s">
        <v>5449</v>
      </c>
      <c r="L6" s="100" t="s">
        <v>5450</v>
      </c>
      <c r="M6" s="100" t="s">
        <v>5451</v>
      </c>
      <c r="N6" s="100" t="s">
        <v>5452</v>
      </c>
      <c r="O6" s="100" t="s">
        <v>5453</v>
      </c>
      <c r="P6" s="100" t="s">
        <v>5454</v>
      </c>
      <c r="Q6" s="100" t="s">
        <v>5455</v>
      </c>
      <c r="R6" s="100" t="s">
        <v>5456</v>
      </c>
      <c r="S6" s="100" t="s">
        <v>5457</v>
      </c>
    </row>
    <row r="7">
      <c r="A7" s="100" t="s">
        <v>5458</v>
      </c>
      <c r="B7" s="100" t="s">
        <v>5459</v>
      </c>
      <c r="C7" s="100" t="s">
        <v>5370</v>
      </c>
      <c r="D7" s="100" t="s">
        <v>5460</v>
      </c>
      <c r="E7" s="100" t="s">
        <v>5461</v>
      </c>
      <c r="F7" s="100" t="s">
        <v>5462</v>
      </c>
      <c r="G7" s="100" t="s">
        <v>5463</v>
      </c>
      <c r="H7" s="100" t="s">
        <v>5464</v>
      </c>
      <c r="I7" s="100" t="s">
        <v>5465</v>
      </c>
      <c r="J7" s="100" t="s">
        <v>5466</v>
      </c>
      <c r="K7" s="100" t="s">
        <v>5467</v>
      </c>
      <c r="L7" s="100" t="s">
        <v>5468</v>
      </c>
      <c r="M7" s="100" t="s">
        <v>5469</v>
      </c>
      <c r="N7" s="100" t="s">
        <v>5470</v>
      </c>
      <c r="O7" s="100" t="s">
        <v>5471</v>
      </c>
      <c r="P7" s="100" t="s">
        <v>5472</v>
      </c>
      <c r="Q7" s="100" t="s">
        <v>5473</v>
      </c>
      <c r="R7" s="100" t="s">
        <v>5474</v>
      </c>
      <c r="S7" s="100" t="s">
        <v>5475</v>
      </c>
    </row>
    <row r="8">
      <c r="A8" s="100" t="s">
        <v>5476</v>
      </c>
      <c r="B8" s="100" t="s">
        <v>5423</v>
      </c>
      <c r="C8" s="100" t="s">
        <v>5388</v>
      </c>
      <c r="D8" s="100" t="s">
        <v>5477</v>
      </c>
      <c r="E8" s="100" t="s">
        <v>5478</v>
      </c>
      <c r="F8" s="100" t="s">
        <v>5479</v>
      </c>
      <c r="G8" s="100" t="s">
        <v>5480</v>
      </c>
      <c r="H8" s="100" t="s">
        <v>5481</v>
      </c>
      <c r="I8" s="100" t="s">
        <v>5482</v>
      </c>
      <c r="J8" s="100" t="s">
        <v>5483</v>
      </c>
      <c r="K8" s="100" t="s">
        <v>5484</v>
      </c>
      <c r="L8" s="100" t="s">
        <v>5485</v>
      </c>
      <c r="M8" s="100" t="s">
        <v>5486</v>
      </c>
      <c r="N8" s="100" t="s">
        <v>5487</v>
      </c>
      <c r="O8" s="100" t="s">
        <v>5488</v>
      </c>
      <c r="P8" s="100" t="s">
        <v>5489</v>
      </c>
      <c r="Q8" s="100" t="s">
        <v>5490</v>
      </c>
      <c r="R8" s="100" t="s">
        <v>5491</v>
      </c>
      <c r="S8" s="100" t="s">
        <v>5492</v>
      </c>
    </row>
    <row r="9">
      <c r="A9" s="100" t="s">
        <v>1263</v>
      </c>
      <c r="B9" s="100" t="s">
        <v>5369</v>
      </c>
      <c r="C9" s="100" t="s">
        <v>5370</v>
      </c>
      <c r="D9" s="100" t="s">
        <v>5493</v>
      </c>
      <c r="E9" s="100" t="s">
        <v>5494</v>
      </c>
      <c r="F9" s="100" t="s">
        <v>5495</v>
      </c>
      <c r="G9" s="100" t="s">
        <v>5496</v>
      </c>
      <c r="H9" s="100" t="s">
        <v>5497</v>
      </c>
      <c r="I9" s="100" t="s">
        <v>5498</v>
      </c>
      <c r="J9" s="100" t="s">
        <v>5499</v>
      </c>
      <c r="K9" s="100" t="s">
        <v>5500</v>
      </c>
      <c r="L9" s="100" t="s">
        <v>5501</v>
      </c>
      <c r="M9" s="100" t="s">
        <v>5502</v>
      </c>
      <c r="N9" s="100" t="s">
        <v>5503</v>
      </c>
      <c r="O9" s="100" t="s">
        <v>5504</v>
      </c>
      <c r="P9" s="100" t="s">
        <v>5505</v>
      </c>
      <c r="Q9" s="100" t="s">
        <v>5506</v>
      </c>
      <c r="R9" s="100" t="s">
        <v>5507</v>
      </c>
      <c r="S9" s="100" t="s">
        <v>5508</v>
      </c>
    </row>
    <row r="10">
      <c r="A10" s="100" t="s">
        <v>5509</v>
      </c>
      <c r="B10" s="100" t="s">
        <v>5423</v>
      </c>
      <c r="C10" s="100" t="s">
        <v>5424</v>
      </c>
      <c r="D10" s="100" t="s">
        <v>5510</v>
      </c>
      <c r="E10" s="100" t="s">
        <v>5511</v>
      </c>
      <c r="F10" s="100" t="s">
        <v>5512</v>
      </c>
      <c r="G10" s="100" t="s">
        <v>5513</v>
      </c>
      <c r="H10" s="100" t="s">
        <v>5514</v>
      </c>
      <c r="I10" s="100" t="s">
        <v>5515</v>
      </c>
      <c r="J10" s="100" t="s">
        <v>5516</v>
      </c>
      <c r="K10" s="100" t="s">
        <v>5517</v>
      </c>
      <c r="L10" s="100" t="s">
        <v>5518</v>
      </c>
      <c r="M10" s="100" t="s">
        <v>5519</v>
      </c>
      <c r="N10" s="100" t="s">
        <v>5520</v>
      </c>
      <c r="O10" s="100" t="s">
        <v>5521</v>
      </c>
      <c r="P10" s="100" t="s">
        <v>5522</v>
      </c>
      <c r="Q10" s="100" t="s">
        <v>5523</v>
      </c>
      <c r="R10" s="100" t="s">
        <v>5524</v>
      </c>
      <c r="S10" s="100" t="s">
        <v>5525</v>
      </c>
    </row>
    <row r="11">
      <c r="A11" s="100" t="s">
        <v>3291</v>
      </c>
      <c r="B11" s="100" t="s">
        <v>5423</v>
      </c>
      <c r="C11" s="100" t="s">
        <v>5424</v>
      </c>
      <c r="D11" s="100" t="s">
        <v>5526</v>
      </c>
      <c r="E11" s="100" t="s">
        <v>5527</v>
      </c>
      <c r="F11" s="100" t="s">
        <v>5528</v>
      </c>
      <c r="G11" s="100" t="s">
        <v>5529</v>
      </c>
      <c r="H11" s="100" t="s">
        <v>5530</v>
      </c>
      <c r="I11" s="100" t="s">
        <v>5531</v>
      </c>
      <c r="J11" s="100" t="s">
        <v>5532</v>
      </c>
      <c r="K11" s="100" t="s">
        <v>5533</v>
      </c>
      <c r="L11" s="100" t="s">
        <v>5534</v>
      </c>
      <c r="M11" s="100" t="s">
        <v>5535</v>
      </c>
      <c r="N11" s="100" t="s">
        <v>5536</v>
      </c>
      <c r="O11" s="100" t="s">
        <v>5537</v>
      </c>
      <c r="P11" s="100" t="s">
        <v>5538</v>
      </c>
      <c r="Q11" s="100" t="s">
        <v>5539</v>
      </c>
      <c r="R11" s="100" t="s">
        <v>5540</v>
      </c>
      <c r="S11" s="100" t="s">
        <v>5541</v>
      </c>
    </row>
    <row r="12">
      <c r="A12" s="103" t="s">
        <v>5542</v>
      </c>
      <c r="B12" s="103" t="s">
        <v>5543</v>
      </c>
      <c r="C12" s="103" t="s">
        <v>5544</v>
      </c>
      <c r="D12" s="103" t="s">
        <v>5545</v>
      </c>
      <c r="E12" s="100" t="s">
        <v>5546</v>
      </c>
      <c r="F12" s="100" t="s">
        <v>5547</v>
      </c>
      <c r="G12" s="103" t="s">
        <v>5548</v>
      </c>
      <c r="H12" s="100" t="s">
        <v>5549</v>
      </c>
      <c r="I12" s="103" t="s">
        <v>5550</v>
      </c>
      <c r="J12" s="100" t="s">
        <v>5551</v>
      </c>
      <c r="K12" s="103" t="s">
        <v>5552</v>
      </c>
      <c r="L12" s="103" t="s">
        <v>5553</v>
      </c>
      <c r="M12" s="100" t="s">
        <v>5554</v>
      </c>
      <c r="N12" s="100" t="s">
        <v>5555</v>
      </c>
      <c r="O12" s="103" t="s">
        <v>5556</v>
      </c>
      <c r="P12" s="100" t="s">
        <v>5557</v>
      </c>
      <c r="Q12" s="100" t="s">
        <v>5558</v>
      </c>
      <c r="R12" s="100" t="s">
        <v>5559</v>
      </c>
      <c r="S12" s="103" t="s">
        <v>5560</v>
      </c>
    </row>
    <row r="13">
      <c r="A13" s="103" t="s">
        <v>5561</v>
      </c>
      <c r="B13" s="103" t="s">
        <v>5562</v>
      </c>
      <c r="C13" s="103" t="s">
        <v>5544</v>
      </c>
      <c r="D13" s="100" t="s">
        <v>5563</v>
      </c>
      <c r="E13" s="103" t="s">
        <v>5564</v>
      </c>
      <c r="F13" s="100" t="s">
        <v>5565</v>
      </c>
      <c r="G13" s="100" t="s">
        <v>5566</v>
      </c>
      <c r="H13" s="100" t="s">
        <v>5567</v>
      </c>
      <c r="I13" s="100" t="s">
        <v>5568</v>
      </c>
      <c r="J13" s="103" t="s">
        <v>5569</v>
      </c>
      <c r="K13" s="100" t="s">
        <v>5570</v>
      </c>
      <c r="L13" s="103" t="s">
        <v>5571</v>
      </c>
      <c r="M13" s="100" t="s">
        <v>5572</v>
      </c>
      <c r="N13" s="100" t="s">
        <v>5573</v>
      </c>
      <c r="O13" s="100" t="s">
        <v>5574</v>
      </c>
      <c r="P13" s="100" t="s">
        <v>5575</v>
      </c>
      <c r="Q13" s="100" t="s">
        <v>5576</v>
      </c>
      <c r="R13" s="100" t="s">
        <v>5577</v>
      </c>
      <c r="S13" s="100" t="s">
        <v>5578</v>
      </c>
    </row>
    <row r="14">
      <c r="A14" s="103" t="s">
        <v>5579</v>
      </c>
      <c r="B14" s="103" t="s">
        <v>5369</v>
      </c>
      <c r="C14" s="103" t="s">
        <v>5424</v>
      </c>
      <c r="D14" s="103" t="s">
        <v>5580</v>
      </c>
      <c r="E14" s="103" t="s">
        <v>5581</v>
      </c>
      <c r="F14" s="103" t="s">
        <v>5582</v>
      </c>
      <c r="G14" s="103" t="s">
        <v>5583</v>
      </c>
      <c r="H14" s="103" t="s">
        <v>5584</v>
      </c>
      <c r="I14" s="103" t="s">
        <v>5585</v>
      </c>
      <c r="J14" s="103" t="s">
        <v>5586</v>
      </c>
      <c r="K14" s="103" t="s">
        <v>5587</v>
      </c>
      <c r="L14" s="103" t="s">
        <v>5588</v>
      </c>
      <c r="M14" s="103" t="s">
        <v>5589</v>
      </c>
      <c r="N14" s="103" t="s">
        <v>5590</v>
      </c>
      <c r="O14" s="103" t="s">
        <v>5591</v>
      </c>
      <c r="P14" s="103" t="s">
        <v>5592</v>
      </c>
      <c r="Q14" s="103" t="s">
        <v>5593</v>
      </c>
      <c r="R14" s="103" t="s">
        <v>5594</v>
      </c>
      <c r="S14" s="103" t="s">
        <v>5595</v>
      </c>
    </row>
    <row r="15">
      <c r="A15" s="103" t="s">
        <v>5596</v>
      </c>
      <c r="B15" s="103" t="s">
        <v>5543</v>
      </c>
      <c r="C15" s="103" t="s">
        <v>5597</v>
      </c>
      <c r="D15" s="103" t="s">
        <v>5598</v>
      </c>
      <c r="E15" s="103" t="s">
        <v>5599</v>
      </c>
      <c r="F15" s="103" t="s">
        <v>5600</v>
      </c>
      <c r="G15" s="103" t="s">
        <v>5601</v>
      </c>
      <c r="H15" s="103" t="s">
        <v>5602</v>
      </c>
      <c r="I15" s="103" t="s">
        <v>5603</v>
      </c>
      <c r="J15" s="103" t="s">
        <v>5604</v>
      </c>
      <c r="K15" s="103" t="s">
        <v>5605</v>
      </c>
      <c r="L15" s="103" t="s">
        <v>5606</v>
      </c>
      <c r="M15" s="103" t="s">
        <v>5607</v>
      </c>
      <c r="N15" s="100" t="s">
        <v>5608</v>
      </c>
      <c r="O15" s="100" t="s">
        <v>5609</v>
      </c>
      <c r="P15" s="103" t="s">
        <v>5610</v>
      </c>
      <c r="Q15" s="103" t="s">
        <v>5611</v>
      </c>
      <c r="R15" s="103" t="s">
        <v>5612</v>
      </c>
      <c r="S15" s="103" t="s">
        <v>5613</v>
      </c>
    </row>
    <row r="16">
      <c r="A16" s="103" t="s">
        <v>5614</v>
      </c>
      <c r="B16" s="103" t="s">
        <v>5615</v>
      </c>
      <c r="C16" s="103" t="s">
        <v>5616</v>
      </c>
      <c r="D16" s="103" t="s">
        <v>5617</v>
      </c>
      <c r="E16" s="103" t="s">
        <v>5618</v>
      </c>
      <c r="F16" s="103" t="s">
        <v>5619</v>
      </c>
      <c r="G16" s="103" t="s">
        <v>5620</v>
      </c>
      <c r="H16" s="100" t="s">
        <v>5621</v>
      </c>
      <c r="I16" s="103" t="s">
        <v>5622</v>
      </c>
      <c r="J16" s="103" t="s">
        <v>5623</v>
      </c>
      <c r="K16" s="103" t="s">
        <v>5624</v>
      </c>
      <c r="L16" s="103" t="s">
        <v>5625</v>
      </c>
      <c r="M16" s="103" t="s">
        <v>5626</v>
      </c>
      <c r="N16" s="100" t="s">
        <v>5627</v>
      </c>
      <c r="O16" s="100" t="s">
        <v>5628</v>
      </c>
      <c r="P16" s="103" t="s">
        <v>5629</v>
      </c>
      <c r="Q16" s="103" t="s">
        <v>5630</v>
      </c>
      <c r="R16" s="103" t="s">
        <v>5631</v>
      </c>
      <c r="S16" s="103" t="s">
        <v>5632</v>
      </c>
    </row>
    <row r="17">
      <c r="A17" s="103" t="s">
        <v>5633</v>
      </c>
      <c r="B17" s="103" t="s">
        <v>5423</v>
      </c>
      <c r="C17" s="103" t="s">
        <v>5544</v>
      </c>
      <c r="D17" s="100" t="s">
        <v>5634</v>
      </c>
      <c r="E17" s="103" t="s">
        <v>5635</v>
      </c>
      <c r="F17" s="100" t="s">
        <v>5636</v>
      </c>
      <c r="G17" s="100" t="s">
        <v>5637</v>
      </c>
      <c r="H17" s="100" t="s">
        <v>5638</v>
      </c>
      <c r="I17" s="103" t="s">
        <v>5639</v>
      </c>
      <c r="J17" s="100" t="s">
        <v>5640</v>
      </c>
      <c r="K17" s="100" t="s">
        <v>5641</v>
      </c>
      <c r="L17" s="100" t="s">
        <v>5642</v>
      </c>
      <c r="M17" s="100" t="s">
        <v>5643</v>
      </c>
      <c r="N17" s="100" t="s">
        <v>5644</v>
      </c>
      <c r="O17" s="103" t="s">
        <v>5645</v>
      </c>
      <c r="P17" s="103" t="s">
        <v>5646</v>
      </c>
      <c r="Q17" s="100" t="s">
        <v>5647</v>
      </c>
      <c r="R17" s="100" t="s">
        <v>5648</v>
      </c>
      <c r="S17" s="100" t="s">
        <v>5649</v>
      </c>
    </row>
    <row r="18">
      <c r="A18" s="103" t="s">
        <v>5650</v>
      </c>
      <c r="B18" s="103" t="s">
        <v>5459</v>
      </c>
      <c r="C18" s="103" t="s">
        <v>5388</v>
      </c>
      <c r="D18" s="103" t="s">
        <v>5651</v>
      </c>
      <c r="E18" s="103" t="s">
        <v>5652</v>
      </c>
      <c r="F18" s="103" t="s">
        <v>5653</v>
      </c>
      <c r="G18" s="103" t="s">
        <v>5654</v>
      </c>
      <c r="H18" s="103" t="s">
        <v>5655</v>
      </c>
      <c r="I18" s="103" t="s">
        <v>5656</v>
      </c>
      <c r="J18" s="103" t="s">
        <v>5657</v>
      </c>
      <c r="K18" s="103" t="s">
        <v>5658</v>
      </c>
      <c r="L18" s="103" t="s">
        <v>5659</v>
      </c>
      <c r="M18" s="103" t="s">
        <v>5660</v>
      </c>
      <c r="N18" s="103" t="s">
        <v>5661</v>
      </c>
      <c r="O18" s="100" t="s">
        <v>5662</v>
      </c>
      <c r="P18" s="103" t="s">
        <v>5663</v>
      </c>
      <c r="Q18" s="103" t="s">
        <v>5664</v>
      </c>
      <c r="R18" s="100" t="s">
        <v>5665</v>
      </c>
      <c r="S18" s="103" t="s">
        <v>5666</v>
      </c>
    </row>
    <row r="19">
      <c r="A19" s="103" t="s">
        <v>5667</v>
      </c>
      <c r="B19" s="103" t="s">
        <v>5369</v>
      </c>
      <c r="C19" s="103" t="s">
        <v>4923</v>
      </c>
      <c r="D19" s="103" t="s">
        <v>5668</v>
      </c>
      <c r="E19" s="103" t="s">
        <v>5669</v>
      </c>
      <c r="F19" s="103" t="s">
        <v>5670</v>
      </c>
      <c r="G19" s="103" t="s">
        <v>5671</v>
      </c>
      <c r="H19" s="103" t="s">
        <v>5672</v>
      </c>
      <c r="I19" s="103" t="s">
        <v>5673</v>
      </c>
      <c r="J19" s="103" t="s">
        <v>5674</v>
      </c>
      <c r="K19" s="103" t="s">
        <v>5675</v>
      </c>
      <c r="L19" s="103" t="s">
        <v>5676</v>
      </c>
      <c r="M19" s="103" t="s">
        <v>5677</v>
      </c>
      <c r="N19" s="100" t="s">
        <v>5678</v>
      </c>
      <c r="O19" s="103" t="s">
        <v>5679</v>
      </c>
      <c r="P19" s="103" t="s">
        <v>5680</v>
      </c>
      <c r="Q19" s="103" t="s">
        <v>5681</v>
      </c>
      <c r="R19" s="103" t="s">
        <v>5682</v>
      </c>
      <c r="S19" s="103" t="s">
        <v>5683</v>
      </c>
    </row>
  </sheetData>
  <drawing r:id="rId1"/>
</worksheet>
</file>