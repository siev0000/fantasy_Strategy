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<sst xmlns="http://schemas.openxmlformats.org/spreadsheetml/2006/main" count="17941" uniqueCount="5792">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</sst>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41">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row>
    <row r="2" ht="13.5" customHeight="1">
      <c r="A2" s="37" t="s">
        <v>4576</v>
      </c>
      <c r="B2" s="37" t="s">
        <v>4577</v>
      </c>
      <c r="C2" s="64" t="s">
        <v>4578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4579</v>
      </c>
      <c r="BA2" s="37" t="s">
        <v>4580</v>
      </c>
      <c r="BB2" s="37">
        <v>1.0</v>
      </c>
      <c r="BC2" s="41">
        <v>0.0</v>
      </c>
      <c r="BD2" s="37">
        <v>2.0</v>
      </c>
      <c r="BE2" s="37" t="s">
        <v>4576</v>
      </c>
      <c r="BF2" s="37">
        <v>60.0</v>
      </c>
      <c r="BG2" s="37">
        <v>20.0</v>
      </c>
      <c r="BH2" s="37">
        <v>1.0</v>
      </c>
      <c r="BI2" s="39" t="s">
        <v>4581</v>
      </c>
      <c r="BJ2" s="39"/>
      <c r="BK2" s="39"/>
      <c r="BL2" s="39"/>
      <c r="BM2" s="39"/>
      <c r="BN2" s="158"/>
      <c r="BO2" s="158"/>
      <c r="BP2" s="158"/>
      <c r="BQ2" s="158"/>
      <c r="BR2" s="158"/>
      <c r="BS2" s="158" t="s">
        <v>4582</v>
      </c>
      <c r="BT2" s="158">
        <v>100.0</v>
      </c>
      <c r="BU2" s="158"/>
      <c r="BV2" s="158"/>
      <c r="BW2" s="158"/>
      <c r="BX2" s="158"/>
      <c r="BY2" s="158"/>
      <c r="BZ2" s="158"/>
      <c r="CA2" s="158"/>
      <c r="CB2" s="158"/>
      <c r="CC2" s="158"/>
      <c r="CD2" s="158"/>
      <c r="CE2" s="158"/>
    </row>
    <row r="3" ht="13.5" customHeight="1">
      <c r="A3" s="37" t="s">
        <v>4583</v>
      </c>
      <c r="B3" s="37" t="s">
        <v>4584</v>
      </c>
      <c r="C3" s="64" t="s">
        <v>4585</v>
      </c>
      <c r="D3" s="37" t="s">
        <v>4576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4579</v>
      </c>
      <c r="BA3" s="37" t="s">
        <v>4586</v>
      </c>
      <c r="BB3" s="37">
        <v>2.0</v>
      </c>
      <c r="BC3" s="37">
        <v>125.0</v>
      </c>
      <c r="BD3" s="37">
        <v>4.0</v>
      </c>
      <c r="BE3" s="37" t="s">
        <v>4583</v>
      </c>
      <c r="BF3" s="37">
        <v>57.0</v>
      </c>
      <c r="BG3" s="37">
        <v>50.0</v>
      </c>
      <c r="BH3" s="37">
        <v>2.0</v>
      </c>
      <c r="BI3" s="39" t="s">
        <v>4581</v>
      </c>
      <c r="BJ3" s="41" t="s">
        <v>4576</v>
      </c>
      <c r="BK3" s="39"/>
      <c r="BL3" s="39"/>
      <c r="BM3" s="64">
        <v>4.0</v>
      </c>
      <c r="BN3" s="158"/>
      <c r="BO3" s="158"/>
      <c r="BP3" s="158"/>
      <c r="BQ3" s="158"/>
      <c r="BR3" s="163" t="s">
        <v>4587</v>
      </c>
      <c r="BS3" s="158" t="s">
        <v>4582</v>
      </c>
      <c r="BT3" s="158">
        <v>50.0</v>
      </c>
      <c r="BU3" s="158"/>
      <c r="BV3" s="158"/>
      <c r="BW3" s="158"/>
      <c r="BX3" s="158"/>
      <c r="BY3" s="158"/>
      <c r="BZ3" s="158"/>
      <c r="CA3" s="158"/>
      <c r="CB3" s="158"/>
      <c r="CC3" s="158"/>
      <c r="CD3" s="158"/>
      <c r="CE3" s="158"/>
    </row>
    <row r="4" ht="13.5" customHeight="1">
      <c r="A4" s="37" t="s">
        <v>4588</v>
      </c>
      <c r="B4" s="37" t="s">
        <v>4589</v>
      </c>
      <c r="C4" s="64" t="s">
        <v>4590</v>
      </c>
      <c r="D4" s="37" t="s">
        <v>4583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4579</v>
      </c>
      <c r="BA4" s="37" t="s">
        <v>4591</v>
      </c>
      <c r="BB4" s="37">
        <v>3.0</v>
      </c>
      <c r="BC4" s="37">
        <v>260.0</v>
      </c>
      <c r="BD4" s="37">
        <v>7.0</v>
      </c>
      <c r="BE4" s="37" t="s">
        <v>4588</v>
      </c>
      <c r="BF4" s="37">
        <v>66.0</v>
      </c>
      <c r="BG4" s="37">
        <v>100.0</v>
      </c>
      <c r="BH4" s="37">
        <v>3.0</v>
      </c>
      <c r="BI4" s="39" t="s">
        <v>4581</v>
      </c>
      <c r="BJ4" s="41" t="s">
        <v>4583</v>
      </c>
      <c r="BK4" s="39"/>
      <c r="BL4" s="39"/>
      <c r="BM4" s="64">
        <v>8.0</v>
      </c>
      <c r="BN4" s="158"/>
      <c r="BO4" s="158"/>
      <c r="BP4" s="158"/>
      <c r="BQ4" s="158"/>
      <c r="BR4" s="163" t="s">
        <v>4592</v>
      </c>
      <c r="BS4" s="158" t="s">
        <v>4582</v>
      </c>
      <c r="BT4" s="158">
        <v>40.0</v>
      </c>
      <c r="BU4" s="158"/>
      <c r="BV4" s="158"/>
      <c r="BW4" s="158"/>
      <c r="BX4" s="158"/>
      <c r="BY4" s="158"/>
      <c r="BZ4" s="158"/>
      <c r="CA4" s="158"/>
      <c r="CB4" s="158"/>
      <c r="CC4" s="158"/>
      <c r="CD4" s="158"/>
      <c r="CE4" s="158"/>
    </row>
    <row r="5" ht="13.5" customHeight="1">
      <c r="A5" s="37" t="s">
        <v>4593</v>
      </c>
      <c r="B5" s="37" t="s">
        <v>4594</v>
      </c>
      <c r="C5" s="64" t="s">
        <v>4595</v>
      </c>
      <c r="D5" s="37" t="s">
        <v>4588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4579</v>
      </c>
      <c r="BA5" s="37" t="s">
        <v>4596</v>
      </c>
      <c r="BB5" s="37">
        <v>4.0</v>
      </c>
      <c r="BC5" s="37">
        <v>420.0</v>
      </c>
      <c r="BD5" s="37">
        <v>10.0</v>
      </c>
      <c r="BE5" s="37" t="s">
        <v>4593</v>
      </c>
      <c r="BF5" s="37">
        <v>78.0</v>
      </c>
      <c r="BG5" s="37">
        <v>150.0</v>
      </c>
      <c r="BH5" s="37">
        <v>7.0</v>
      </c>
      <c r="BI5" s="39" t="s">
        <v>4581</v>
      </c>
      <c r="BJ5" s="41" t="s">
        <v>4588</v>
      </c>
      <c r="BK5" s="39"/>
      <c r="BL5" s="39"/>
      <c r="BM5" s="64">
        <v>16.0</v>
      </c>
      <c r="BN5" s="158"/>
      <c r="BO5" s="158"/>
      <c r="BP5" s="158"/>
      <c r="BQ5" s="158"/>
      <c r="BR5" s="163" t="s">
        <v>4597</v>
      </c>
      <c r="BS5" s="158" t="s">
        <v>4582</v>
      </c>
      <c r="BT5" s="158">
        <v>30.0</v>
      </c>
      <c r="BU5" s="158"/>
      <c r="BV5" s="158"/>
      <c r="BW5" s="158"/>
      <c r="BX5" s="158"/>
      <c r="BY5" s="158"/>
      <c r="BZ5" s="158"/>
      <c r="CA5" s="158"/>
      <c r="CB5" s="158"/>
      <c r="CC5" s="158"/>
      <c r="CD5" s="158"/>
      <c r="CE5" s="158"/>
    </row>
    <row r="6" ht="18.75" customHeight="1">
      <c r="A6" s="37" t="s">
        <v>4598</v>
      </c>
      <c r="B6" s="37" t="s">
        <v>4577</v>
      </c>
      <c r="C6" s="64" t="s">
        <v>4599</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4581</v>
      </c>
      <c r="BJ6" s="39"/>
      <c r="BK6" s="39"/>
      <c r="BL6" s="39"/>
      <c r="BM6" s="39"/>
      <c r="BN6" s="158" t="s">
        <v>4600</v>
      </c>
      <c r="BO6" s="158" t="s">
        <v>4601</v>
      </c>
      <c r="BP6" s="158">
        <v>0.0</v>
      </c>
      <c r="BQ6" s="158"/>
      <c r="BR6" s="163" t="s">
        <v>4576</v>
      </c>
      <c r="BS6" s="158" t="s">
        <v>4602</v>
      </c>
      <c r="BT6" s="158">
        <v>85.0</v>
      </c>
      <c r="BU6" s="158"/>
      <c r="BV6" s="158"/>
      <c r="BW6" s="158"/>
      <c r="BX6" s="158"/>
      <c r="BY6" s="158"/>
      <c r="BZ6" s="158"/>
      <c r="CA6" s="158"/>
      <c r="CB6" s="158"/>
      <c r="CC6" s="158"/>
      <c r="CD6" s="158"/>
      <c r="CE6" s="158"/>
    </row>
    <row r="7" ht="18.75" customHeight="1">
      <c r="A7" s="37" t="s">
        <v>4603</v>
      </c>
      <c r="B7" s="37" t="s">
        <v>4577</v>
      </c>
      <c r="C7" s="64" t="s">
        <v>4604</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4581</v>
      </c>
      <c r="BJ7" s="39"/>
      <c r="BK7" s="39"/>
      <c r="BL7" s="39"/>
      <c r="BM7" s="39"/>
      <c r="BN7" s="158"/>
      <c r="BO7" s="158"/>
      <c r="BP7" s="158"/>
      <c r="BQ7" s="158"/>
      <c r="BR7" s="163" t="s">
        <v>4605</v>
      </c>
      <c r="BS7" s="158" t="s">
        <v>4606</v>
      </c>
      <c r="BT7" s="158">
        <v>50.0</v>
      </c>
      <c r="BU7" s="158"/>
      <c r="BV7" s="158"/>
      <c r="BW7" s="158"/>
      <c r="BX7" s="158"/>
      <c r="BY7" s="158"/>
      <c r="BZ7" s="158"/>
      <c r="CA7" s="158"/>
      <c r="CB7" s="158"/>
      <c r="CC7" s="158"/>
      <c r="CD7" s="158"/>
      <c r="CE7" s="158"/>
    </row>
    <row r="8" ht="18.75" customHeight="1">
      <c r="A8" s="37" t="s">
        <v>4607</v>
      </c>
      <c r="B8" s="37" t="s">
        <v>4577</v>
      </c>
      <c r="C8" s="64" t="s">
        <v>4608</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4581</v>
      </c>
      <c r="BJ8" s="39"/>
      <c r="BK8" s="39"/>
      <c r="BL8" s="39"/>
      <c r="BM8" s="39"/>
      <c r="BN8" s="158"/>
      <c r="BO8" s="158"/>
      <c r="BP8" s="158"/>
      <c r="BQ8" s="158"/>
      <c r="BR8" s="163" t="s">
        <v>4598</v>
      </c>
      <c r="BS8" s="158" t="s">
        <v>4602</v>
      </c>
      <c r="BT8" s="158">
        <v>65.0</v>
      </c>
      <c r="BU8" s="158"/>
      <c r="BV8" s="158"/>
      <c r="BW8" s="158"/>
      <c r="BX8" s="158"/>
      <c r="BY8" s="158"/>
      <c r="BZ8" s="158"/>
      <c r="CA8" s="158"/>
      <c r="CB8" s="158"/>
      <c r="CC8" s="158"/>
      <c r="CD8" s="158"/>
      <c r="CE8" s="158"/>
    </row>
    <row r="9" ht="18.75" customHeight="1">
      <c r="A9" s="37" t="s">
        <v>4609</v>
      </c>
      <c r="B9" s="37" t="s">
        <v>4577</v>
      </c>
      <c r="C9" s="64" t="s">
        <v>4610</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4581</v>
      </c>
      <c r="BJ9" s="39"/>
      <c r="BK9" s="39"/>
      <c r="BL9" s="39"/>
      <c r="BM9" s="39"/>
      <c r="BN9" s="158"/>
      <c r="BO9" s="158"/>
      <c r="BP9" s="158"/>
      <c r="BQ9" s="158"/>
      <c r="BR9" s="163" t="s">
        <v>4576</v>
      </c>
      <c r="BS9" s="158" t="s">
        <v>4611</v>
      </c>
      <c r="BT9" s="158">
        <v>70.0</v>
      </c>
      <c r="BU9" s="158"/>
      <c r="BV9" s="158"/>
      <c r="BW9" s="158"/>
      <c r="BX9" s="158"/>
      <c r="BY9" s="158"/>
      <c r="BZ9" s="158"/>
      <c r="CA9" s="158"/>
      <c r="CB9" s="158"/>
      <c r="CC9" s="158"/>
      <c r="CD9" s="158"/>
      <c r="CE9" s="158"/>
    </row>
    <row r="10" ht="18.75" customHeight="1">
      <c r="A10" s="37" t="s">
        <v>4612</v>
      </c>
      <c r="B10" s="37" t="s">
        <v>4577</v>
      </c>
      <c r="C10" s="64" t="s">
        <v>4613</v>
      </c>
      <c r="D10" s="39"/>
      <c r="E10" s="64">
        <v>6.0</v>
      </c>
      <c r="F10" s="64"/>
      <c r="G10" s="64" t="s">
        <v>4614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4581</v>
      </c>
      <c r="BJ10" s="39"/>
      <c r="BK10" s="39"/>
      <c r="BL10" s="39"/>
      <c r="BM10" s="39"/>
      <c r="BN10" s="158"/>
      <c r="BO10" s="158"/>
      <c r="BP10" s="158"/>
      <c r="BQ10" s="158"/>
      <c r="BR10" s="163" t="s">
        <v>4576</v>
      </c>
      <c r="BS10" s="158" t="s">
        <v>4602</v>
      </c>
      <c r="BT10" s="158">
        <v>75.0</v>
      </c>
      <c r="BU10" s="158"/>
      <c r="BV10" s="158"/>
      <c r="BW10" s="158"/>
      <c r="BX10" s="158"/>
      <c r="BY10" s="158"/>
      <c r="BZ10" s="158"/>
      <c r="CA10" s="158"/>
      <c r="CB10" s="158"/>
      <c r="CC10" s="158"/>
      <c r="CD10" s="158"/>
      <c r="CE10" s="158"/>
    </row>
    <row r="11" ht="18.75" customHeight="1">
      <c r="A11" s="37" t="s">
        <v>4615</v>
      </c>
      <c r="B11" s="37" t="s">
        <v>4577</v>
      </c>
      <c r="C11" s="64"/>
      <c r="D11" s="39"/>
      <c r="E11" s="64">
        <v>6.0</v>
      </c>
      <c r="F11" s="64"/>
      <c r="G11" s="64" t="s">
        <v>4614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4581</v>
      </c>
      <c r="BJ11" s="39"/>
      <c r="BK11" s="39"/>
      <c r="BL11" s="39"/>
      <c r="BM11" s="39"/>
      <c r="BN11" s="158"/>
      <c r="BO11" s="158"/>
      <c r="BP11" s="158"/>
      <c r="BQ11" s="158"/>
      <c r="BR11" s="163" t="s">
        <v>4616</v>
      </c>
      <c r="BS11" s="158" t="s">
        <v>4602</v>
      </c>
      <c r="BT11" s="158">
        <v>55.0</v>
      </c>
      <c r="BU11" s="158"/>
      <c r="BV11" s="158"/>
      <c r="BW11" s="158"/>
      <c r="BX11" s="158"/>
      <c r="BY11" s="158"/>
      <c r="BZ11" s="158"/>
      <c r="CA11" s="158"/>
      <c r="CB11" s="158"/>
      <c r="CC11" s="158"/>
      <c r="CD11" s="158"/>
      <c r="CE11" s="158"/>
    </row>
    <row r="12" ht="18.75" customHeight="1">
      <c r="A12" s="37" t="s">
        <v>4617</v>
      </c>
      <c r="B12" s="37" t="s">
        <v>4577</v>
      </c>
      <c r="C12" s="64" t="s">
        <v>4618</v>
      </c>
      <c r="D12" s="39"/>
      <c r="E12" s="64">
        <v>2.0</v>
      </c>
      <c r="F12" s="64"/>
      <c r="G12" s="64" t="s">
        <v>4614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4581</v>
      </c>
      <c r="BJ12" s="39"/>
      <c r="BK12" s="39"/>
      <c r="BL12" s="39"/>
      <c r="BM12" s="39"/>
      <c r="BN12" s="158"/>
      <c r="BO12" s="158"/>
      <c r="BP12" s="158"/>
      <c r="BQ12" s="158"/>
      <c r="BR12" s="163" t="s">
        <v>4576</v>
      </c>
      <c r="BS12" s="158" t="s">
        <v>4602</v>
      </c>
      <c r="BT12" s="158">
        <v>80.0</v>
      </c>
      <c r="BU12" s="158"/>
      <c r="BV12" s="158"/>
      <c r="BW12" s="158"/>
      <c r="BX12" s="158"/>
      <c r="BY12" s="158"/>
      <c r="BZ12" s="158"/>
      <c r="CA12" s="158"/>
      <c r="CB12" s="158"/>
      <c r="CC12" s="158"/>
      <c r="CD12" s="158"/>
      <c r="CE12" s="158"/>
    </row>
    <row r="13" ht="18.75" customHeight="1">
      <c r="A13" s="37" t="s">
        <v>4619</v>
      </c>
      <c r="B13" s="37" t="s">
        <v>4577</v>
      </c>
      <c r="C13" s="64" t="s">
        <v>4620</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4581</v>
      </c>
      <c r="BJ13" s="39"/>
      <c r="BK13" s="39"/>
      <c r="BL13" s="39"/>
      <c r="BM13" s="39"/>
      <c r="BN13" s="158"/>
      <c r="BO13" s="158"/>
      <c r="BP13" s="158"/>
      <c r="BQ13" s="158"/>
      <c r="BR13" s="163" t="s">
        <v>4621</v>
      </c>
      <c r="BS13" s="158" t="s">
        <v>4602</v>
      </c>
      <c r="BT13" s="158">
        <v>45.0</v>
      </c>
      <c r="BU13" s="158"/>
      <c r="BV13" s="158"/>
      <c r="BW13" s="158"/>
      <c r="BX13" s="158"/>
      <c r="BY13" s="158"/>
      <c r="BZ13" s="158"/>
      <c r="CA13" s="158"/>
      <c r="CB13" s="158"/>
      <c r="CC13" s="158"/>
      <c r="CD13" s="158"/>
      <c r="CE13" s="158"/>
    </row>
    <row r="14" ht="18.75" customHeight="1">
      <c r="A14" s="37" t="s">
        <v>4622</v>
      </c>
      <c r="B14" s="37" t="s">
        <v>4577</v>
      </c>
      <c r="C14" s="64" t="s">
        <v>4623</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4581</v>
      </c>
      <c r="BJ14" s="39"/>
      <c r="BK14" s="39"/>
      <c r="BL14" s="39"/>
      <c r="BM14" s="39"/>
      <c r="BN14" s="158"/>
      <c r="BO14" s="158"/>
      <c r="BP14" s="158"/>
      <c r="BQ14" s="158"/>
      <c r="BR14" s="163" t="s">
        <v>4576</v>
      </c>
      <c r="BS14" s="158" t="s">
        <v>4624</v>
      </c>
      <c r="BT14" s="158">
        <v>65.0</v>
      </c>
      <c r="BU14" s="158"/>
      <c r="BV14" s="158"/>
      <c r="BW14" s="158"/>
      <c r="BX14" s="158"/>
      <c r="BY14" s="158"/>
      <c r="BZ14" s="158"/>
      <c r="CA14" s="158"/>
      <c r="CB14" s="158"/>
      <c r="CC14" s="158"/>
      <c r="CD14" s="158"/>
      <c r="CE14" s="158"/>
    </row>
    <row r="15" ht="18.75" customHeight="1">
      <c r="A15" s="37" t="s">
        <v>4625</v>
      </c>
      <c r="B15" s="37" t="s">
        <v>4577</v>
      </c>
      <c r="C15" s="64" t="s">
        <v>4626</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4581</v>
      </c>
      <c r="BJ15" s="39"/>
      <c r="BK15" s="39"/>
      <c r="BL15" s="39"/>
      <c r="BM15" s="39"/>
      <c r="BN15" s="158"/>
      <c r="BO15" s="158"/>
      <c r="BP15" s="158"/>
      <c r="BQ15" s="158"/>
      <c r="BR15" s="163" t="s">
        <v>4622</v>
      </c>
      <c r="BS15" s="158" t="s">
        <v>2429</v>
      </c>
      <c r="BT15" s="158">
        <v>50.0</v>
      </c>
      <c r="BU15" s="158"/>
      <c r="BV15" s="158"/>
      <c r="BW15" s="158"/>
      <c r="BX15" s="158"/>
      <c r="BY15" s="158"/>
      <c r="BZ15" s="158"/>
      <c r="CA15" s="158"/>
      <c r="CB15" s="158"/>
      <c r="CC15" s="158"/>
      <c r="CD15" s="158"/>
      <c r="CE15" s="158"/>
    </row>
    <row r="16" ht="18.75" customHeight="1">
      <c r="A16" s="37" t="s">
        <v>4627</v>
      </c>
      <c r="B16" s="37" t="s">
        <v>4577</v>
      </c>
      <c r="C16" s="64" t="s">
        <v>4628</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4581</v>
      </c>
      <c r="BJ16" s="39"/>
      <c r="BK16" s="39"/>
      <c r="BL16" s="39"/>
      <c r="BM16" s="39"/>
      <c r="BN16" s="158"/>
      <c r="BO16" s="158"/>
      <c r="BP16" s="158"/>
      <c r="BQ16" s="158"/>
      <c r="BR16" s="163" t="s">
        <v>4629</v>
      </c>
      <c r="BS16" s="158" t="s">
        <v>2429</v>
      </c>
      <c r="BT16" s="158">
        <v>45.0</v>
      </c>
      <c r="BU16" s="158"/>
      <c r="BV16" s="158"/>
      <c r="BW16" s="158"/>
      <c r="BX16" s="158"/>
      <c r="BY16" s="158"/>
      <c r="BZ16" s="158"/>
      <c r="CA16" s="158"/>
      <c r="CB16" s="158"/>
      <c r="CC16" s="158"/>
      <c r="CD16" s="158"/>
      <c r="CE16" s="158"/>
    </row>
    <row r="17" ht="18.75" customHeight="1">
      <c r="A17" s="37" t="s">
        <v>4630</v>
      </c>
      <c r="B17" s="37" t="s">
        <v>4577</v>
      </c>
      <c r="C17" s="64" t="s">
        <v>4631</v>
      </c>
      <c r="D17" s="39"/>
      <c r="E17" s="64">
        <v>8.0</v>
      </c>
      <c r="F17" s="64"/>
      <c r="G17" s="64" t="s">
        <v>4614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4581</v>
      </c>
      <c r="BJ17" s="41"/>
      <c r="BK17" s="39"/>
      <c r="BL17" s="39"/>
      <c r="BM17" s="39"/>
      <c r="BN17" s="158"/>
      <c r="BO17" s="158"/>
      <c r="BP17" s="158"/>
      <c r="BQ17" s="158"/>
      <c r="BR17" s="163" t="s">
        <v>4632</v>
      </c>
      <c r="BS17" s="158" t="s">
        <v>2429</v>
      </c>
      <c r="BT17" s="158">
        <v>40.0</v>
      </c>
      <c r="BU17" s="158"/>
      <c r="BV17" s="158"/>
      <c r="BW17" s="158"/>
      <c r="BX17" s="158"/>
      <c r="BY17" s="158"/>
      <c r="BZ17" s="158"/>
      <c r="CA17" s="158"/>
      <c r="CB17" s="158"/>
      <c r="CC17" s="158"/>
      <c r="CD17" s="158"/>
      <c r="CE17" s="158"/>
    </row>
    <row r="18" ht="18.75" customHeight="1">
      <c r="A18" s="37" t="s">
        <v>4633</v>
      </c>
      <c r="B18" s="37" t="s">
        <v>4577</v>
      </c>
      <c r="C18" s="64" t="s">
        <v>4634</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4581</v>
      </c>
      <c r="BJ18" s="39"/>
      <c r="BK18" s="39"/>
      <c r="BL18" s="39"/>
      <c r="BM18" s="39"/>
      <c r="BN18" s="158"/>
      <c r="BO18" s="158"/>
      <c r="BP18" s="158"/>
      <c r="BQ18" s="158"/>
      <c r="BR18" s="163" t="s">
        <v>4635</v>
      </c>
      <c r="BS18" s="158" t="s">
        <v>1179</v>
      </c>
      <c r="BT18" s="158">
        <v>50.0</v>
      </c>
      <c r="BU18" s="158"/>
      <c r="BV18" s="158"/>
      <c r="BW18" s="158"/>
      <c r="BX18" s="158"/>
      <c r="BY18" s="158"/>
      <c r="BZ18" s="158"/>
      <c r="CA18" s="158"/>
      <c r="CB18" s="158"/>
      <c r="CC18" s="158"/>
      <c r="CD18" s="158"/>
      <c r="CE18" s="158"/>
    </row>
    <row r="19" ht="17.25" customHeight="1">
      <c r="A19" s="37" t="s">
        <v>4635</v>
      </c>
      <c r="B19" s="37" t="s">
        <v>4577</v>
      </c>
      <c r="C19" s="64" t="s">
        <v>4636</v>
      </c>
      <c r="D19" s="39"/>
      <c r="E19" s="64">
        <v>4.0</v>
      </c>
      <c r="F19" s="64"/>
      <c r="G19" s="64" t="s">
        <v>4614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4581</v>
      </c>
      <c r="BJ19" s="39"/>
      <c r="BK19" s="39"/>
      <c r="BL19" s="39"/>
      <c r="BM19" s="39"/>
      <c r="BN19" s="158"/>
      <c r="BO19" s="158"/>
      <c r="BP19" s="158"/>
      <c r="BQ19" s="158"/>
      <c r="BR19" s="163" t="s">
        <v>4637</v>
      </c>
      <c r="BS19" s="158" t="s">
        <v>1179</v>
      </c>
      <c r="BT19" s="158">
        <v>65.0</v>
      </c>
      <c r="BU19" s="158"/>
      <c r="BV19" s="158"/>
      <c r="BW19" s="158"/>
      <c r="BX19" s="158"/>
      <c r="BY19" s="158"/>
      <c r="BZ19" s="158"/>
      <c r="CA19" s="158"/>
      <c r="CB19" s="158"/>
      <c r="CC19" s="158"/>
      <c r="CD19" s="158"/>
      <c r="CE19" s="158"/>
    </row>
    <row r="20" ht="18.75" customHeight="1">
      <c r="A20" s="37" t="s">
        <v>4638</v>
      </c>
      <c r="B20" s="37" t="s">
        <v>4577</v>
      </c>
      <c r="C20" s="64" t="s">
        <v>4639</v>
      </c>
      <c r="D20" s="39"/>
      <c r="E20" s="64">
        <v>8.0</v>
      </c>
      <c r="F20" s="102">
        <v>1.0</v>
      </c>
      <c r="G20" s="64" t="s">
        <v>4614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4581</v>
      </c>
      <c r="BJ20" s="39"/>
      <c r="BK20" s="39"/>
      <c r="BL20" s="39"/>
      <c r="BM20" s="39"/>
      <c r="BN20" s="158"/>
      <c r="BO20" s="158"/>
      <c r="BP20" s="158"/>
      <c r="BQ20" s="158"/>
      <c r="BR20" s="163" t="s">
        <v>4640</v>
      </c>
      <c r="BS20" s="158" t="s">
        <v>1179</v>
      </c>
      <c r="BT20" s="158">
        <v>45.0</v>
      </c>
      <c r="BU20" s="158"/>
      <c r="BV20" s="158"/>
      <c r="BW20" s="158"/>
      <c r="BX20" s="158"/>
      <c r="BY20" s="158"/>
      <c r="BZ20" s="158"/>
      <c r="CA20" s="158"/>
      <c r="CB20" s="158"/>
      <c r="CC20" s="158"/>
      <c r="CD20" s="158"/>
      <c r="CE20" s="158"/>
    </row>
    <row r="21" ht="18.75" customHeight="1">
      <c r="A21" s="37" t="s">
        <v>4641</v>
      </c>
      <c r="B21" s="37" t="s">
        <v>4577</v>
      </c>
      <c r="C21" s="64" t="s">
        <v>4642</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4581</v>
      </c>
      <c r="BJ21" s="39"/>
      <c r="BK21" s="39"/>
      <c r="BL21" s="39"/>
      <c r="BM21" s="39"/>
      <c r="BN21" s="158"/>
      <c r="BO21" s="158"/>
      <c r="BP21" s="158"/>
      <c r="BQ21" s="158"/>
      <c r="BR21" s="163" t="s">
        <v>4643</v>
      </c>
      <c r="BS21" s="158" t="s">
        <v>1179</v>
      </c>
      <c r="BT21" s="158">
        <v>30.0</v>
      </c>
      <c r="BU21" s="158"/>
      <c r="BV21" s="158"/>
      <c r="BW21" s="158"/>
      <c r="BX21" s="158"/>
      <c r="BY21" s="158"/>
      <c r="BZ21" s="158"/>
      <c r="CA21" s="158"/>
      <c r="CB21" s="158"/>
      <c r="CC21" s="158"/>
      <c r="CD21" s="158"/>
      <c r="CE21" s="158"/>
    </row>
    <row r="22" ht="18.75" customHeight="1">
      <c r="A22" s="37" t="s">
        <v>4644</v>
      </c>
      <c r="B22" s="37" t="s">
        <v>54</v>
      </c>
      <c r="C22" s="64" t="s">
        <v>4645</v>
      </c>
      <c r="D22" s="41"/>
      <c r="E22" s="64">
        <v>2.0</v>
      </c>
      <c r="F22" s="64"/>
      <c r="G22" s="64" t="s">
        <v>4614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4646</v>
      </c>
      <c r="BJ22" s="41"/>
      <c r="BK22" s="41"/>
      <c r="BL22" s="41"/>
      <c r="BM22" s="41"/>
      <c r="BN22" s="158"/>
      <c r="BO22" s="158"/>
      <c r="BP22" s="158"/>
      <c r="BQ22" s="158"/>
      <c r="BR22" s="86" t="s">
        <v>4576</v>
      </c>
      <c r="BS22" s="158" t="s">
        <v>4412</v>
      </c>
      <c r="BT22" s="158">
        <v>100.0</v>
      </c>
      <c r="BU22" s="158"/>
      <c r="BV22" s="158"/>
      <c r="BW22" s="158"/>
      <c r="BX22" s="158"/>
      <c r="BY22" s="158"/>
      <c r="BZ22" s="158"/>
      <c r="CA22" s="158"/>
      <c r="CB22" s="158"/>
      <c r="CC22" s="158"/>
      <c r="CD22" s="158"/>
      <c r="CE22" s="158"/>
    </row>
    <row r="23" ht="18.75" customHeight="1">
      <c r="A23" s="37" t="s">
        <v>4647</v>
      </c>
      <c r="B23" s="37" t="s">
        <v>56</v>
      </c>
      <c r="C23" s="64" t="s">
        <v>4648</v>
      </c>
      <c r="D23" s="41"/>
      <c r="E23" s="64">
        <v>2.0</v>
      </c>
      <c r="F23" s="64"/>
      <c r="G23" s="64" t="s">
        <v>4614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4646</v>
      </c>
      <c r="BJ23" s="41"/>
      <c r="BK23" s="41"/>
      <c r="BL23" s="41"/>
      <c r="BM23" s="41"/>
      <c r="BN23" s="158"/>
      <c r="BO23" s="158"/>
      <c r="BP23" s="158"/>
      <c r="BQ23" s="158"/>
      <c r="BR23" s="163"/>
      <c r="BS23" s="158" t="s">
        <v>4611</v>
      </c>
      <c r="BT23" s="158">
        <v>95.0</v>
      </c>
      <c r="BU23" s="158"/>
      <c r="BV23" s="158"/>
      <c r="BW23" s="158"/>
      <c r="BX23" s="158"/>
      <c r="BY23" s="158"/>
      <c r="BZ23" s="158"/>
      <c r="CA23" s="158"/>
      <c r="CB23" s="158"/>
      <c r="CC23" s="158"/>
      <c r="CD23" s="158"/>
      <c r="CE23" s="158"/>
    </row>
    <row r="24" ht="18.75" customHeight="1">
      <c r="A24" s="37" t="s">
        <v>4649</v>
      </c>
      <c r="B24" s="37" t="s">
        <v>3230</v>
      </c>
      <c r="C24" s="64" t="s">
        <v>4650</v>
      </c>
      <c r="D24" s="41"/>
      <c r="E24" s="64">
        <v>2.0</v>
      </c>
      <c r="F24" s="64"/>
      <c r="G24" s="64" t="s">
        <v>4614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4646</v>
      </c>
      <c r="BJ24" s="41"/>
      <c r="BK24" s="41"/>
      <c r="BL24" s="41"/>
      <c r="BM24" s="41"/>
      <c r="BN24" s="158"/>
      <c r="BO24" s="158"/>
      <c r="BP24" s="158"/>
      <c r="BQ24" s="158"/>
      <c r="BR24" s="163"/>
      <c r="BS24" s="158" t="s">
        <v>4611</v>
      </c>
      <c r="BT24" s="158">
        <v>90.0</v>
      </c>
      <c r="BU24" s="158"/>
      <c r="BV24" s="158"/>
      <c r="BW24" s="158"/>
      <c r="BX24" s="158"/>
      <c r="BY24" s="158"/>
      <c r="BZ24" s="158"/>
      <c r="CA24" s="158"/>
      <c r="CB24" s="158"/>
      <c r="CC24" s="158"/>
      <c r="CD24" s="158"/>
      <c r="CE24" s="158"/>
    </row>
    <row r="25" ht="18.75" customHeight="1">
      <c r="A25" s="37" t="s">
        <v>4651</v>
      </c>
      <c r="B25" s="37" t="s">
        <v>3233</v>
      </c>
      <c r="C25" s="64" t="s">
        <v>4652</v>
      </c>
      <c r="D25" s="41"/>
      <c r="E25" s="64">
        <v>2.0</v>
      </c>
      <c r="F25" s="64"/>
      <c r="G25" s="64" t="s">
        <v>4614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4646</v>
      </c>
      <c r="BJ25" s="41"/>
      <c r="BK25" s="41"/>
      <c r="BL25" s="41"/>
      <c r="BM25" s="41"/>
      <c r="BN25" s="158"/>
      <c r="BO25" s="158"/>
      <c r="BP25" s="158"/>
      <c r="BQ25" s="158"/>
      <c r="BR25" s="163"/>
      <c r="BS25" s="158" t="s">
        <v>4611</v>
      </c>
      <c r="BT25" s="158">
        <v>75.0</v>
      </c>
      <c r="BU25" s="158"/>
      <c r="BV25" s="158"/>
      <c r="BW25" s="158"/>
      <c r="BX25" s="158"/>
      <c r="BY25" s="158"/>
      <c r="BZ25" s="158"/>
      <c r="CA25" s="158"/>
      <c r="CB25" s="158"/>
      <c r="CC25" s="158"/>
      <c r="CD25" s="158"/>
      <c r="CE25" s="158"/>
    </row>
    <row r="26" ht="18.75" customHeight="1">
      <c r="A26" s="37" t="s">
        <v>4653</v>
      </c>
      <c r="B26" s="37" t="s">
        <v>4654</v>
      </c>
      <c r="C26" s="102" t="s">
        <v>4655</v>
      </c>
      <c r="D26" s="39" t="s">
        <v>4656</v>
      </c>
      <c r="E26" s="64">
        <v>2.0</v>
      </c>
      <c r="F26" s="64"/>
      <c r="G26" s="64" t="s">
        <v>4614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4581</v>
      </c>
      <c r="BJ26" s="39" t="s">
        <v>4583</v>
      </c>
      <c r="BK26" s="39" t="s">
        <v>2626</v>
      </c>
      <c r="BL26" s="39">
        <v>2.0</v>
      </c>
      <c r="BM26" s="39">
        <f>E31</f>
        <v>1</v>
      </c>
      <c r="BN26" s="158"/>
      <c r="BO26" s="158"/>
      <c r="BP26" s="158"/>
      <c r="BQ26" s="158"/>
      <c r="BR26" s="163" t="s">
        <v>4657</v>
      </c>
      <c r="BS26" s="158" t="s">
        <v>4658</v>
      </c>
      <c r="BT26" s="158">
        <v>45.0</v>
      </c>
      <c r="BU26" s="158"/>
      <c r="BV26" s="158"/>
      <c r="BW26" s="158"/>
      <c r="BX26" s="158"/>
      <c r="BY26" s="158"/>
      <c r="BZ26" s="158"/>
      <c r="CA26" s="158"/>
      <c r="CB26" s="158"/>
      <c r="CC26" s="158"/>
      <c r="CD26" s="158"/>
      <c r="CE26" s="158"/>
    </row>
    <row r="27" ht="18.75" customHeight="1">
      <c r="A27" s="37" t="s">
        <v>4605</v>
      </c>
      <c r="B27" s="37" t="s">
        <v>4577</v>
      </c>
      <c r="C27" s="64" t="s">
        <v>4659</v>
      </c>
      <c r="D27" s="39"/>
      <c r="E27" s="64">
        <v>2.0</v>
      </c>
      <c r="F27" s="64"/>
      <c r="G27" s="64" t="s">
        <v>4614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4581</v>
      </c>
      <c r="BJ27" s="39"/>
      <c r="BK27" s="39"/>
      <c r="BL27" s="39"/>
      <c r="BM27" s="39"/>
      <c r="BN27" s="158"/>
      <c r="BO27" s="158"/>
      <c r="BP27" s="158"/>
      <c r="BQ27" s="158"/>
      <c r="BR27" s="163" t="s">
        <v>4576</v>
      </c>
      <c r="BS27" s="158" t="s">
        <v>4660</v>
      </c>
      <c r="BT27" s="158">
        <v>75.0</v>
      </c>
      <c r="BU27" s="158"/>
      <c r="BV27" s="158"/>
      <c r="BW27" s="158"/>
      <c r="BX27" s="158"/>
      <c r="BY27" s="158"/>
      <c r="BZ27" s="158"/>
      <c r="CA27" s="158"/>
      <c r="CB27" s="158"/>
      <c r="CC27" s="158"/>
      <c r="CD27" s="158"/>
      <c r="CE27" s="158"/>
    </row>
    <row r="28" ht="18.75" customHeight="1">
      <c r="A28" s="37" t="s">
        <v>4661</v>
      </c>
      <c r="B28" s="37" t="s">
        <v>4577</v>
      </c>
      <c r="C28" s="64" t="s">
        <v>4662</v>
      </c>
      <c r="D28" s="39"/>
      <c r="E28" s="64">
        <v>2.0</v>
      </c>
      <c r="F28" s="64"/>
      <c r="G28" s="64" t="s">
        <v>4614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4581</v>
      </c>
      <c r="BJ28" s="39"/>
      <c r="BK28" s="39"/>
      <c r="BL28" s="39"/>
      <c r="BM28" s="39"/>
      <c r="BN28" s="158"/>
      <c r="BO28" s="158"/>
      <c r="BP28" s="158"/>
      <c r="BQ28" s="158"/>
      <c r="BR28" s="163" t="s">
        <v>4576</v>
      </c>
      <c r="BS28" s="158" t="s">
        <v>4658</v>
      </c>
      <c r="BT28" s="158">
        <v>80.0</v>
      </c>
      <c r="BU28" s="158"/>
      <c r="BV28" s="158"/>
      <c r="BW28" s="158"/>
      <c r="BX28" s="158"/>
      <c r="BY28" s="158"/>
      <c r="BZ28" s="158"/>
      <c r="CA28" s="158"/>
      <c r="CB28" s="158"/>
      <c r="CC28" s="158"/>
      <c r="CD28" s="158"/>
      <c r="CE28" s="158"/>
    </row>
    <row r="29" ht="18.75" customHeight="1">
      <c r="A29" s="37" t="s">
        <v>4663</v>
      </c>
      <c r="B29" s="37" t="s">
        <v>4577</v>
      </c>
      <c r="C29" s="64" t="s">
        <v>4664</v>
      </c>
      <c r="D29" s="39"/>
      <c r="E29" s="64">
        <v>2.0</v>
      </c>
      <c r="F29" s="64"/>
      <c r="G29" s="64" t="s">
        <v>4614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4581</v>
      </c>
      <c r="BJ29" s="39"/>
      <c r="BK29" s="39"/>
      <c r="BL29" s="39"/>
      <c r="BM29" s="39"/>
      <c r="BN29" s="158"/>
      <c r="BO29" s="158"/>
      <c r="BP29" s="158"/>
      <c r="BQ29" s="158"/>
      <c r="BR29" s="163" t="s">
        <v>4583</v>
      </c>
      <c r="BS29" s="158" t="s">
        <v>4665</v>
      </c>
      <c r="BT29" s="158">
        <v>50.0</v>
      </c>
      <c r="BU29" s="158"/>
      <c r="BV29" s="158"/>
      <c r="BW29" s="158"/>
      <c r="BX29" s="158"/>
      <c r="BY29" s="158"/>
      <c r="BZ29" s="158"/>
      <c r="CA29" s="158"/>
      <c r="CB29" s="158"/>
      <c r="CC29" s="158"/>
      <c r="CD29" s="158"/>
      <c r="CE29" s="158"/>
    </row>
    <row r="30" ht="18.75" customHeight="1">
      <c r="A30" s="37" t="s">
        <v>4666</v>
      </c>
      <c r="B30" s="37" t="s">
        <v>4667</v>
      </c>
      <c r="C30" s="64" t="s">
        <v>4668</v>
      </c>
      <c r="D30" s="39"/>
      <c r="E30" s="64">
        <v>2.0</v>
      </c>
      <c r="F30" s="64"/>
      <c r="G30" s="64" t="s">
        <v>4614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4581</v>
      </c>
      <c r="BJ30" s="39"/>
      <c r="BK30" s="39"/>
      <c r="BL30" s="39"/>
      <c r="BM30" s="39"/>
      <c r="BN30" s="158"/>
      <c r="BO30" s="158"/>
      <c r="BP30" s="158"/>
      <c r="BQ30" s="158"/>
      <c r="BR30" s="163"/>
      <c r="BS30" s="158" t="s">
        <v>4665</v>
      </c>
      <c r="BT30" s="158">
        <v>45.0</v>
      </c>
      <c r="BU30" s="158"/>
      <c r="BV30" s="158"/>
      <c r="BW30" s="158"/>
      <c r="BX30" s="158"/>
      <c r="BY30" s="158"/>
      <c r="BZ30" s="158"/>
      <c r="CA30" s="158"/>
      <c r="CB30" s="158"/>
      <c r="CC30" s="158"/>
      <c r="CD30" s="158"/>
      <c r="CE30" s="158"/>
    </row>
    <row r="31" ht="18.75" customHeight="1">
      <c r="A31" s="39" t="s">
        <v>4656</v>
      </c>
      <c r="B31" s="39" t="s">
        <v>4654</v>
      </c>
      <c r="C31" s="102" t="s">
        <v>4669</v>
      </c>
      <c r="E31" s="102">
        <v>1.0</v>
      </c>
      <c r="F31" s="64"/>
      <c r="G31" s="102" t="s">
        <v>4614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4581</v>
      </c>
      <c r="BJ31" s="39" t="s">
        <v>4576</v>
      </c>
      <c r="BK31" s="39" t="s">
        <v>2626</v>
      </c>
      <c r="BL31" s="39">
        <v>1.0</v>
      </c>
      <c r="BN31" s="158"/>
      <c r="BO31" s="158"/>
      <c r="BP31" s="158"/>
      <c r="BQ31" s="158"/>
      <c r="BR31" s="163" t="s">
        <v>4670</v>
      </c>
      <c r="BS31" s="158" t="s">
        <v>4658</v>
      </c>
      <c r="BT31" s="158">
        <v>70.0</v>
      </c>
      <c r="BU31" s="158"/>
      <c r="BV31" s="158"/>
      <c r="BW31" s="158"/>
      <c r="BX31" s="158"/>
      <c r="BY31" s="158"/>
      <c r="BZ31" s="158"/>
      <c r="CA31" s="158"/>
      <c r="CB31" s="158"/>
      <c r="CC31" s="158"/>
      <c r="CD31" s="158"/>
      <c r="CE31" s="158"/>
    </row>
    <row r="32" ht="18.75" customHeight="1">
      <c r="A32" s="39" t="s">
        <v>4671</v>
      </c>
      <c r="B32" s="39" t="s">
        <v>4577</v>
      </c>
      <c r="C32" s="102" t="s">
        <v>4672</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4581</v>
      </c>
      <c r="BN32" s="158"/>
      <c r="BO32" s="158"/>
      <c r="BP32" s="158"/>
      <c r="BQ32" s="158"/>
      <c r="BR32" s="163" t="s">
        <v>4576</v>
      </c>
      <c r="BS32" s="158" t="s">
        <v>4673</v>
      </c>
      <c r="BT32" s="158">
        <v>70.0</v>
      </c>
      <c r="BU32" s="158"/>
      <c r="BV32" s="158"/>
      <c r="BW32" s="158"/>
      <c r="BX32" s="158"/>
      <c r="BY32" s="158"/>
      <c r="BZ32" s="158"/>
      <c r="CA32" s="158"/>
      <c r="CB32" s="158"/>
      <c r="CC32" s="158"/>
      <c r="CD32" s="158"/>
      <c r="CE32" s="158"/>
    </row>
    <row r="33" ht="18.75" customHeight="1">
      <c r="A33" s="39" t="s">
        <v>4674</v>
      </c>
      <c r="B33" s="39" t="s">
        <v>4577</v>
      </c>
      <c r="C33" s="102" t="s">
        <v>4675</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4581</v>
      </c>
      <c r="BN33" s="158"/>
      <c r="BO33" s="158"/>
      <c r="BP33" s="158"/>
      <c r="BQ33" s="158"/>
      <c r="BR33" s="163" t="s">
        <v>4676</v>
      </c>
      <c r="BS33" s="158" t="s">
        <v>4673</v>
      </c>
      <c r="BT33" s="158">
        <v>35.0</v>
      </c>
      <c r="BU33" s="158"/>
      <c r="BV33" s="158"/>
      <c r="BW33" s="158"/>
      <c r="BX33" s="158"/>
      <c r="BY33" s="158"/>
      <c r="BZ33" s="158"/>
      <c r="CA33" s="158"/>
      <c r="CB33" s="158"/>
      <c r="CC33" s="158"/>
      <c r="CD33" s="158"/>
      <c r="CE33" s="158"/>
    </row>
    <row r="34">
      <c r="A34" s="39" t="s">
        <v>4677</v>
      </c>
      <c r="B34" s="39" t="s">
        <v>4577</v>
      </c>
      <c r="C34" s="102" t="s">
        <v>4678</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4581</v>
      </c>
      <c r="BN34" s="158" t="s">
        <v>2627</v>
      </c>
      <c r="BO34" s="158" t="s">
        <v>4679</v>
      </c>
      <c r="BP34" s="158">
        <v>0.0</v>
      </c>
      <c r="BQ34" s="158"/>
      <c r="BR34" s="163" t="s">
        <v>4680</v>
      </c>
      <c r="BS34" s="158" t="s">
        <v>2627</v>
      </c>
      <c r="BT34" s="158">
        <v>30.0</v>
      </c>
      <c r="BU34" s="158"/>
      <c r="BV34" s="158"/>
      <c r="BW34" s="158"/>
      <c r="BX34" s="158"/>
      <c r="BY34" s="158"/>
      <c r="BZ34" s="158"/>
      <c r="CA34" s="158"/>
      <c r="CB34" s="158"/>
      <c r="CC34" s="158"/>
      <c r="CD34" s="158"/>
      <c r="CE34" s="158"/>
    </row>
    <row r="35" ht="54.0" customHeight="1">
      <c r="A35" s="39" t="s">
        <v>4681</v>
      </c>
      <c r="B35" s="39" t="s">
        <v>4577</v>
      </c>
      <c r="C35" s="102" t="s">
        <v>4682</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4581</v>
      </c>
      <c r="BN35" s="158" t="s">
        <v>4600</v>
      </c>
      <c r="BO35" s="158" t="s">
        <v>4679</v>
      </c>
      <c r="BP35" s="158">
        <v>0.0</v>
      </c>
      <c r="BQ35" s="158"/>
      <c r="BR35" s="163" t="s">
        <v>4683</v>
      </c>
      <c r="BS35" s="158" t="s">
        <v>4684</v>
      </c>
      <c r="BT35" s="158">
        <v>30.0</v>
      </c>
      <c r="BU35" s="158"/>
      <c r="BV35" s="158"/>
      <c r="BW35" s="158"/>
      <c r="BX35" s="158"/>
      <c r="BY35" s="158"/>
      <c r="BZ35" s="158"/>
      <c r="CA35" s="158"/>
      <c r="CB35" s="158"/>
      <c r="CC35" s="158"/>
      <c r="CD35" s="158"/>
      <c r="CE35" s="158"/>
    </row>
    <row r="36" ht="54.0" customHeight="1">
      <c r="A36" s="39" t="s">
        <v>4637</v>
      </c>
      <c r="B36" s="39" t="s">
        <v>4577</v>
      </c>
      <c r="C36" s="102" t="s">
        <v>4685</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4581</v>
      </c>
      <c r="BQ36" s="158">
        <v>2.0</v>
      </c>
      <c r="BR36" s="163" t="s">
        <v>4576</v>
      </c>
      <c r="BS36" s="158" t="s">
        <v>1845</v>
      </c>
      <c r="BT36" s="158">
        <v>90.0</v>
      </c>
      <c r="BU36" s="158"/>
      <c r="BV36" s="158"/>
      <c r="BW36" s="158"/>
      <c r="BX36" s="158"/>
      <c r="BY36" s="158"/>
      <c r="BZ36" s="158"/>
      <c r="CA36" s="158"/>
      <c r="CB36" s="158"/>
      <c r="CC36" s="158"/>
      <c r="CD36" s="158"/>
      <c r="CE36" s="158"/>
    </row>
    <row r="37" ht="54.0" customHeight="1">
      <c r="A37" s="39" t="s">
        <v>4686</v>
      </c>
      <c r="B37" s="39" t="s">
        <v>29</v>
      </c>
      <c r="C37" s="102" t="s">
        <v>4687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4581</v>
      </c>
      <c r="BN37" s="39" t="s">
        <v>2628</v>
      </c>
      <c r="BO37" s="39" t="s">
        <v>4679</v>
      </c>
      <c r="BP37" s="39">
        <v>0.0</v>
      </c>
      <c r="BQ37" s="158"/>
      <c r="BR37" s="163" t="s">
        <v>4688</v>
      </c>
      <c r="BS37" s="158" t="s">
        <v>1845</v>
      </c>
      <c r="BT37" s="158">
        <v>40.0</v>
      </c>
      <c r="BU37" s="158"/>
      <c r="BV37" s="158"/>
      <c r="BW37" s="158"/>
      <c r="BX37" s="158"/>
      <c r="BY37" s="158"/>
      <c r="BZ37" s="158"/>
      <c r="CA37" s="158"/>
      <c r="CB37" s="158"/>
      <c r="CC37" s="158"/>
      <c r="CD37" s="158"/>
      <c r="CE37" s="158"/>
    </row>
    <row r="38" ht="18.75" customHeight="1">
      <c r="A38" s="39" t="s">
        <v>4689</v>
      </c>
      <c r="B38" s="39" t="s">
        <v>4577</v>
      </c>
      <c r="C38" s="102" t="s">
        <v>4690</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4691</v>
      </c>
      <c r="BI38" s="39" t="s">
        <v>4581</v>
      </c>
      <c r="BR38" s="39" t="s">
        <v>4625</v>
      </c>
      <c r="BS38" s="126" t="s">
        <v>4692</v>
      </c>
      <c r="BT38" s="126">
        <v>35.0</v>
      </c>
      <c r="BU38" s="126" t="s">
        <v>4693</v>
      </c>
      <c r="BV38" s="126">
        <v>10.0</v>
      </c>
      <c r="BW38" s="126">
        <v>0.0</v>
      </c>
      <c r="BX38" s="126"/>
      <c r="BY38" s="126" t="s">
        <v>29</v>
      </c>
      <c r="BZ38" s="126" t="s">
        <v>29</v>
      </c>
      <c r="CA38" s="126" t="s">
        <v>29</v>
      </c>
      <c r="CB38" s="126" t="s">
        <v>4694</v>
      </c>
      <c r="CC38" s="126">
        <v>25.0</v>
      </c>
      <c r="CD38" s="126">
        <v>0.0</v>
      </c>
      <c r="CE38" s="126"/>
    </row>
    <row r="39" ht="18.75" customHeight="1">
      <c r="A39" s="39" t="s">
        <v>4695</v>
      </c>
      <c r="B39" s="39" t="s">
        <v>4577</v>
      </c>
      <c r="C39" s="102" t="s">
        <v>4696</v>
      </c>
      <c r="E39" s="102">
        <v>3.0</v>
      </c>
      <c r="F39" s="102">
        <v>1.0</v>
      </c>
      <c r="G39" s="102" t="s">
        <v>3055</v>
      </c>
      <c r="I39" s="39">
        <v>1.0</v>
      </c>
      <c r="J39" s="39" t="s">
        <v>29</v>
      </c>
      <c r="M39" s="39">
        <v>50.0</v>
      </c>
      <c r="P39" s="39">
        <v>50.0</v>
      </c>
      <c r="Q39" s="39">
        <v>25.0</v>
      </c>
      <c r="AH39" s="162"/>
      <c r="AI39" s="162"/>
      <c r="AJ39" s="162"/>
      <c r="AK39" s="162"/>
      <c r="AZ39" s="39" t="s">
        <v>4691</v>
      </c>
      <c r="BI39" s="39" t="s">
        <v>4581</v>
      </c>
      <c r="BR39" s="39" t="s">
        <v>4689</v>
      </c>
      <c r="BS39" s="126" t="s">
        <v>4692</v>
      </c>
      <c r="BT39" s="126">
        <v>28.0</v>
      </c>
      <c r="BU39" s="126" t="s">
        <v>4697</v>
      </c>
      <c r="BV39" s="126">
        <v>10.0</v>
      </c>
      <c r="BW39" s="126">
        <v>1.0</v>
      </c>
      <c r="BX39" s="126" t="s">
        <v>4698</v>
      </c>
      <c r="BY39" s="126" t="s">
        <v>29</v>
      </c>
      <c r="BZ39" s="126" t="s">
        <v>29</v>
      </c>
      <c r="CA39" s="126" t="s">
        <v>29</v>
      </c>
      <c r="CB39" s="126" t="s">
        <v>4699</v>
      </c>
      <c r="CC39" s="126">
        <v>25.0</v>
      </c>
      <c r="CD39" s="126">
        <v>1.0</v>
      </c>
      <c r="CE39" s="126">
        <v>10.0</v>
      </c>
    </row>
    <row r="40" ht="18.75" customHeight="1">
      <c r="A40" s="39" t="s">
        <v>4700</v>
      </c>
      <c r="B40" s="39" t="s">
        <v>4577</v>
      </c>
      <c r="C40" s="102" t="s">
        <v>4701</v>
      </c>
      <c r="D40" s="39" t="s">
        <v>4695</v>
      </c>
      <c r="E40" s="102">
        <v>5.0</v>
      </c>
      <c r="F40" s="102">
        <v>1.0</v>
      </c>
      <c r="G40" s="102" t="s">
        <v>3055</v>
      </c>
      <c r="I40" s="39">
        <v>2.0</v>
      </c>
      <c r="J40" s="39" t="s">
        <v>29</v>
      </c>
      <c r="M40" s="39">
        <v>100.0</v>
      </c>
      <c r="P40" s="39">
        <v>100.0</v>
      </c>
      <c r="Q40" s="39">
        <v>50.0</v>
      </c>
      <c r="AH40" s="162"/>
      <c r="AI40" s="162"/>
      <c r="AJ40" s="162"/>
      <c r="AK40" s="162"/>
      <c r="AZ40" s="39" t="s">
        <v>4691</v>
      </c>
      <c r="BI40" s="39" t="s">
        <v>4581</v>
      </c>
      <c r="BM40" s="39">
        <v>0.0</v>
      </c>
      <c r="BR40" s="39" t="s">
        <v>4695</v>
      </c>
      <c r="BS40" s="126" t="s">
        <v>4692</v>
      </c>
      <c r="BT40" s="126">
        <v>26.0</v>
      </c>
      <c r="BU40" s="126" t="s">
        <v>4697</v>
      </c>
      <c r="BV40" s="126">
        <v>20.0</v>
      </c>
      <c r="BW40" s="126">
        <v>2.0</v>
      </c>
      <c r="BX40" s="126" t="s">
        <v>4702</v>
      </c>
      <c r="BY40" s="126" t="s">
        <v>29</v>
      </c>
      <c r="BZ40" s="126" t="s">
        <v>29</v>
      </c>
      <c r="CA40" s="126" t="s">
        <v>29</v>
      </c>
      <c r="CB40" s="126" t="s">
        <v>4699</v>
      </c>
      <c r="CC40" s="126">
        <v>25.0</v>
      </c>
      <c r="CD40" s="126">
        <v>3.0</v>
      </c>
      <c r="CE40" s="126">
        <v>20.0</v>
      </c>
    </row>
    <row r="41" ht="18.75" customHeight="1">
      <c r="A41" s="39" t="s">
        <v>4703</v>
      </c>
      <c r="B41" s="39" t="s">
        <v>4577</v>
      </c>
      <c r="C41" s="102" t="s">
        <v>4704</v>
      </c>
      <c r="D41" s="39" t="s">
        <v>4700</v>
      </c>
      <c r="E41" s="102">
        <v>7.0</v>
      </c>
      <c r="F41" s="102">
        <v>1.0</v>
      </c>
      <c r="G41" s="102" t="s">
        <v>3055</v>
      </c>
      <c r="I41" s="39">
        <v>3.0</v>
      </c>
      <c r="J41" s="39" t="s">
        <v>29</v>
      </c>
      <c r="M41" s="39">
        <v>150.0</v>
      </c>
      <c r="P41" s="39">
        <v>150.0</v>
      </c>
      <c r="Q41" s="39">
        <v>75.0</v>
      </c>
      <c r="AH41" s="162"/>
      <c r="AI41" s="162"/>
      <c r="AJ41" s="162"/>
      <c r="AK41" s="162"/>
      <c r="AZ41" s="39" t="s">
        <v>4691</v>
      </c>
      <c r="BI41" s="39" t="s">
        <v>4581</v>
      </c>
      <c r="BM41" s="39">
        <v>0.0</v>
      </c>
      <c r="BR41" s="39" t="s">
        <v>4700</v>
      </c>
      <c r="BS41" s="126" t="s">
        <v>4692</v>
      </c>
      <c r="BT41" s="126">
        <v>24.0</v>
      </c>
      <c r="BU41" s="126" t="s">
        <v>4697</v>
      </c>
      <c r="BV41" s="126">
        <v>25.0</v>
      </c>
      <c r="BW41" s="126">
        <v>3.0</v>
      </c>
      <c r="BX41" s="126" t="s">
        <v>4705</v>
      </c>
      <c r="BY41" s="126" t="s">
        <v>29</v>
      </c>
      <c r="BZ41" s="126" t="s">
        <v>29</v>
      </c>
      <c r="CA41" s="126" t="s">
        <v>29</v>
      </c>
      <c r="CB41" s="126" t="s">
        <v>4699</v>
      </c>
      <c r="CC41" s="126">
        <v>25.0</v>
      </c>
      <c r="CD41" s="126">
        <v>5.0</v>
      </c>
      <c r="CE41" s="126">
        <v>25.0</v>
      </c>
    </row>
    <row r="42" ht="18.75" customHeight="1">
      <c r="A42" s="39" t="s">
        <v>4706</v>
      </c>
      <c r="B42" s="39" t="s">
        <v>4577</v>
      </c>
      <c r="C42" s="102" t="s">
        <v>4707</v>
      </c>
      <c r="E42" s="102">
        <v>3.0</v>
      </c>
      <c r="F42" s="102">
        <v>1.0</v>
      </c>
      <c r="G42" s="102" t="s">
        <v>3055</v>
      </c>
      <c r="I42" s="39">
        <v>1.0</v>
      </c>
      <c r="J42" s="39" t="s">
        <v>29</v>
      </c>
      <c r="M42" s="39">
        <v>50.0</v>
      </c>
      <c r="P42" s="39">
        <v>50.0</v>
      </c>
      <c r="Q42" s="39">
        <v>25.0</v>
      </c>
      <c r="AH42" s="162"/>
      <c r="AI42" s="162"/>
      <c r="AJ42" s="162"/>
      <c r="AK42" s="162"/>
      <c r="AZ42" s="39" t="s">
        <v>4691</v>
      </c>
      <c r="BI42" s="39" t="s">
        <v>4581</v>
      </c>
      <c r="BR42" s="39" t="s">
        <v>4689</v>
      </c>
      <c r="BS42" s="126" t="s">
        <v>4692</v>
      </c>
      <c r="BT42" s="126">
        <v>28.0</v>
      </c>
      <c r="BU42" s="126" t="s">
        <v>4708</v>
      </c>
      <c r="BV42" s="126">
        <v>10.0</v>
      </c>
      <c r="BW42" s="126">
        <v>1.0</v>
      </c>
      <c r="BX42" s="126" t="s">
        <v>4698</v>
      </c>
      <c r="BY42" s="126" t="s">
        <v>29</v>
      </c>
      <c r="BZ42" s="126" t="s">
        <v>29</v>
      </c>
      <c r="CA42" s="126" t="s">
        <v>29</v>
      </c>
      <c r="CB42" s="126" t="s">
        <v>4709</v>
      </c>
      <c r="CC42" s="126">
        <v>25.0</v>
      </c>
      <c r="CD42" s="126">
        <v>1.0</v>
      </c>
      <c r="CE42" s="126">
        <v>10.0</v>
      </c>
    </row>
    <row r="43" ht="18.75" customHeight="1">
      <c r="A43" s="39" t="s">
        <v>4710</v>
      </c>
      <c r="B43" s="39" t="s">
        <v>4577</v>
      </c>
      <c r="C43" s="102" t="s">
        <v>4711</v>
      </c>
      <c r="D43" s="39" t="s">
        <v>4706</v>
      </c>
      <c r="E43" s="102">
        <v>5.0</v>
      </c>
      <c r="F43" s="102">
        <v>1.0</v>
      </c>
      <c r="G43" s="102" t="s">
        <v>3055</v>
      </c>
      <c r="I43" s="39">
        <v>2.0</v>
      </c>
      <c r="J43" s="39" t="s">
        <v>29</v>
      </c>
      <c r="M43" s="39">
        <v>100.0</v>
      </c>
      <c r="P43" s="39">
        <v>100.0</v>
      </c>
      <c r="Q43" s="39">
        <v>50.0</v>
      </c>
      <c r="AH43" s="162"/>
      <c r="AI43" s="162"/>
      <c r="AJ43" s="162"/>
      <c r="AK43" s="162"/>
      <c r="AZ43" s="39" t="s">
        <v>4691</v>
      </c>
      <c r="BI43" s="39" t="s">
        <v>4581</v>
      </c>
      <c r="BM43" s="39">
        <v>0.0</v>
      </c>
      <c r="BR43" s="39" t="s">
        <v>4706</v>
      </c>
      <c r="BS43" s="126" t="s">
        <v>4692</v>
      </c>
      <c r="BT43" s="126">
        <v>26.0</v>
      </c>
      <c r="BU43" s="126" t="s">
        <v>4708</v>
      </c>
      <c r="BV43" s="126">
        <v>20.0</v>
      </c>
      <c r="BW43" s="126">
        <v>2.0</v>
      </c>
      <c r="BX43" s="126" t="s">
        <v>4702</v>
      </c>
      <c r="BY43" s="126" t="s">
        <v>29</v>
      </c>
      <c r="BZ43" s="126" t="s">
        <v>29</v>
      </c>
      <c r="CA43" s="126" t="s">
        <v>29</v>
      </c>
      <c r="CB43" s="126" t="s">
        <v>4709</v>
      </c>
      <c r="CC43" s="126">
        <v>25.0</v>
      </c>
      <c r="CD43" s="126">
        <v>3.0</v>
      </c>
      <c r="CE43" s="126">
        <v>20.0</v>
      </c>
    </row>
    <row r="44" ht="18.75" customHeight="1">
      <c r="A44" s="39" t="s">
        <v>4712</v>
      </c>
      <c r="B44" s="39" t="s">
        <v>4577</v>
      </c>
      <c r="C44" s="102" t="s">
        <v>4713</v>
      </c>
      <c r="D44" s="39" t="s">
        <v>4710</v>
      </c>
      <c r="E44" s="102">
        <v>7.0</v>
      </c>
      <c r="F44" s="102">
        <v>1.0</v>
      </c>
      <c r="G44" s="102" t="s">
        <v>3055</v>
      </c>
      <c r="I44" s="39">
        <v>3.0</v>
      </c>
      <c r="J44" s="39" t="s">
        <v>29</v>
      </c>
      <c r="M44" s="39">
        <v>150.0</v>
      </c>
      <c r="P44" s="39">
        <v>150.0</v>
      </c>
      <c r="Q44" s="39">
        <v>75.0</v>
      </c>
      <c r="AH44" s="162"/>
      <c r="AI44" s="162"/>
      <c r="AJ44" s="162"/>
      <c r="AK44" s="162"/>
      <c r="AZ44" s="39" t="s">
        <v>4691</v>
      </c>
      <c r="BI44" s="39" t="s">
        <v>4581</v>
      </c>
      <c r="BM44" s="39">
        <v>0.0</v>
      </c>
      <c r="BR44" s="39" t="s">
        <v>4710</v>
      </c>
      <c r="BS44" s="126" t="s">
        <v>4692</v>
      </c>
      <c r="BT44" s="126">
        <v>24.0</v>
      </c>
      <c r="BU44" s="126" t="s">
        <v>4708</v>
      </c>
      <c r="BV44" s="126">
        <v>25.0</v>
      </c>
      <c r="BW44" s="126">
        <v>3.0</v>
      </c>
      <c r="BX44" s="126" t="s">
        <v>4705</v>
      </c>
      <c r="BY44" s="126" t="s">
        <v>29</v>
      </c>
      <c r="BZ44" s="126" t="s">
        <v>29</v>
      </c>
      <c r="CA44" s="126" t="s">
        <v>29</v>
      </c>
      <c r="CB44" s="126" t="s">
        <v>4709</v>
      </c>
      <c r="CC44" s="126">
        <v>25.0</v>
      </c>
      <c r="CD44" s="126">
        <v>5.0</v>
      </c>
      <c r="CE44" s="126">
        <v>25.0</v>
      </c>
    </row>
    <row r="45" ht="18.75" customHeight="1">
      <c r="A45" s="39" t="s">
        <v>4714</v>
      </c>
      <c r="B45" s="39" t="s">
        <v>4577</v>
      </c>
      <c r="C45" s="102" t="s">
        <v>4715</v>
      </c>
      <c r="E45" s="102">
        <v>3.0</v>
      </c>
      <c r="F45" s="102">
        <v>1.0</v>
      </c>
      <c r="G45" s="102" t="s">
        <v>3055</v>
      </c>
      <c r="I45" s="39">
        <v>1.0</v>
      </c>
      <c r="J45" s="39" t="s">
        <v>29</v>
      </c>
      <c r="M45" s="39">
        <v>50.0</v>
      </c>
      <c r="P45" s="39">
        <v>50.0</v>
      </c>
      <c r="Q45" s="39">
        <v>25.0</v>
      </c>
      <c r="AH45" s="162"/>
      <c r="AI45" s="162"/>
      <c r="AJ45" s="162"/>
      <c r="AK45" s="162"/>
      <c r="AZ45" s="39" t="s">
        <v>4691</v>
      </c>
      <c r="BI45" s="39" t="s">
        <v>4581</v>
      </c>
      <c r="BR45" s="39" t="s">
        <v>4689</v>
      </c>
      <c r="BS45" s="126" t="s">
        <v>4692</v>
      </c>
      <c r="BT45" s="126">
        <v>28.0</v>
      </c>
      <c r="BU45" s="126" t="s">
        <v>4716</v>
      </c>
      <c r="BV45" s="126">
        <v>10.0</v>
      </c>
      <c r="BW45" s="126">
        <v>1.0</v>
      </c>
      <c r="BX45" s="126" t="s">
        <v>4698</v>
      </c>
      <c r="BY45" s="126" t="s">
        <v>29</v>
      </c>
      <c r="BZ45" s="126" t="s">
        <v>29</v>
      </c>
      <c r="CA45" s="126" t="s">
        <v>29</v>
      </c>
      <c r="CB45" s="126" t="s">
        <v>4717</v>
      </c>
      <c r="CC45" s="126">
        <v>25.0</v>
      </c>
      <c r="CD45" s="126">
        <v>1.0</v>
      </c>
      <c r="CE45" s="126">
        <v>10.0</v>
      </c>
    </row>
    <row r="46" ht="18.75" customHeight="1">
      <c r="A46" s="39" t="s">
        <v>4718</v>
      </c>
      <c r="B46" s="39" t="s">
        <v>4577</v>
      </c>
      <c r="C46" s="102" t="s">
        <v>4719</v>
      </c>
      <c r="D46" s="39" t="s">
        <v>4714</v>
      </c>
      <c r="E46" s="102">
        <v>5.0</v>
      </c>
      <c r="F46" s="102">
        <v>1.0</v>
      </c>
      <c r="G46" s="102" t="s">
        <v>3055</v>
      </c>
      <c r="I46" s="39">
        <v>2.0</v>
      </c>
      <c r="J46" s="39" t="s">
        <v>29</v>
      </c>
      <c r="M46" s="39">
        <v>100.0</v>
      </c>
      <c r="P46" s="39">
        <v>100.0</v>
      </c>
      <c r="Q46" s="39">
        <v>50.0</v>
      </c>
      <c r="AH46" s="162"/>
      <c r="AI46" s="162"/>
      <c r="AJ46" s="162"/>
      <c r="AK46" s="162"/>
      <c r="AZ46" s="39" t="s">
        <v>4691</v>
      </c>
      <c r="BI46" s="39" t="s">
        <v>4581</v>
      </c>
      <c r="BM46" s="39">
        <v>0.0</v>
      </c>
      <c r="BR46" s="39" t="s">
        <v>4714</v>
      </c>
      <c r="BS46" s="126" t="s">
        <v>4692</v>
      </c>
      <c r="BT46" s="126">
        <v>26.0</v>
      </c>
      <c r="BU46" s="126" t="s">
        <v>4716</v>
      </c>
      <c r="BV46" s="126">
        <v>20.0</v>
      </c>
      <c r="BW46" s="126">
        <v>2.0</v>
      </c>
      <c r="BX46" s="126" t="s">
        <v>4702</v>
      </c>
      <c r="BY46" s="126" t="s">
        <v>29</v>
      </c>
      <c r="BZ46" s="126" t="s">
        <v>29</v>
      </c>
      <c r="CA46" s="126" t="s">
        <v>29</v>
      </c>
      <c r="CB46" s="126" t="s">
        <v>4717</v>
      </c>
      <c r="CC46" s="126">
        <v>25.0</v>
      </c>
      <c r="CD46" s="126">
        <v>3.0</v>
      </c>
      <c r="CE46" s="126">
        <v>20.0</v>
      </c>
    </row>
    <row r="47" ht="18.75" customHeight="1">
      <c r="A47" s="39" t="s">
        <v>4720</v>
      </c>
      <c r="B47" s="39" t="s">
        <v>4577</v>
      </c>
      <c r="C47" s="102" t="s">
        <v>4721</v>
      </c>
      <c r="D47" s="39" t="s">
        <v>4718</v>
      </c>
      <c r="E47" s="102">
        <v>7.0</v>
      </c>
      <c r="F47" s="102">
        <v>1.0</v>
      </c>
      <c r="G47" s="102" t="s">
        <v>3055</v>
      </c>
      <c r="I47" s="39">
        <v>3.0</v>
      </c>
      <c r="J47" s="39" t="s">
        <v>29</v>
      </c>
      <c r="M47" s="39">
        <v>150.0</v>
      </c>
      <c r="P47" s="39">
        <v>150.0</v>
      </c>
      <c r="Q47" s="39">
        <v>75.0</v>
      </c>
      <c r="AH47" s="162"/>
      <c r="AI47" s="162"/>
      <c r="AJ47" s="162"/>
      <c r="AK47" s="162"/>
      <c r="AZ47" s="39" t="s">
        <v>4691</v>
      </c>
      <c r="BI47" s="39" t="s">
        <v>4581</v>
      </c>
      <c r="BM47" s="39">
        <v>0.0</v>
      </c>
      <c r="BR47" s="39" t="s">
        <v>4718</v>
      </c>
      <c r="BS47" s="126" t="s">
        <v>4692</v>
      </c>
      <c r="BT47" s="126">
        <v>24.0</v>
      </c>
      <c r="BU47" s="126" t="s">
        <v>4716</v>
      </c>
      <c r="BV47" s="126">
        <v>25.0</v>
      </c>
      <c r="BW47" s="126">
        <v>3.0</v>
      </c>
      <c r="BX47" s="126" t="s">
        <v>4705</v>
      </c>
      <c r="BY47" s="126" t="s">
        <v>29</v>
      </c>
      <c r="BZ47" s="126" t="s">
        <v>29</v>
      </c>
      <c r="CA47" s="126" t="s">
        <v>29</v>
      </c>
      <c r="CB47" s="126" t="s">
        <v>4717</v>
      </c>
      <c r="CC47" s="126">
        <v>25.0</v>
      </c>
      <c r="CD47" s="126">
        <v>5.0</v>
      </c>
      <c r="CE47" s="126">
        <v>25.0</v>
      </c>
    </row>
    <row r="48" ht="18.75" customHeight="1">
      <c r="A48" s="39" t="s">
        <v>4722</v>
      </c>
      <c r="B48" s="39" t="s">
        <v>4577</v>
      </c>
      <c r="C48" s="102" t="s">
        <v>4723</v>
      </c>
      <c r="E48" s="102">
        <v>3.0</v>
      </c>
      <c r="F48" s="102">
        <v>1.0</v>
      </c>
      <c r="G48" s="102" t="s">
        <v>3055</v>
      </c>
      <c r="I48" s="39">
        <v>1.0</v>
      </c>
      <c r="J48" s="39" t="s">
        <v>29</v>
      </c>
      <c r="M48" s="39">
        <v>50.0</v>
      </c>
      <c r="P48" s="39">
        <v>50.0</v>
      </c>
      <c r="Q48" s="39">
        <v>25.0</v>
      </c>
      <c r="AH48" s="162"/>
      <c r="AI48" s="162"/>
      <c r="AJ48" s="162"/>
      <c r="AK48" s="162"/>
      <c r="AZ48" s="39" t="s">
        <v>4691</v>
      </c>
      <c r="BI48" s="39" t="s">
        <v>4581</v>
      </c>
      <c r="BR48" s="39" t="s">
        <v>4689</v>
      </c>
      <c r="BS48" s="126" t="s">
        <v>4692</v>
      </c>
      <c r="BT48" s="126">
        <v>28.0</v>
      </c>
      <c r="BU48" s="126" t="s">
        <v>4724</v>
      </c>
      <c r="BV48" s="126">
        <v>10.0</v>
      </c>
      <c r="BW48" s="126">
        <v>1.0</v>
      </c>
      <c r="BX48" s="126" t="s">
        <v>4698</v>
      </c>
      <c r="BY48" s="126" t="s">
        <v>29</v>
      </c>
      <c r="BZ48" s="126" t="s">
        <v>29</v>
      </c>
      <c r="CA48" s="126" t="s">
        <v>29</v>
      </c>
      <c r="CB48" s="126" t="s">
        <v>4725</v>
      </c>
      <c r="CC48" s="126">
        <v>25.0</v>
      </c>
      <c r="CD48" s="126">
        <v>1.0</v>
      </c>
      <c r="CE48" s="126">
        <v>10.0</v>
      </c>
    </row>
    <row r="49" ht="18.75" customHeight="1">
      <c r="A49" s="39" t="s">
        <v>4726</v>
      </c>
      <c r="B49" s="39" t="s">
        <v>4577</v>
      </c>
      <c r="C49" s="102" t="s">
        <v>4727</v>
      </c>
      <c r="D49" s="39" t="s">
        <v>4722</v>
      </c>
      <c r="E49" s="102">
        <v>5.0</v>
      </c>
      <c r="F49" s="102">
        <v>1.0</v>
      </c>
      <c r="G49" s="102" t="s">
        <v>3055</v>
      </c>
      <c r="I49" s="39">
        <v>2.0</v>
      </c>
      <c r="J49" s="39" t="s">
        <v>29</v>
      </c>
      <c r="M49" s="39">
        <v>100.0</v>
      </c>
      <c r="P49" s="39">
        <v>100.0</v>
      </c>
      <c r="Q49" s="39">
        <v>50.0</v>
      </c>
      <c r="AH49" s="162"/>
      <c r="AI49" s="162"/>
      <c r="AJ49" s="162"/>
      <c r="AK49" s="162"/>
      <c r="AZ49" s="39" t="s">
        <v>4691</v>
      </c>
      <c r="BI49" s="39" t="s">
        <v>4581</v>
      </c>
      <c r="BM49" s="39">
        <v>0.0</v>
      </c>
      <c r="BR49" s="39" t="s">
        <v>4722</v>
      </c>
      <c r="BS49" s="126" t="s">
        <v>4692</v>
      </c>
      <c r="BT49" s="126">
        <v>26.0</v>
      </c>
      <c r="BU49" s="126" t="s">
        <v>4724</v>
      </c>
      <c r="BV49" s="126">
        <v>20.0</v>
      </c>
      <c r="BW49" s="126">
        <v>2.0</v>
      </c>
      <c r="BX49" s="126" t="s">
        <v>4702</v>
      </c>
      <c r="BY49" s="126" t="s">
        <v>29</v>
      </c>
      <c r="BZ49" s="126" t="s">
        <v>29</v>
      </c>
      <c r="CA49" s="126" t="s">
        <v>29</v>
      </c>
      <c r="CB49" s="126" t="s">
        <v>4725</v>
      </c>
      <c r="CC49" s="126">
        <v>25.0</v>
      </c>
      <c r="CD49" s="126">
        <v>3.0</v>
      </c>
      <c r="CE49" s="126">
        <v>20.0</v>
      </c>
    </row>
    <row r="50" ht="18.75" customHeight="1">
      <c r="A50" s="39" t="s">
        <v>4728</v>
      </c>
      <c r="B50" s="39" t="s">
        <v>4577</v>
      </c>
      <c r="C50" s="102" t="s">
        <v>4729</v>
      </c>
      <c r="D50" s="39" t="s">
        <v>4726</v>
      </c>
      <c r="E50" s="102">
        <v>7.0</v>
      </c>
      <c r="F50" s="102">
        <v>1.0</v>
      </c>
      <c r="G50" s="102" t="s">
        <v>3055</v>
      </c>
      <c r="I50" s="39">
        <v>3.0</v>
      </c>
      <c r="J50" s="39" t="s">
        <v>29</v>
      </c>
      <c r="M50" s="39">
        <v>150.0</v>
      </c>
      <c r="P50" s="39">
        <v>150.0</v>
      </c>
      <c r="Q50" s="39">
        <v>75.0</v>
      </c>
      <c r="AH50" s="162"/>
      <c r="AI50" s="162"/>
      <c r="AJ50" s="162"/>
      <c r="AK50" s="162"/>
      <c r="AZ50" s="39" t="s">
        <v>4691</v>
      </c>
      <c r="BI50" s="39" t="s">
        <v>4581</v>
      </c>
      <c r="BM50" s="39">
        <v>0.0</v>
      </c>
      <c r="BR50" s="39" t="s">
        <v>4726</v>
      </c>
      <c r="BS50" s="126" t="s">
        <v>4692</v>
      </c>
      <c r="BT50" s="126">
        <v>24.0</v>
      </c>
      <c r="BU50" s="126" t="s">
        <v>4724</v>
      </c>
      <c r="BV50" s="126">
        <v>25.0</v>
      </c>
      <c r="BW50" s="126">
        <v>3.0</v>
      </c>
      <c r="BX50" s="126" t="s">
        <v>4705</v>
      </c>
      <c r="BY50" s="126" t="s">
        <v>29</v>
      </c>
      <c r="BZ50" s="126" t="s">
        <v>29</v>
      </c>
      <c r="CA50" s="126" t="s">
        <v>29</v>
      </c>
      <c r="CB50" s="126" t="s">
        <v>4725</v>
      </c>
      <c r="CC50" s="126">
        <v>25.0</v>
      </c>
      <c r="CD50" s="126">
        <v>5.0</v>
      </c>
      <c r="CE50" s="126">
        <v>25.0</v>
      </c>
    </row>
    <row r="51" ht="18.75" customHeight="1">
      <c r="A51" s="39" t="s">
        <v>4730</v>
      </c>
      <c r="B51" s="39" t="s">
        <v>4577</v>
      </c>
      <c r="C51" s="102" t="s">
        <v>4731</v>
      </c>
      <c r="E51" s="102">
        <v>3.0</v>
      </c>
      <c r="F51" s="102">
        <v>1.0</v>
      </c>
      <c r="G51" s="102" t="s">
        <v>3055</v>
      </c>
      <c r="I51" s="39">
        <v>1.0</v>
      </c>
      <c r="J51" s="39" t="s">
        <v>29</v>
      </c>
      <c r="M51" s="39">
        <v>50.0</v>
      </c>
      <c r="P51" s="39">
        <v>50.0</v>
      </c>
      <c r="Q51" s="39">
        <v>25.0</v>
      </c>
      <c r="AH51" s="162"/>
      <c r="AI51" s="162"/>
      <c r="AJ51" s="162"/>
      <c r="AK51" s="162"/>
      <c r="AZ51" s="39" t="s">
        <v>4691</v>
      </c>
      <c r="BI51" s="39" t="s">
        <v>4581</v>
      </c>
      <c r="BR51" s="39" t="s">
        <v>4732</v>
      </c>
      <c r="BS51" s="126" t="s">
        <v>4692</v>
      </c>
      <c r="BT51" s="126">
        <v>28.0</v>
      </c>
      <c r="BU51" s="126" t="s">
        <v>3655</v>
      </c>
      <c r="BV51" s="126">
        <v>10.0</v>
      </c>
      <c r="BW51" s="126">
        <v>1.0</v>
      </c>
      <c r="BX51" s="126"/>
      <c r="BY51" s="126" t="s">
        <v>29</v>
      </c>
      <c r="BZ51" s="126" t="s">
        <v>29</v>
      </c>
      <c r="CA51" s="126" t="s">
        <v>29</v>
      </c>
      <c r="CB51" s="126" t="s">
        <v>4733</v>
      </c>
      <c r="CC51" s="126">
        <v>25.0</v>
      </c>
      <c r="CD51" s="126">
        <v>0.0</v>
      </c>
      <c r="CE51" s="126"/>
    </row>
    <row r="52" ht="18.75" customHeight="1">
      <c r="A52" s="39" t="s">
        <v>4734</v>
      </c>
      <c r="B52" s="39" t="s">
        <v>4577</v>
      </c>
      <c r="C52" s="102" t="s">
        <v>4735</v>
      </c>
      <c r="D52" s="39" t="s">
        <v>4730</v>
      </c>
      <c r="E52" s="102">
        <v>5.0</v>
      </c>
      <c r="F52" s="102">
        <v>1.0</v>
      </c>
      <c r="G52" s="102" t="s">
        <v>3055</v>
      </c>
      <c r="I52" s="39">
        <v>2.0</v>
      </c>
      <c r="J52" s="39" t="s">
        <v>29</v>
      </c>
      <c r="M52" s="39">
        <v>100.0</v>
      </c>
      <c r="P52" s="39">
        <v>100.0</v>
      </c>
      <c r="Q52" s="39">
        <v>50.0</v>
      </c>
      <c r="AH52" s="162"/>
      <c r="AI52" s="162"/>
      <c r="AJ52" s="162"/>
      <c r="AK52" s="162"/>
      <c r="AZ52" s="39" t="s">
        <v>4691</v>
      </c>
      <c r="BI52" s="39" t="s">
        <v>4581</v>
      </c>
      <c r="BM52" s="39">
        <v>0.0</v>
      </c>
      <c r="BR52" s="39" t="s">
        <v>4730</v>
      </c>
      <c r="BS52" s="126" t="s">
        <v>4692</v>
      </c>
      <c r="BT52" s="126">
        <v>26.0</v>
      </c>
      <c r="BU52" s="126" t="s">
        <v>3655</v>
      </c>
      <c r="BV52" s="126">
        <v>20.0</v>
      </c>
      <c r="BW52" s="126">
        <v>2.0</v>
      </c>
      <c r="BX52" s="126"/>
      <c r="BY52" s="126" t="s">
        <v>29</v>
      </c>
      <c r="BZ52" s="126" t="s">
        <v>29</v>
      </c>
      <c r="CA52" s="126" t="s">
        <v>29</v>
      </c>
      <c r="CB52" s="126" t="s">
        <v>4733</v>
      </c>
      <c r="CC52" s="126">
        <v>25.0</v>
      </c>
      <c r="CD52" s="126">
        <v>0.0</v>
      </c>
      <c r="CE52" s="126"/>
    </row>
    <row r="53" ht="18.75" customHeight="1">
      <c r="A53" s="39" t="s">
        <v>4736</v>
      </c>
      <c r="B53" s="39" t="s">
        <v>4577</v>
      </c>
      <c r="C53" s="102" t="s">
        <v>4737</v>
      </c>
      <c r="D53" s="39" t="s">
        <v>4734</v>
      </c>
      <c r="E53" s="102">
        <v>7.0</v>
      </c>
      <c r="F53" s="102">
        <v>1.0</v>
      </c>
      <c r="G53" s="102" t="s">
        <v>3055</v>
      </c>
      <c r="I53" s="39">
        <v>3.0</v>
      </c>
      <c r="J53" s="39" t="s">
        <v>29</v>
      </c>
      <c r="M53" s="39">
        <v>150.0</v>
      </c>
      <c r="P53" s="39">
        <v>150.0</v>
      </c>
      <c r="Q53" s="39">
        <v>75.0</v>
      </c>
      <c r="AH53" s="162"/>
      <c r="AI53" s="162"/>
      <c r="AJ53" s="162"/>
      <c r="AK53" s="162"/>
      <c r="AZ53" s="39" t="s">
        <v>4691</v>
      </c>
      <c r="BI53" s="39" t="s">
        <v>4581</v>
      </c>
      <c r="BM53" s="39">
        <v>0.0</v>
      </c>
      <c r="BR53" s="39" t="s">
        <v>4734</v>
      </c>
      <c r="BS53" s="126" t="s">
        <v>4692</v>
      </c>
      <c r="BT53" s="126">
        <v>24.0</v>
      </c>
      <c r="BU53" s="126" t="s">
        <v>3655</v>
      </c>
      <c r="BV53" s="126">
        <v>25.0</v>
      </c>
      <c r="BW53" s="126">
        <v>3.0</v>
      </c>
      <c r="BX53" s="126"/>
      <c r="BY53" s="126" t="s">
        <v>29</v>
      </c>
      <c r="BZ53" s="126" t="s">
        <v>29</v>
      </c>
      <c r="CA53" s="126" t="s">
        <v>29</v>
      </c>
      <c r="CB53" s="126" t="s">
        <v>4733</v>
      </c>
      <c r="CC53" s="126">
        <v>25.0</v>
      </c>
      <c r="CD53" s="126">
        <v>0.0</v>
      </c>
      <c r="CE53" s="126"/>
    </row>
    <row r="54" ht="18.75" customHeight="1">
      <c r="A54" s="39" t="s">
        <v>4738</v>
      </c>
      <c r="B54" s="39" t="s">
        <v>4577</v>
      </c>
      <c r="C54" s="102" t="s">
        <v>4739</v>
      </c>
      <c r="E54" s="102">
        <v>3.0</v>
      </c>
      <c r="F54" s="102">
        <v>1.0</v>
      </c>
      <c r="G54" s="102" t="s">
        <v>3055</v>
      </c>
      <c r="I54" s="39" t="s">
        <v>29</v>
      </c>
      <c r="J54" s="39">
        <v>1.0</v>
      </c>
      <c r="M54" s="39">
        <v>50.0</v>
      </c>
      <c r="P54" s="39">
        <v>50.0</v>
      </c>
      <c r="Q54" s="39">
        <v>25.0</v>
      </c>
      <c r="AH54" s="162"/>
      <c r="AI54" s="162"/>
      <c r="AJ54" s="162"/>
      <c r="AK54" s="162"/>
      <c r="AZ54" s="39" t="s">
        <v>4691</v>
      </c>
      <c r="BI54" s="39" t="s">
        <v>4581</v>
      </c>
      <c r="BR54" s="39" t="s">
        <v>4635</v>
      </c>
      <c r="BS54" s="126" t="s">
        <v>4740</v>
      </c>
      <c r="BT54" s="126">
        <v>28.0</v>
      </c>
      <c r="BU54" s="126" t="s">
        <v>1295</v>
      </c>
      <c r="BV54" s="126">
        <v>10.0</v>
      </c>
      <c r="BW54" s="126">
        <v>1.0</v>
      </c>
      <c r="BX54" s="126"/>
      <c r="BY54" s="126" t="s">
        <v>1295</v>
      </c>
      <c r="BZ54" s="126">
        <v>1.1</v>
      </c>
      <c r="CA54" s="126">
        <v>4.0</v>
      </c>
      <c r="CB54" s="126" t="s">
        <v>4741</v>
      </c>
      <c r="CC54" s="126">
        <v>25.0</v>
      </c>
      <c r="CD54" s="126">
        <v>0.0</v>
      </c>
      <c r="CE54" s="126"/>
    </row>
    <row r="55" ht="18.75" customHeight="1">
      <c r="A55" s="39" t="s">
        <v>4742</v>
      </c>
      <c r="B55" s="39" t="s">
        <v>4577</v>
      </c>
      <c r="C55" s="102" t="s">
        <v>4743</v>
      </c>
      <c r="D55" s="39" t="s">
        <v>4738</v>
      </c>
      <c r="E55" s="102">
        <v>5.0</v>
      </c>
      <c r="F55" s="102">
        <v>1.0</v>
      </c>
      <c r="G55" s="102" t="s">
        <v>3055</v>
      </c>
      <c r="I55" s="39" t="s">
        <v>29</v>
      </c>
      <c r="J55" s="39">
        <v>2.0</v>
      </c>
      <c r="M55" s="39">
        <v>100.0</v>
      </c>
      <c r="P55" s="39">
        <v>100.0</v>
      </c>
      <c r="Q55" s="39">
        <v>50.0</v>
      </c>
      <c r="AH55" s="162"/>
      <c r="AI55" s="162"/>
      <c r="AJ55" s="162"/>
      <c r="AK55" s="162"/>
      <c r="AZ55" s="39" t="s">
        <v>4691</v>
      </c>
      <c r="BI55" s="39" t="s">
        <v>4581</v>
      </c>
      <c r="BM55" s="39">
        <v>0.0</v>
      </c>
      <c r="BR55" s="39" t="s">
        <v>4738</v>
      </c>
      <c r="BS55" s="126" t="s">
        <v>4740</v>
      </c>
      <c r="BT55" s="126">
        <v>26.0</v>
      </c>
      <c r="BU55" s="126" t="s">
        <v>1295</v>
      </c>
      <c r="BV55" s="126">
        <v>20.0</v>
      </c>
      <c r="BW55" s="126">
        <v>2.0</v>
      </c>
      <c r="BX55" s="126"/>
      <c r="BY55" s="126" t="s">
        <v>1295</v>
      </c>
      <c r="BZ55" s="126">
        <v>1.25</v>
      </c>
      <c r="CA55" s="126">
        <v>5.0</v>
      </c>
      <c r="CB55" s="126" t="s">
        <v>4741</v>
      </c>
      <c r="CC55" s="126">
        <v>25.0</v>
      </c>
      <c r="CD55" s="126">
        <v>0.0</v>
      </c>
      <c r="CE55" s="126"/>
    </row>
    <row r="56" ht="18.75" customHeight="1">
      <c r="A56" s="39" t="s">
        <v>4744</v>
      </c>
      <c r="B56" s="39" t="s">
        <v>4577</v>
      </c>
      <c r="C56" s="102" t="s">
        <v>4745</v>
      </c>
      <c r="D56" s="39" t="s">
        <v>4742</v>
      </c>
      <c r="E56" s="102">
        <v>7.0</v>
      </c>
      <c r="F56" s="102">
        <v>1.0</v>
      </c>
      <c r="G56" s="102" t="s">
        <v>3055</v>
      </c>
      <c r="I56" s="39" t="s">
        <v>29</v>
      </c>
      <c r="J56" s="39">
        <v>3.0</v>
      </c>
      <c r="M56" s="39">
        <v>150.0</v>
      </c>
      <c r="P56" s="39">
        <v>150.0</v>
      </c>
      <c r="Q56" s="39">
        <v>75.0</v>
      </c>
      <c r="AH56" s="162"/>
      <c r="AI56" s="162"/>
      <c r="AJ56" s="162"/>
      <c r="AK56" s="162"/>
      <c r="AZ56" s="39" t="s">
        <v>4691</v>
      </c>
      <c r="BI56" s="39" t="s">
        <v>4581</v>
      </c>
      <c r="BM56" s="39">
        <v>0.0</v>
      </c>
      <c r="BR56" s="39" t="s">
        <v>4742</v>
      </c>
      <c r="BS56" s="126" t="s">
        <v>4740</v>
      </c>
      <c r="BT56" s="126">
        <v>24.0</v>
      </c>
      <c r="BU56" s="126" t="s">
        <v>1295</v>
      </c>
      <c r="BV56" s="126">
        <v>25.0</v>
      </c>
      <c r="BW56" s="126">
        <v>3.0</v>
      </c>
      <c r="BX56" s="126"/>
      <c r="BY56" s="126" t="s">
        <v>1295</v>
      </c>
      <c r="BZ56" s="126">
        <v>1.5</v>
      </c>
      <c r="CA56" s="126">
        <v>6.0</v>
      </c>
      <c r="CB56" s="126" t="s">
        <v>4741</v>
      </c>
      <c r="CC56" s="126">
        <v>25.0</v>
      </c>
      <c r="CD56" s="126">
        <v>0.0</v>
      </c>
      <c r="CE56" s="126"/>
    </row>
    <row r="57" ht="18.75" customHeight="1">
      <c r="A57" s="39" t="s">
        <v>4746</v>
      </c>
      <c r="B57" s="39" t="s">
        <v>4577</v>
      </c>
      <c r="C57" s="102" t="s">
        <v>4747</v>
      </c>
      <c r="E57" s="102">
        <v>3.0</v>
      </c>
      <c r="F57" s="102">
        <v>1.0</v>
      </c>
      <c r="G57" s="102" t="s">
        <v>3055</v>
      </c>
      <c r="I57" s="39" t="s">
        <v>29</v>
      </c>
      <c r="J57" s="39">
        <v>1.0</v>
      </c>
      <c r="M57" s="39">
        <v>50.0</v>
      </c>
      <c r="P57" s="39">
        <v>50.0</v>
      </c>
      <c r="Q57" s="39">
        <v>25.0</v>
      </c>
      <c r="AH57" s="162"/>
      <c r="AI57" s="162"/>
      <c r="AJ57" s="162"/>
      <c r="AK57" s="162"/>
      <c r="AZ57" s="39" t="s">
        <v>4691</v>
      </c>
      <c r="BI57" s="39" t="s">
        <v>4581</v>
      </c>
      <c r="BR57" s="39" t="s">
        <v>4635</v>
      </c>
      <c r="BS57" s="126" t="s">
        <v>4740</v>
      </c>
      <c r="BT57" s="126">
        <v>28.0</v>
      </c>
      <c r="BU57" s="126" t="s">
        <v>1280</v>
      </c>
      <c r="BV57" s="126">
        <v>10.0</v>
      </c>
      <c r="BW57" s="126">
        <v>1.0</v>
      </c>
      <c r="BX57" s="126"/>
      <c r="BY57" s="126" t="s">
        <v>1280</v>
      </c>
      <c r="BZ57" s="126">
        <v>1.1</v>
      </c>
      <c r="CA57" s="126">
        <v>4.0</v>
      </c>
      <c r="CB57" s="126" t="s">
        <v>4748</v>
      </c>
      <c r="CC57" s="126">
        <v>25.0</v>
      </c>
      <c r="CD57" s="126">
        <v>0.0</v>
      </c>
      <c r="CE57" s="126"/>
    </row>
    <row r="58" ht="18.75" customHeight="1">
      <c r="A58" s="39" t="s">
        <v>4749</v>
      </c>
      <c r="B58" s="39" t="s">
        <v>4577</v>
      </c>
      <c r="C58" s="102" t="s">
        <v>4750</v>
      </c>
      <c r="D58" s="39" t="s">
        <v>4746</v>
      </c>
      <c r="E58" s="102">
        <v>5.0</v>
      </c>
      <c r="F58" s="102">
        <v>1.0</v>
      </c>
      <c r="G58" s="102" t="s">
        <v>3055</v>
      </c>
      <c r="I58" s="39" t="s">
        <v>29</v>
      </c>
      <c r="J58" s="39">
        <v>2.0</v>
      </c>
      <c r="M58" s="39">
        <v>100.0</v>
      </c>
      <c r="P58" s="39">
        <v>100.0</v>
      </c>
      <c r="Q58" s="39">
        <v>50.0</v>
      </c>
      <c r="AH58" s="162"/>
      <c r="AI58" s="162"/>
      <c r="AJ58" s="162"/>
      <c r="AK58" s="162"/>
      <c r="AZ58" s="39" t="s">
        <v>4691</v>
      </c>
      <c r="BI58" s="39" t="s">
        <v>4581</v>
      </c>
      <c r="BM58" s="39">
        <v>0.0</v>
      </c>
      <c r="BR58" s="39" t="s">
        <v>4746</v>
      </c>
      <c r="BS58" s="126" t="s">
        <v>4740</v>
      </c>
      <c r="BT58" s="126">
        <v>26.0</v>
      </c>
      <c r="BU58" s="126" t="s">
        <v>1280</v>
      </c>
      <c r="BV58" s="126">
        <v>20.0</v>
      </c>
      <c r="BW58" s="126">
        <v>2.0</v>
      </c>
      <c r="BX58" s="126"/>
      <c r="BY58" s="126" t="s">
        <v>1280</v>
      </c>
      <c r="BZ58" s="126">
        <v>1.25</v>
      </c>
      <c r="CA58" s="126">
        <v>5.0</v>
      </c>
      <c r="CB58" s="126" t="s">
        <v>4748</v>
      </c>
      <c r="CC58" s="126">
        <v>25.0</v>
      </c>
      <c r="CD58" s="126">
        <v>0.0</v>
      </c>
      <c r="CE58" s="126"/>
    </row>
    <row r="59" ht="18.75" customHeight="1">
      <c r="A59" s="39" t="s">
        <v>4751</v>
      </c>
      <c r="B59" s="39" t="s">
        <v>4577</v>
      </c>
      <c r="C59" s="102" t="s">
        <v>4752</v>
      </c>
      <c r="D59" s="39" t="s">
        <v>4749</v>
      </c>
      <c r="E59" s="102">
        <v>7.0</v>
      </c>
      <c r="F59" s="102">
        <v>1.0</v>
      </c>
      <c r="G59" s="102" t="s">
        <v>3055</v>
      </c>
      <c r="I59" s="39" t="s">
        <v>29</v>
      </c>
      <c r="J59" s="39">
        <v>3.0</v>
      </c>
      <c r="M59" s="39">
        <v>150.0</v>
      </c>
      <c r="P59" s="39">
        <v>150.0</v>
      </c>
      <c r="Q59" s="39">
        <v>75.0</v>
      </c>
      <c r="AH59" s="162"/>
      <c r="AI59" s="162"/>
      <c r="AJ59" s="162"/>
      <c r="AK59" s="162"/>
      <c r="AZ59" s="39" t="s">
        <v>4691</v>
      </c>
      <c r="BI59" s="39" t="s">
        <v>4581</v>
      </c>
      <c r="BM59" s="39">
        <v>0.0</v>
      </c>
      <c r="BR59" s="39" t="s">
        <v>4749</v>
      </c>
      <c r="BS59" s="126" t="s">
        <v>4740</v>
      </c>
      <c r="BT59" s="126">
        <v>24.0</v>
      </c>
      <c r="BU59" s="126" t="s">
        <v>1280</v>
      </c>
      <c r="BV59" s="126">
        <v>25.0</v>
      </c>
      <c r="BW59" s="126">
        <v>3.0</v>
      </c>
      <c r="BX59" s="126"/>
      <c r="BY59" s="126" t="s">
        <v>1280</v>
      </c>
      <c r="BZ59" s="126">
        <v>1.5</v>
      </c>
      <c r="CA59" s="126">
        <v>6.0</v>
      </c>
      <c r="CB59" s="126" t="s">
        <v>4748</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4753</v>
      </c>
      <c r="C1" s="37" t="s">
        <v>0</v>
      </c>
      <c r="D1" s="37" t="s">
        <v>4754</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4755</v>
      </c>
      <c r="BA1" s="39" t="s">
        <v>4756</v>
      </c>
      <c r="BB1" s="164" t="s">
        <v>4757</v>
      </c>
      <c r="BC1" s="164" t="s">
        <v>4758</v>
      </c>
    </row>
    <row r="2" ht="18.75" customHeight="1">
      <c r="A2" s="37" t="s">
        <v>4759</v>
      </c>
      <c r="B2" s="37" t="s">
        <v>4760</v>
      </c>
      <c r="C2" s="37">
        <v>1.0</v>
      </c>
      <c r="D2" s="37">
        <v>5.0</v>
      </c>
      <c r="E2" s="37" t="s">
        <v>4761</v>
      </c>
      <c r="AY2" s="37" t="s">
        <v>4762</v>
      </c>
      <c r="AZ2" s="39">
        <v>1.0</v>
      </c>
      <c r="BA2" s="39" t="s">
        <v>29</v>
      </c>
      <c r="BB2" s="39"/>
      <c r="BC2" s="39"/>
    </row>
    <row r="3" ht="18.75" customHeight="1" outlineLevel="1">
      <c r="A3" s="37" t="s">
        <v>4763</v>
      </c>
      <c r="B3" s="37" t="s">
        <v>4760</v>
      </c>
      <c r="C3" s="37">
        <v>1.0</v>
      </c>
      <c r="D3" s="37">
        <v>5.0</v>
      </c>
      <c r="E3" s="37" t="s">
        <v>4764</v>
      </c>
      <c r="AY3" s="37" t="s">
        <v>4765</v>
      </c>
      <c r="AZ3" s="39">
        <v>1.0</v>
      </c>
      <c r="BA3" s="39" t="s">
        <v>29</v>
      </c>
      <c r="BB3" s="39"/>
      <c r="BC3" s="39"/>
    </row>
    <row r="4" ht="18.75" customHeight="1" outlineLevel="1">
      <c r="A4" s="37" t="s">
        <v>4766</v>
      </c>
      <c r="B4" s="37" t="s">
        <v>4760</v>
      </c>
      <c r="C4" s="37">
        <v>1.0</v>
      </c>
      <c r="D4" s="37">
        <v>5.0</v>
      </c>
      <c r="E4" s="37" t="s">
        <v>4767</v>
      </c>
      <c r="AY4" s="37" t="s">
        <v>4768</v>
      </c>
      <c r="AZ4" s="39">
        <v>1.0</v>
      </c>
      <c r="BA4" s="39" t="s">
        <v>29</v>
      </c>
      <c r="BB4" s="39"/>
      <c r="BC4" s="39"/>
    </row>
    <row r="5" ht="18.75" customHeight="1" outlineLevel="1">
      <c r="A5" s="37" t="s">
        <v>4769</v>
      </c>
      <c r="B5" s="37" t="s">
        <v>4760</v>
      </c>
      <c r="C5" s="37">
        <v>2.0</v>
      </c>
      <c r="D5" s="37">
        <v>15.0</v>
      </c>
      <c r="E5" s="37" t="s">
        <v>4770</v>
      </c>
      <c r="AY5" s="37" t="s">
        <v>4771</v>
      </c>
      <c r="AZ5" s="39">
        <v>2.0</v>
      </c>
      <c r="BA5" s="39" t="s">
        <v>4762</v>
      </c>
      <c r="BB5" s="39"/>
      <c r="BC5" s="39"/>
    </row>
    <row r="6" ht="18.75" customHeight="1" outlineLevel="1">
      <c r="A6" s="37" t="s">
        <v>4772</v>
      </c>
      <c r="B6" s="37" t="s">
        <v>4760</v>
      </c>
      <c r="C6" s="37">
        <v>2.0</v>
      </c>
      <c r="D6" s="37">
        <v>15.0</v>
      </c>
      <c r="E6" s="37" t="s">
        <v>4773</v>
      </c>
      <c r="AY6" s="37" t="s">
        <v>4774</v>
      </c>
      <c r="AZ6" s="39">
        <v>2.0</v>
      </c>
      <c r="BA6" s="39" t="s">
        <v>4765</v>
      </c>
      <c r="BB6" s="39"/>
      <c r="BC6" s="39"/>
    </row>
    <row r="7" ht="18.75" customHeight="1" outlineLevel="1">
      <c r="A7" s="37" t="s">
        <v>4775</v>
      </c>
      <c r="B7" s="37" t="s">
        <v>4760</v>
      </c>
      <c r="C7" s="37">
        <v>2.0</v>
      </c>
      <c r="D7" s="37">
        <v>15.0</v>
      </c>
      <c r="E7" s="37" t="s">
        <v>4776</v>
      </c>
      <c r="AY7" s="37" t="s">
        <v>4777</v>
      </c>
      <c r="AZ7" s="39">
        <v>2.0</v>
      </c>
      <c r="BA7" s="39" t="s">
        <v>4768</v>
      </c>
      <c r="BB7" s="39"/>
      <c r="BC7" s="39"/>
    </row>
    <row r="8" ht="18.75" customHeight="1" outlineLevel="1">
      <c r="A8" s="37" t="s">
        <v>4778</v>
      </c>
      <c r="B8" s="37" t="s">
        <v>4760</v>
      </c>
      <c r="C8" s="37">
        <v>3.0</v>
      </c>
      <c r="D8" s="37">
        <v>25.0</v>
      </c>
      <c r="E8" s="37" t="s">
        <v>4779</v>
      </c>
      <c r="AY8" s="37" t="s">
        <v>4780</v>
      </c>
      <c r="AZ8" s="39">
        <v>3.0</v>
      </c>
      <c r="BA8" s="39" t="s">
        <v>4771</v>
      </c>
      <c r="BB8" s="39"/>
      <c r="BC8" s="39"/>
    </row>
    <row r="9" ht="18.75" customHeight="1" outlineLevel="1">
      <c r="A9" s="37" t="s">
        <v>4781</v>
      </c>
      <c r="B9" s="37" t="s">
        <v>4760</v>
      </c>
      <c r="C9" s="37">
        <v>3.0</v>
      </c>
      <c r="D9" s="37">
        <v>25.0</v>
      </c>
      <c r="E9" s="37" t="s">
        <v>4782</v>
      </c>
      <c r="AY9" s="37" t="s">
        <v>4783</v>
      </c>
      <c r="AZ9" s="39">
        <v>3.0</v>
      </c>
      <c r="BA9" s="39" t="s">
        <v>4774</v>
      </c>
      <c r="BB9" s="39"/>
      <c r="BC9" s="39"/>
    </row>
    <row r="10" ht="18.75" customHeight="1" outlineLevel="1">
      <c r="A10" s="37" t="s">
        <v>4784</v>
      </c>
      <c r="B10" s="37" t="s">
        <v>4760</v>
      </c>
      <c r="C10" s="37">
        <v>3.0</v>
      </c>
      <c r="D10" s="37">
        <v>25.0</v>
      </c>
      <c r="E10" s="37" t="s">
        <v>4784</v>
      </c>
      <c r="AY10" s="37" t="s">
        <v>4785</v>
      </c>
      <c r="AZ10" s="39">
        <v>3.0</v>
      </c>
      <c r="BA10" s="39" t="s">
        <v>4777</v>
      </c>
      <c r="BB10" s="39"/>
      <c r="BC10" s="39"/>
    </row>
    <row r="11" ht="18.75" customHeight="1" outlineLevel="1">
      <c r="A11" s="37" t="s">
        <v>4786</v>
      </c>
      <c r="B11" s="37" t="s">
        <v>4760</v>
      </c>
      <c r="C11" s="37">
        <v>4.0</v>
      </c>
      <c r="D11" s="37">
        <v>35.0</v>
      </c>
      <c r="E11" s="37" t="s">
        <v>4787</v>
      </c>
      <c r="AY11" s="37" t="s">
        <v>4788</v>
      </c>
      <c r="AZ11" s="39">
        <v>4.0</v>
      </c>
      <c r="BA11" s="39" t="s">
        <v>4780</v>
      </c>
      <c r="BB11" s="39"/>
      <c r="BC11" s="39"/>
    </row>
    <row r="12" ht="18.75" customHeight="1" outlineLevel="1">
      <c r="A12" s="37" t="s">
        <v>4789</v>
      </c>
      <c r="B12" s="37" t="s">
        <v>4760</v>
      </c>
      <c r="C12" s="37">
        <v>4.0</v>
      </c>
      <c r="D12" s="37">
        <v>35.0</v>
      </c>
      <c r="E12" s="37" t="s">
        <v>4790</v>
      </c>
      <c r="AY12" s="37" t="s">
        <v>4791</v>
      </c>
      <c r="AZ12" s="39">
        <v>4.0</v>
      </c>
      <c r="BA12" s="39" t="s">
        <v>4783</v>
      </c>
      <c r="BB12" s="39"/>
      <c r="BC12" s="39"/>
    </row>
    <row r="13" ht="18.75" customHeight="1" outlineLevel="1">
      <c r="A13" s="37" t="s">
        <v>4792</v>
      </c>
      <c r="B13" s="37" t="s">
        <v>4760</v>
      </c>
      <c r="C13" s="37">
        <v>4.0</v>
      </c>
      <c r="D13" s="37">
        <v>35.0</v>
      </c>
      <c r="E13" s="37" t="s">
        <v>4793</v>
      </c>
      <c r="AY13" s="37" t="s">
        <v>4794</v>
      </c>
      <c r="AZ13" s="39">
        <v>4.0</v>
      </c>
      <c r="BA13" s="39" t="s">
        <v>4785</v>
      </c>
      <c r="BB13" s="39"/>
      <c r="BC13" s="39"/>
    </row>
    <row r="14" ht="18.75" customHeight="1" outlineLevel="1">
      <c r="B14" s="37" t="s">
        <v>4760</v>
      </c>
      <c r="C14" s="37">
        <f t="shared" ref="C14:C21" si="1">C11+1</f>
        <v>5</v>
      </c>
    </row>
    <row r="15" ht="18.75" customHeight="1" outlineLevel="1">
      <c r="B15" s="37" t="s">
        <v>4760</v>
      </c>
      <c r="C15" s="37">
        <f t="shared" si="1"/>
        <v>5</v>
      </c>
    </row>
    <row r="16" ht="18.75" customHeight="1" outlineLevel="1">
      <c r="B16" s="37" t="s">
        <v>4760</v>
      </c>
      <c r="C16" s="37">
        <f t="shared" si="1"/>
        <v>5</v>
      </c>
    </row>
    <row r="17" ht="18.75" customHeight="1" outlineLevel="1">
      <c r="B17" s="37" t="s">
        <v>4760</v>
      </c>
      <c r="C17" s="37">
        <f t="shared" si="1"/>
        <v>6</v>
      </c>
    </row>
    <row r="18" ht="18.75" customHeight="1" outlineLevel="1">
      <c r="B18" s="37" t="s">
        <v>4760</v>
      </c>
      <c r="C18" s="37">
        <f t="shared" si="1"/>
        <v>6</v>
      </c>
    </row>
    <row r="19" ht="18.75" customHeight="1" outlineLevel="1">
      <c r="B19" s="37" t="s">
        <v>4760</v>
      </c>
      <c r="C19" s="37">
        <f t="shared" si="1"/>
        <v>6</v>
      </c>
    </row>
    <row r="20" ht="18.75" customHeight="1" outlineLevel="1">
      <c r="B20" s="37" t="s">
        <v>4760</v>
      </c>
      <c r="C20" s="37">
        <f t="shared" si="1"/>
        <v>7</v>
      </c>
    </row>
    <row r="21" ht="18.75" customHeight="1" outlineLevel="1">
      <c r="B21" s="37" t="s">
        <v>4760</v>
      </c>
      <c r="C21" s="37">
        <f t="shared" si="1"/>
        <v>7</v>
      </c>
    </row>
    <row r="22" ht="18.75" customHeight="1" outlineLevel="1">
      <c r="A22" s="37" t="s">
        <v>4461</v>
      </c>
      <c r="B22" s="37" t="s">
        <v>4753</v>
      </c>
      <c r="C22" s="37" t="s">
        <v>0</v>
      </c>
      <c r="E22" s="37" t="s">
        <v>2620</v>
      </c>
    </row>
    <row r="23" ht="18.75" customHeight="1">
      <c r="A23" s="37" t="s">
        <v>4795</v>
      </c>
      <c r="B23" s="37" t="s">
        <v>4796</v>
      </c>
      <c r="C23" s="37">
        <v>1.0</v>
      </c>
      <c r="D23" s="37">
        <v>5.0</v>
      </c>
      <c r="E23" s="37" t="s">
        <v>4797</v>
      </c>
      <c r="AW23" s="39">
        <v>10.0</v>
      </c>
      <c r="AY23" s="37" t="s">
        <v>4798</v>
      </c>
      <c r="AZ23" s="39">
        <v>1.0</v>
      </c>
      <c r="BA23" s="39" t="s">
        <v>29</v>
      </c>
      <c r="BB23" s="39"/>
      <c r="BC23" s="39"/>
    </row>
    <row r="24" ht="18.75" customHeight="1" outlineLevel="1">
      <c r="A24" s="37" t="s">
        <v>4799</v>
      </c>
      <c r="B24" s="37" t="s">
        <v>4796</v>
      </c>
      <c r="C24" s="37">
        <v>1.0</v>
      </c>
      <c r="D24" s="37">
        <v>5.0</v>
      </c>
      <c r="E24" s="37" t="s">
        <v>4800</v>
      </c>
      <c r="AY24" s="37" t="s">
        <v>4801</v>
      </c>
      <c r="AZ24" s="39">
        <v>1.0</v>
      </c>
      <c r="BA24" s="39" t="s">
        <v>29</v>
      </c>
      <c r="BB24" s="39"/>
      <c r="BC24" s="39"/>
    </row>
    <row r="25" ht="18.75" customHeight="1" outlineLevel="1">
      <c r="A25" s="37" t="s">
        <v>4802</v>
      </c>
      <c r="B25" s="37" t="s">
        <v>4796</v>
      </c>
      <c r="C25" s="37">
        <v>1.0</v>
      </c>
      <c r="D25" s="37">
        <v>5.0</v>
      </c>
      <c r="E25" s="37" t="s">
        <v>4803</v>
      </c>
      <c r="AY25" s="37" t="s">
        <v>4804</v>
      </c>
      <c r="AZ25" s="39">
        <v>1.0</v>
      </c>
      <c r="BA25" s="39" t="s">
        <v>29</v>
      </c>
      <c r="BB25" s="39"/>
      <c r="BC25" s="39"/>
    </row>
    <row r="26" ht="18.75" customHeight="1" outlineLevel="1">
      <c r="A26" s="37" t="s">
        <v>4805</v>
      </c>
      <c r="B26" s="37" t="s">
        <v>4796</v>
      </c>
      <c r="C26" s="37">
        <v>2.0</v>
      </c>
      <c r="D26" s="37">
        <v>15.0</v>
      </c>
      <c r="E26" s="37" t="s">
        <v>4806</v>
      </c>
      <c r="AY26" s="37" t="s">
        <v>4807</v>
      </c>
      <c r="AZ26" s="39">
        <v>2.0</v>
      </c>
      <c r="BA26" s="39" t="s">
        <v>4798</v>
      </c>
      <c r="BB26" s="39"/>
      <c r="BC26" s="39"/>
    </row>
    <row r="27" ht="18.75" customHeight="1" outlineLevel="1">
      <c r="A27" s="37" t="s">
        <v>4808</v>
      </c>
      <c r="B27" s="37" t="s">
        <v>4796</v>
      </c>
      <c r="C27" s="37">
        <v>2.0</v>
      </c>
      <c r="D27" s="37">
        <v>15.0</v>
      </c>
      <c r="E27" s="37" t="s">
        <v>4809</v>
      </c>
      <c r="AY27" s="37" t="s">
        <v>4810</v>
      </c>
      <c r="AZ27" s="39">
        <v>2.0</v>
      </c>
      <c r="BA27" s="39" t="s">
        <v>4801</v>
      </c>
      <c r="BB27" s="39"/>
      <c r="BC27" s="39"/>
    </row>
    <row r="28" ht="18.75" customHeight="1" outlineLevel="1">
      <c r="A28" s="37" t="s">
        <v>4811</v>
      </c>
      <c r="B28" s="37" t="s">
        <v>4796</v>
      </c>
      <c r="C28" s="37">
        <v>2.0</v>
      </c>
      <c r="D28" s="37">
        <v>15.0</v>
      </c>
      <c r="E28" s="37" t="s">
        <v>4812</v>
      </c>
      <c r="AY28" s="37" t="s">
        <v>4813</v>
      </c>
      <c r="AZ28" s="39">
        <v>2.0</v>
      </c>
      <c r="BA28" s="39" t="s">
        <v>4804</v>
      </c>
      <c r="BB28" s="39"/>
      <c r="BC28" s="39"/>
    </row>
    <row r="29" ht="18.75" customHeight="1" outlineLevel="1">
      <c r="A29" s="37" t="s">
        <v>4814</v>
      </c>
      <c r="B29" s="37" t="s">
        <v>4796</v>
      </c>
      <c r="C29" s="37">
        <v>3.0</v>
      </c>
      <c r="D29" s="37">
        <v>25.0</v>
      </c>
      <c r="E29" s="37" t="s">
        <v>4815</v>
      </c>
      <c r="O29" s="39">
        <v>10.0</v>
      </c>
      <c r="AY29" s="37" t="s">
        <v>4816</v>
      </c>
      <c r="AZ29" s="39">
        <v>3.0</v>
      </c>
      <c r="BA29" s="39" t="s">
        <v>4807</v>
      </c>
      <c r="BB29" s="39"/>
      <c r="BC29" s="39"/>
    </row>
    <row r="30" ht="18.75" customHeight="1" outlineLevel="1">
      <c r="A30" s="37" t="s">
        <v>4817</v>
      </c>
      <c r="B30" s="37" t="s">
        <v>4796</v>
      </c>
      <c r="C30" s="37">
        <v>3.0</v>
      </c>
      <c r="D30" s="37">
        <v>25.0</v>
      </c>
      <c r="E30" s="37" t="s">
        <v>4818</v>
      </c>
      <c r="AW30" s="39">
        <v>15.0</v>
      </c>
      <c r="AY30" s="37" t="s">
        <v>4819</v>
      </c>
      <c r="AZ30" s="39">
        <v>3.0</v>
      </c>
      <c r="BA30" s="39" t="s">
        <v>4810</v>
      </c>
      <c r="BB30" s="39"/>
      <c r="BC30" s="39"/>
    </row>
    <row r="31" ht="18.75" customHeight="1" outlineLevel="1">
      <c r="A31" s="37" t="s">
        <v>4820</v>
      </c>
      <c r="B31" s="37" t="s">
        <v>4796</v>
      </c>
      <c r="C31" s="37">
        <v>3.0</v>
      </c>
      <c r="D31" s="37">
        <v>25.0</v>
      </c>
      <c r="E31" s="37" t="s">
        <v>4821</v>
      </c>
      <c r="AY31" s="37" t="s">
        <v>4822</v>
      </c>
      <c r="AZ31" s="39">
        <v>3.0</v>
      </c>
      <c r="BA31" s="39" t="s">
        <v>4813</v>
      </c>
      <c r="BB31" s="39"/>
      <c r="BC31" s="39"/>
    </row>
    <row r="32" ht="18.75" customHeight="1" outlineLevel="1">
      <c r="A32" s="37" t="s">
        <v>4823</v>
      </c>
      <c r="B32" s="37" t="s">
        <v>4796</v>
      </c>
      <c r="C32" s="37">
        <v>4.0</v>
      </c>
      <c r="D32" s="37">
        <v>35.0</v>
      </c>
      <c r="E32" s="37" t="s">
        <v>4824</v>
      </c>
      <c r="AW32" s="39">
        <v>25.0</v>
      </c>
      <c r="AY32" s="37" t="s">
        <v>4825</v>
      </c>
      <c r="AZ32" s="39">
        <v>4.0</v>
      </c>
      <c r="BA32" s="39" t="s">
        <v>4816</v>
      </c>
      <c r="BB32" s="39"/>
      <c r="BC32" s="39"/>
    </row>
    <row r="33" ht="18.75" customHeight="1" outlineLevel="1">
      <c r="A33" s="37" t="s">
        <v>4826</v>
      </c>
      <c r="B33" s="37" t="s">
        <v>4796</v>
      </c>
      <c r="C33" s="37">
        <v>4.0</v>
      </c>
      <c r="D33" s="37">
        <v>35.0</v>
      </c>
      <c r="E33" s="37" t="s">
        <v>4827</v>
      </c>
      <c r="O33" s="39">
        <v>20.0</v>
      </c>
      <c r="AY33" s="37" t="s">
        <v>4828</v>
      </c>
      <c r="AZ33" s="39">
        <v>4.0</v>
      </c>
      <c r="BA33" s="39" t="s">
        <v>4819</v>
      </c>
      <c r="BB33" s="39"/>
      <c r="BC33" s="39"/>
    </row>
    <row r="34" ht="18.75" customHeight="1" outlineLevel="1">
      <c r="A34" s="37" t="s">
        <v>4829</v>
      </c>
      <c r="B34" s="37" t="s">
        <v>4796</v>
      </c>
      <c r="C34" s="37">
        <v>4.0</v>
      </c>
      <c r="D34" s="37">
        <v>35.0</v>
      </c>
      <c r="E34" s="37" t="s">
        <v>4830</v>
      </c>
      <c r="AY34" s="37" t="s">
        <v>4831</v>
      </c>
      <c r="AZ34" s="39">
        <v>4.0</v>
      </c>
      <c r="BA34" s="39" t="s">
        <v>4822</v>
      </c>
      <c r="BB34" s="39"/>
      <c r="BC34" s="39"/>
    </row>
    <row r="35" ht="18.75" customHeight="1" outlineLevel="1">
      <c r="B35" s="37" t="s">
        <v>4796</v>
      </c>
      <c r="C35" s="37">
        <f t="shared" ref="C35:C42" si="2">C32+1</f>
        <v>5</v>
      </c>
    </row>
    <row r="36" ht="18.75" customHeight="1" outlineLevel="1">
      <c r="B36" s="37" t="s">
        <v>4796</v>
      </c>
      <c r="C36" s="37">
        <f t="shared" si="2"/>
        <v>5</v>
      </c>
    </row>
    <row r="37" ht="18.75" customHeight="1" outlineLevel="1">
      <c r="B37" s="37" t="s">
        <v>4796</v>
      </c>
      <c r="C37" s="37">
        <f t="shared" si="2"/>
        <v>5</v>
      </c>
    </row>
    <row r="38" ht="18.75" customHeight="1" outlineLevel="1">
      <c r="B38" s="37" t="s">
        <v>4796</v>
      </c>
      <c r="C38" s="37">
        <f t="shared" si="2"/>
        <v>6</v>
      </c>
    </row>
    <row r="39" ht="18.75" customHeight="1" outlineLevel="1">
      <c r="B39" s="37" t="s">
        <v>4796</v>
      </c>
      <c r="C39" s="37">
        <f t="shared" si="2"/>
        <v>6</v>
      </c>
    </row>
    <row r="40" ht="18.75" customHeight="1" outlineLevel="1">
      <c r="B40" s="37" t="s">
        <v>4796</v>
      </c>
      <c r="C40" s="37">
        <f t="shared" si="2"/>
        <v>6</v>
      </c>
    </row>
    <row r="41" ht="18.75" customHeight="1" outlineLevel="1">
      <c r="B41" s="37" t="s">
        <v>4796</v>
      </c>
      <c r="C41" s="37">
        <f t="shared" si="2"/>
        <v>7</v>
      </c>
    </row>
    <row r="42" ht="18.75" customHeight="1" outlineLevel="1">
      <c r="B42" s="37" t="s">
        <v>4796</v>
      </c>
      <c r="C42" s="37">
        <f t="shared" si="2"/>
        <v>7</v>
      </c>
    </row>
    <row r="43" ht="18.75" customHeight="1" outlineLevel="1">
      <c r="A43" s="37" t="s">
        <v>4461</v>
      </c>
      <c r="B43" s="37" t="s">
        <v>4753</v>
      </c>
      <c r="C43" s="37" t="s">
        <v>0</v>
      </c>
      <c r="E43" s="37" t="s">
        <v>2620</v>
      </c>
    </row>
    <row r="44" ht="18.75" customHeight="1">
      <c r="A44" s="37" t="s">
        <v>4832</v>
      </c>
      <c r="B44" s="37" t="s">
        <v>1179</v>
      </c>
      <c r="C44" s="37">
        <v>1.0</v>
      </c>
      <c r="D44" s="37">
        <v>5.0</v>
      </c>
      <c r="E44" s="37" t="s">
        <v>4833</v>
      </c>
      <c r="AX44" s="39">
        <v>15.0</v>
      </c>
      <c r="AY44" s="37" t="s">
        <v>4834</v>
      </c>
      <c r="AZ44" s="39">
        <v>1.0</v>
      </c>
      <c r="BA44" s="39" t="s">
        <v>29</v>
      </c>
      <c r="BB44" s="39"/>
      <c r="BC44" s="39"/>
    </row>
    <row r="45" ht="18.75" customHeight="1" outlineLevel="1">
      <c r="A45" s="37" t="s">
        <v>4835</v>
      </c>
      <c r="B45" s="37" t="s">
        <v>1179</v>
      </c>
      <c r="C45" s="37">
        <v>1.0</v>
      </c>
      <c r="D45" s="37">
        <v>5.0</v>
      </c>
      <c r="E45" s="37" t="s">
        <v>4836</v>
      </c>
      <c r="AY45" s="37" t="s">
        <v>4837</v>
      </c>
      <c r="AZ45" s="39">
        <v>1.0</v>
      </c>
      <c r="BA45" s="39" t="s">
        <v>29</v>
      </c>
      <c r="BB45" s="39"/>
      <c r="BC45" s="39"/>
    </row>
    <row r="46" ht="18.75" customHeight="1" outlineLevel="1">
      <c r="A46" s="37" t="s">
        <v>4838</v>
      </c>
      <c r="B46" s="37" t="s">
        <v>1179</v>
      </c>
      <c r="C46" s="37">
        <v>1.0</v>
      </c>
      <c r="D46" s="37">
        <v>5.0</v>
      </c>
      <c r="E46" s="37" t="s">
        <v>4839</v>
      </c>
      <c r="AY46" s="37" t="s">
        <v>4840</v>
      </c>
      <c r="AZ46" s="39">
        <v>1.0</v>
      </c>
      <c r="BA46" s="39" t="s">
        <v>29</v>
      </c>
      <c r="BB46" s="39"/>
      <c r="BC46" s="39"/>
    </row>
    <row r="47" ht="18.75" customHeight="1" outlineLevel="1">
      <c r="A47" s="37" t="s">
        <v>4841</v>
      </c>
      <c r="B47" s="37" t="s">
        <v>1179</v>
      </c>
      <c r="C47" s="37">
        <v>2.0</v>
      </c>
      <c r="D47" s="37">
        <v>15.0</v>
      </c>
      <c r="E47" s="37" t="s">
        <v>4842</v>
      </c>
      <c r="AY47" s="37" t="s">
        <v>4843</v>
      </c>
      <c r="AZ47" s="39">
        <v>2.0</v>
      </c>
      <c r="BA47" s="39" t="s">
        <v>4834</v>
      </c>
      <c r="BB47" s="39"/>
      <c r="BC47" s="39"/>
    </row>
    <row r="48" ht="18.75" customHeight="1" outlineLevel="1">
      <c r="A48" s="37" t="s">
        <v>4844</v>
      </c>
      <c r="B48" s="37" t="s">
        <v>1179</v>
      </c>
      <c r="C48" s="37">
        <v>2.0</v>
      </c>
      <c r="D48" s="37">
        <v>15.0</v>
      </c>
      <c r="E48" s="37" t="s">
        <v>4845</v>
      </c>
      <c r="AY48" s="37" t="s">
        <v>4846</v>
      </c>
      <c r="AZ48" s="39">
        <v>2.0</v>
      </c>
      <c r="BA48" s="39" t="s">
        <v>4837</v>
      </c>
      <c r="BB48" s="39"/>
      <c r="BC48" s="39"/>
    </row>
    <row r="49" ht="18.75" customHeight="1" outlineLevel="1">
      <c r="A49" s="37" t="s">
        <v>4847</v>
      </c>
      <c r="B49" s="37" t="s">
        <v>1179</v>
      </c>
      <c r="C49" s="37">
        <v>2.0</v>
      </c>
      <c r="D49" s="37">
        <v>15.0</v>
      </c>
      <c r="E49" s="37" t="s">
        <v>4812</v>
      </c>
      <c r="AY49" s="37" t="s">
        <v>4848</v>
      </c>
      <c r="AZ49" s="39">
        <v>2.0</v>
      </c>
      <c r="BA49" s="39" t="s">
        <v>4840</v>
      </c>
      <c r="BB49" s="39"/>
      <c r="BC49" s="39"/>
    </row>
    <row r="50" ht="18.75" customHeight="1" outlineLevel="1">
      <c r="A50" s="37" t="s">
        <v>4849</v>
      </c>
      <c r="B50" s="37" t="s">
        <v>1179</v>
      </c>
      <c r="C50" s="37">
        <v>3.0</v>
      </c>
      <c r="D50" s="37">
        <v>25.0</v>
      </c>
      <c r="E50" s="37" t="s">
        <v>4815</v>
      </c>
      <c r="O50" s="39">
        <v>10.0</v>
      </c>
      <c r="AY50" s="37" t="s">
        <v>4850</v>
      </c>
      <c r="AZ50" s="39">
        <v>3.0</v>
      </c>
      <c r="BA50" s="39" t="s">
        <v>4843</v>
      </c>
      <c r="BB50" s="39"/>
      <c r="BC50" s="39"/>
    </row>
    <row r="51" ht="18.75" customHeight="1" outlineLevel="1">
      <c r="A51" s="37" t="s">
        <v>4851</v>
      </c>
      <c r="B51" s="37" t="s">
        <v>1179</v>
      </c>
      <c r="C51" s="37">
        <v>3.0</v>
      </c>
      <c r="D51" s="37">
        <v>25.0</v>
      </c>
      <c r="E51" s="37" t="s">
        <v>4852</v>
      </c>
      <c r="AY51" s="37" t="s">
        <v>4853</v>
      </c>
      <c r="AZ51" s="39">
        <v>3.0</v>
      </c>
      <c r="BA51" s="39" t="s">
        <v>4846</v>
      </c>
      <c r="BB51" s="39"/>
      <c r="BC51" s="39"/>
    </row>
    <row r="52" ht="18.75" customHeight="1" outlineLevel="1">
      <c r="A52" s="37" t="s">
        <v>4854</v>
      </c>
      <c r="B52" s="37" t="s">
        <v>1179</v>
      </c>
      <c r="C52" s="37">
        <v>3.0</v>
      </c>
      <c r="D52" s="37">
        <v>25.0</v>
      </c>
      <c r="E52" s="37" t="s">
        <v>4855</v>
      </c>
      <c r="AY52" s="37" t="s">
        <v>4856</v>
      </c>
      <c r="AZ52" s="39">
        <v>3.0</v>
      </c>
      <c r="BA52" s="39" t="s">
        <v>4848</v>
      </c>
      <c r="BB52" s="39"/>
      <c r="BC52" s="39"/>
    </row>
    <row r="53" ht="18.75" customHeight="1" outlineLevel="1">
      <c r="A53" s="37" t="s">
        <v>4857</v>
      </c>
      <c r="B53" s="37" t="s">
        <v>1179</v>
      </c>
      <c r="C53" s="37">
        <v>4.0</v>
      </c>
      <c r="D53" s="37">
        <v>35.0</v>
      </c>
      <c r="E53" s="37" t="s">
        <v>4827</v>
      </c>
      <c r="O53" s="39">
        <v>20.0</v>
      </c>
      <c r="AY53" s="37" t="s">
        <v>4858</v>
      </c>
      <c r="AZ53" s="39">
        <v>4.0</v>
      </c>
      <c r="BA53" s="39" t="s">
        <v>4850</v>
      </c>
      <c r="BB53" s="39"/>
      <c r="BC53" s="39"/>
    </row>
    <row r="54" ht="18.75" customHeight="1" outlineLevel="1">
      <c r="A54" s="37" t="s">
        <v>4859</v>
      </c>
      <c r="B54" s="37" t="s">
        <v>1179</v>
      </c>
      <c r="C54" s="37">
        <v>4.0</v>
      </c>
      <c r="D54" s="37">
        <v>35.0</v>
      </c>
      <c r="E54" s="37" t="s">
        <v>4860</v>
      </c>
      <c r="AX54" s="39">
        <v>25.0</v>
      </c>
      <c r="AY54" s="37" t="s">
        <v>4861</v>
      </c>
      <c r="AZ54" s="39">
        <v>4.0</v>
      </c>
      <c r="BA54" s="39" t="s">
        <v>4853</v>
      </c>
      <c r="BB54" s="39"/>
      <c r="BC54" s="39"/>
    </row>
    <row r="55" ht="18.75" customHeight="1" outlineLevel="1">
      <c r="A55" s="37" t="s">
        <v>4862</v>
      </c>
      <c r="B55" s="37" t="s">
        <v>1179</v>
      </c>
      <c r="C55" s="37">
        <v>4.0</v>
      </c>
      <c r="D55" s="37">
        <v>35.0</v>
      </c>
      <c r="E55" s="37" t="s">
        <v>4863</v>
      </c>
      <c r="AY55" s="37" t="s">
        <v>4864</v>
      </c>
      <c r="AZ55" s="39">
        <v>4.0</v>
      </c>
      <c r="BA55" s="39" t="s">
        <v>4856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4865</v>
      </c>
      <c r="B65" s="37" t="s">
        <v>4386</v>
      </c>
      <c r="C65" s="37">
        <v>1.0</v>
      </c>
      <c r="D65" s="37">
        <v>5.0</v>
      </c>
      <c r="E65" s="37" t="s">
        <v>4866</v>
      </c>
      <c r="AJ65" s="39">
        <v>10.0</v>
      </c>
      <c r="AY65" s="37" t="s">
        <v>4867</v>
      </c>
      <c r="AZ65" s="39">
        <v>1.0</v>
      </c>
      <c r="BA65" s="39" t="s">
        <v>29</v>
      </c>
      <c r="BB65" s="39"/>
      <c r="BC65" s="39"/>
    </row>
    <row r="66" ht="18.75" customHeight="1" outlineLevel="1">
      <c r="A66" s="37" t="s">
        <v>4868</v>
      </c>
      <c r="B66" s="37" t="s">
        <v>4386</v>
      </c>
      <c r="C66" s="37">
        <v>1.0</v>
      </c>
      <c r="D66" s="37">
        <v>5.0</v>
      </c>
      <c r="E66" s="37" t="s">
        <v>4869</v>
      </c>
      <c r="AY66" s="37" t="s">
        <v>4870</v>
      </c>
      <c r="AZ66" s="39">
        <v>1.0</v>
      </c>
      <c r="BA66" s="39" t="s">
        <v>29</v>
      </c>
      <c r="BB66" s="39"/>
      <c r="BC66" s="39"/>
    </row>
    <row r="67" ht="18.75" customHeight="1" outlineLevel="1">
      <c r="A67" s="37" t="s">
        <v>4871</v>
      </c>
      <c r="B67" s="37" t="s">
        <v>4386</v>
      </c>
      <c r="C67" s="37">
        <v>1.0</v>
      </c>
      <c r="D67" s="37">
        <v>5.0</v>
      </c>
      <c r="E67" s="37" t="s">
        <v>4872</v>
      </c>
      <c r="AY67" s="37" t="s">
        <v>4873</v>
      </c>
      <c r="AZ67" s="39">
        <v>1.0</v>
      </c>
      <c r="BA67" s="39" t="s">
        <v>29</v>
      </c>
      <c r="BB67" s="39"/>
      <c r="BC67" s="39"/>
    </row>
    <row r="68" ht="18.75" customHeight="1" outlineLevel="1">
      <c r="A68" s="37" t="s">
        <v>4874</v>
      </c>
      <c r="B68" s="37" t="s">
        <v>4386</v>
      </c>
      <c r="C68" s="37">
        <v>2.0</v>
      </c>
      <c r="D68" s="37">
        <v>15.0</v>
      </c>
      <c r="E68" s="37" t="s">
        <v>4875</v>
      </c>
      <c r="AY68" s="37" t="s">
        <v>4876</v>
      </c>
      <c r="AZ68" s="39">
        <v>2.0</v>
      </c>
      <c r="BA68" s="39" t="s">
        <v>4867</v>
      </c>
      <c r="BB68" s="39"/>
      <c r="BC68" s="39"/>
    </row>
    <row r="69" ht="18.75" customHeight="1" outlineLevel="1">
      <c r="A69" s="37" t="s">
        <v>4877</v>
      </c>
      <c r="B69" s="37" t="s">
        <v>4386</v>
      </c>
      <c r="C69" s="37">
        <v>2.0</v>
      </c>
      <c r="D69" s="37">
        <v>15.0</v>
      </c>
      <c r="E69" s="37" t="s">
        <v>4878</v>
      </c>
      <c r="AY69" s="37" t="s">
        <v>4879</v>
      </c>
      <c r="AZ69" s="39">
        <v>2.0</v>
      </c>
      <c r="BA69" s="39" t="s">
        <v>4870</v>
      </c>
      <c r="BB69" s="39"/>
      <c r="BC69" s="39"/>
    </row>
    <row r="70" ht="18.75" customHeight="1" outlineLevel="1">
      <c r="A70" s="37" t="s">
        <v>4880</v>
      </c>
      <c r="B70" s="37" t="s">
        <v>4386</v>
      </c>
      <c r="C70" s="37">
        <v>2.0</v>
      </c>
      <c r="D70" s="37">
        <v>15.0</v>
      </c>
      <c r="E70" s="37" t="s">
        <v>4881</v>
      </c>
      <c r="AY70" s="37" t="s">
        <v>4882</v>
      </c>
      <c r="AZ70" s="39">
        <v>2.0</v>
      </c>
      <c r="BA70" s="39" t="s">
        <v>4873</v>
      </c>
      <c r="BB70" s="39"/>
      <c r="BC70" s="39"/>
    </row>
    <row r="71" ht="18.75" customHeight="1" outlineLevel="1">
      <c r="A71" s="37" t="s">
        <v>4883</v>
      </c>
      <c r="B71" s="37" t="s">
        <v>4386</v>
      </c>
      <c r="C71" s="37">
        <v>3.0</v>
      </c>
      <c r="D71" s="37">
        <v>25.0</v>
      </c>
      <c r="E71" s="37" t="s">
        <v>4869</v>
      </c>
      <c r="AY71" s="37" t="s">
        <v>4884</v>
      </c>
      <c r="AZ71" s="39">
        <v>3.0</v>
      </c>
      <c r="BA71" s="39" t="s">
        <v>4876</v>
      </c>
      <c r="BB71" s="39"/>
      <c r="BC71" s="39"/>
    </row>
    <row r="72" ht="18.75" customHeight="1" outlineLevel="1">
      <c r="A72" s="37" t="s">
        <v>4885</v>
      </c>
      <c r="B72" s="37" t="s">
        <v>4386</v>
      </c>
      <c r="C72" s="37">
        <v>3.0</v>
      </c>
      <c r="D72" s="37">
        <v>25.0</v>
      </c>
      <c r="E72" s="37" t="s">
        <v>4886</v>
      </c>
      <c r="AY72" s="37" t="s">
        <v>4887</v>
      </c>
      <c r="AZ72" s="39">
        <v>3.0</v>
      </c>
      <c r="BA72" s="39" t="s">
        <v>4879</v>
      </c>
      <c r="BB72" s="39"/>
      <c r="BC72" s="39"/>
    </row>
    <row r="73" ht="18.75" customHeight="1" outlineLevel="1">
      <c r="A73" s="37" t="s">
        <v>4888</v>
      </c>
      <c r="B73" s="37" t="s">
        <v>4386</v>
      </c>
      <c r="C73" s="37">
        <v>3.0</v>
      </c>
      <c r="D73" s="37">
        <v>25.0</v>
      </c>
      <c r="E73" s="37" t="s">
        <v>4889</v>
      </c>
      <c r="AY73" s="37" t="s">
        <v>4890</v>
      </c>
      <c r="AZ73" s="39">
        <v>3.0</v>
      </c>
      <c r="BA73" s="39" t="s">
        <v>4882</v>
      </c>
      <c r="BB73" s="39"/>
      <c r="BC73" s="39"/>
    </row>
    <row r="74" ht="18.75" customHeight="1" outlineLevel="1">
      <c r="A74" s="37" t="s">
        <v>4891</v>
      </c>
      <c r="B74" s="37" t="s">
        <v>4386</v>
      </c>
      <c r="C74" s="37">
        <v>4.0</v>
      </c>
      <c r="D74" s="37">
        <v>35.0</v>
      </c>
      <c r="E74" s="37" t="s">
        <v>4892</v>
      </c>
      <c r="AJ74" s="39">
        <v>25.0</v>
      </c>
      <c r="AY74" s="37" t="s">
        <v>4893</v>
      </c>
      <c r="AZ74" s="39">
        <v>4.0</v>
      </c>
      <c r="BA74" s="39" t="s">
        <v>4884</v>
      </c>
      <c r="BB74" s="39"/>
      <c r="BC74" s="39"/>
    </row>
    <row r="75" ht="18.75" customHeight="1" outlineLevel="1">
      <c r="A75" s="37" t="s">
        <v>4894</v>
      </c>
      <c r="B75" s="37" t="s">
        <v>4386</v>
      </c>
      <c r="C75" s="37">
        <v>4.0</v>
      </c>
      <c r="D75" s="37">
        <v>35.0</v>
      </c>
      <c r="E75" s="37" t="s">
        <v>4895</v>
      </c>
      <c r="AY75" s="37" t="s">
        <v>4896</v>
      </c>
      <c r="AZ75" s="39">
        <v>4.0</v>
      </c>
      <c r="BA75" s="39" t="s">
        <v>4887</v>
      </c>
      <c r="BB75" s="39"/>
      <c r="BC75" s="39"/>
    </row>
    <row r="76" ht="18.75" customHeight="1" outlineLevel="1">
      <c r="A76" s="37" t="s">
        <v>4897</v>
      </c>
      <c r="B76" s="37" t="s">
        <v>4386</v>
      </c>
      <c r="C76" s="37">
        <v>4.0</v>
      </c>
      <c r="D76" s="37">
        <v>35.0</v>
      </c>
      <c r="E76" s="37" t="s">
        <v>4898</v>
      </c>
      <c r="AY76" s="37" t="s">
        <v>4899</v>
      </c>
      <c r="AZ76" s="39">
        <v>4.0</v>
      </c>
      <c r="BA76" s="39" t="s">
        <v>4890</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4900</v>
      </c>
      <c r="B86" s="37" t="s">
        <v>4901</v>
      </c>
      <c r="C86" s="37">
        <v>1.0</v>
      </c>
      <c r="D86" s="37">
        <v>5.0</v>
      </c>
      <c r="E86" s="37" t="s">
        <v>4902</v>
      </c>
      <c r="AY86" s="37" t="s">
        <v>4903</v>
      </c>
      <c r="AZ86" s="39">
        <v>1.0</v>
      </c>
      <c r="BA86" s="39" t="s">
        <v>29</v>
      </c>
      <c r="BB86" s="39"/>
      <c r="BC86" s="39"/>
    </row>
    <row r="87" ht="18.75" customHeight="1">
      <c r="A87" s="37" t="s">
        <v>4904</v>
      </c>
      <c r="B87" s="37" t="s">
        <v>4901</v>
      </c>
      <c r="C87" s="37">
        <v>1.0</v>
      </c>
      <c r="D87" s="37">
        <v>5.0</v>
      </c>
      <c r="E87" s="37" t="s">
        <v>4905</v>
      </c>
      <c r="AY87" s="37" t="s">
        <v>4906</v>
      </c>
      <c r="AZ87" s="39">
        <v>1.0</v>
      </c>
      <c r="BA87" s="39" t="s">
        <v>29</v>
      </c>
      <c r="BB87" s="39"/>
      <c r="BC87" s="39"/>
    </row>
    <row r="88" ht="18.75" customHeight="1" outlineLevel="1">
      <c r="A88" s="37" t="s">
        <v>4907</v>
      </c>
      <c r="B88" s="37" t="s">
        <v>4901</v>
      </c>
      <c r="C88" s="37">
        <v>1.0</v>
      </c>
      <c r="D88" s="37">
        <v>5.0</v>
      </c>
      <c r="E88" s="37" t="s">
        <v>4908</v>
      </c>
      <c r="AY88" s="37" t="s">
        <v>4909</v>
      </c>
      <c r="AZ88" s="39">
        <v>1.0</v>
      </c>
      <c r="BA88" s="39" t="s">
        <v>29</v>
      </c>
      <c r="BB88" s="39"/>
      <c r="BC88" s="39"/>
    </row>
    <row r="89" ht="18.75" customHeight="1" outlineLevel="1">
      <c r="A89" s="37" t="s">
        <v>4910</v>
      </c>
      <c r="B89" s="37" t="s">
        <v>4901</v>
      </c>
      <c r="C89" s="37">
        <v>2.0</v>
      </c>
      <c r="D89" s="37">
        <v>15.0</v>
      </c>
      <c r="E89" s="37" t="s">
        <v>4911</v>
      </c>
      <c r="AY89" s="37" t="s">
        <v>4912</v>
      </c>
      <c r="AZ89" s="39">
        <v>2.0</v>
      </c>
      <c r="BA89" s="39" t="s">
        <v>4903</v>
      </c>
      <c r="BB89" s="39"/>
      <c r="BC89" s="39"/>
    </row>
    <row r="90" ht="18.75" customHeight="1" outlineLevel="1">
      <c r="A90" s="37" t="s">
        <v>4913</v>
      </c>
      <c r="B90" s="37" t="s">
        <v>4901</v>
      </c>
      <c r="C90" s="37">
        <v>2.0</v>
      </c>
      <c r="D90" s="37">
        <v>15.0</v>
      </c>
      <c r="E90" s="37" t="s">
        <v>4914</v>
      </c>
      <c r="M90" s="39">
        <v>5.0</v>
      </c>
      <c r="N90" s="39">
        <v>5.0</v>
      </c>
      <c r="AY90" s="37" t="s">
        <v>4915</v>
      </c>
      <c r="AZ90" s="39">
        <v>2.0</v>
      </c>
      <c r="BA90" s="39" t="s">
        <v>4906</v>
      </c>
      <c r="BB90" s="39"/>
      <c r="BC90" s="39"/>
    </row>
    <row r="91" ht="18.75" customHeight="1" outlineLevel="1">
      <c r="A91" s="37" t="s">
        <v>4916</v>
      </c>
      <c r="B91" s="37" t="s">
        <v>4901</v>
      </c>
      <c r="C91" s="37">
        <v>2.0</v>
      </c>
      <c r="D91" s="37">
        <v>15.0</v>
      </c>
      <c r="E91" s="37" t="s">
        <v>4917</v>
      </c>
      <c r="AY91" s="37" t="s">
        <v>4918</v>
      </c>
      <c r="AZ91" s="39">
        <v>2.0</v>
      </c>
      <c r="BA91" s="39" t="s">
        <v>4909</v>
      </c>
      <c r="BB91" s="39"/>
      <c r="BC91" s="39"/>
    </row>
    <row r="92" ht="18.75" customHeight="1" outlineLevel="1">
      <c r="A92" s="37" t="s">
        <v>4919</v>
      </c>
      <c r="B92" s="37" t="s">
        <v>4901</v>
      </c>
      <c r="C92" s="37">
        <v>3.0</v>
      </c>
      <c r="D92" s="37">
        <v>25.0</v>
      </c>
      <c r="E92" s="37" t="s">
        <v>4920</v>
      </c>
      <c r="AY92" s="37" t="s">
        <v>4921</v>
      </c>
      <c r="AZ92" s="39">
        <v>3.0</v>
      </c>
      <c r="BA92" s="39" t="s">
        <v>4912</v>
      </c>
      <c r="BB92" s="39"/>
      <c r="BC92" s="39"/>
    </row>
    <row r="93" ht="18.75" customHeight="1" outlineLevel="1">
      <c r="A93" s="37" t="s">
        <v>4922</v>
      </c>
      <c r="B93" s="37" t="s">
        <v>4901</v>
      </c>
      <c r="C93" s="37">
        <v>3.0</v>
      </c>
      <c r="D93" s="37">
        <v>25.0</v>
      </c>
      <c r="E93" s="37" t="s">
        <v>4923</v>
      </c>
      <c r="AY93" s="37" t="s">
        <v>4924</v>
      </c>
      <c r="AZ93" s="39">
        <v>3.0</v>
      </c>
      <c r="BA93" s="39" t="s">
        <v>4915</v>
      </c>
      <c r="BB93" s="39"/>
      <c r="BC93" s="39"/>
    </row>
    <row r="94" ht="18.75" customHeight="1" outlineLevel="1">
      <c r="A94" s="37" t="s">
        <v>4925</v>
      </c>
      <c r="B94" s="37" t="s">
        <v>4901</v>
      </c>
      <c r="C94" s="37">
        <v>3.0</v>
      </c>
      <c r="D94" s="37">
        <v>25.0</v>
      </c>
      <c r="E94" s="37" t="s">
        <v>4926</v>
      </c>
      <c r="AY94" s="37" t="s">
        <v>4927</v>
      </c>
      <c r="AZ94" s="39">
        <v>3.0</v>
      </c>
      <c r="BA94" s="39" t="s">
        <v>4918</v>
      </c>
      <c r="BB94" s="39"/>
      <c r="BC94" s="39"/>
    </row>
    <row r="95" ht="18.75" customHeight="1" outlineLevel="1">
      <c r="A95" s="37" t="s">
        <v>4928</v>
      </c>
      <c r="B95" s="37" t="s">
        <v>4901</v>
      </c>
      <c r="C95" s="37">
        <v>4.0</v>
      </c>
      <c r="D95" s="37">
        <v>35.0</v>
      </c>
      <c r="E95" s="37" t="s">
        <v>4929</v>
      </c>
      <c r="AY95" s="37" t="s">
        <v>4930</v>
      </c>
      <c r="AZ95" s="39">
        <v>4.0</v>
      </c>
      <c r="BA95" s="39" t="s">
        <v>4921</v>
      </c>
      <c r="BB95" s="39"/>
      <c r="BC95" s="39"/>
    </row>
    <row r="96" ht="18.75" customHeight="1" outlineLevel="1">
      <c r="A96" s="37" t="s">
        <v>4931</v>
      </c>
      <c r="B96" s="37" t="s">
        <v>4901</v>
      </c>
      <c r="C96" s="37">
        <v>4.0</v>
      </c>
      <c r="D96" s="37">
        <v>35.0</v>
      </c>
      <c r="E96" s="37" t="s">
        <v>4932</v>
      </c>
      <c r="M96" s="39">
        <v>10.0</v>
      </c>
      <c r="N96" s="39">
        <v>10.0</v>
      </c>
      <c r="AY96" s="37" t="s">
        <v>4933</v>
      </c>
      <c r="AZ96" s="39">
        <v>4.0</v>
      </c>
      <c r="BA96" s="39" t="s">
        <v>4924</v>
      </c>
      <c r="BB96" s="39"/>
      <c r="BC96" s="39"/>
    </row>
    <row r="97" ht="18.75" customHeight="1" outlineLevel="1">
      <c r="A97" s="37" t="s">
        <v>4934</v>
      </c>
      <c r="B97" s="37" t="s">
        <v>4901</v>
      </c>
      <c r="C97" s="37">
        <v>4.0</v>
      </c>
      <c r="D97" s="37">
        <v>35.0</v>
      </c>
      <c r="E97" s="37" t="s">
        <v>4935</v>
      </c>
      <c r="AY97" s="37" t="s">
        <v>4936</v>
      </c>
      <c r="AZ97" s="39">
        <v>4.0</v>
      </c>
      <c r="BA97" s="39" t="s">
        <v>4927</v>
      </c>
      <c r="BB97" s="39"/>
      <c r="BC97" s="39"/>
    </row>
    <row r="98" ht="18.75" customHeight="1" outlineLevel="1">
      <c r="B98" s="37" t="s">
        <v>4901</v>
      </c>
      <c r="C98" s="37">
        <f t="shared" ref="C98:C106" si="5">C95+1</f>
        <v>5</v>
      </c>
    </row>
    <row r="99" ht="18.75" customHeight="1" outlineLevel="1">
      <c r="B99" s="37" t="s">
        <v>4901</v>
      </c>
      <c r="C99" s="37">
        <f t="shared" si="5"/>
        <v>5</v>
      </c>
    </row>
    <row r="100" ht="18.75" customHeight="1" outlineLevel="1">
      <c r="B100" s="37" t="s">
        <v>4901</v>
      </c>
      <c r="C100" s="37">
        <f t="shared" si="5"/>
        <v>5</v>
      </c>
    </row>
    <row r="101" ht="18.75" customHeight="1" outlineLevel="1">
      <c r="B101" s="37" t="s">
        <v>4901</v>
      </c>
      <c r="C101" s="37">
        <f t="shared" si="5"/>
        <v>6</v>
      </c>
    </row>
    <row r="102" ht="18.75" customHeight="1" outlineLevel="1">
      <c r="B102" s="37" t="s">
        <v>4901</v>
      </c>
      <c r="C102" s="37">
        <f t="shared" si="5"/>
        <v>6</v>
      </c>
    </row>
    <row r="103" ht="18.75" customHeight="1" outlineLevel="1">
      <c r="B103" s="37" t="s">
        <v>4901</v>
      </c>
      <c r="C103" s="37">
        <f t="shared" si="5"/>
        <v>6</v>
      </c>
    </row>
    <row r="104" ht="18.75" customHeight="1" outlineLevel="1">
      <c r="B104" s="37" t="s">
        <v>4901</v>
      </c>
      <c r="C104" s="37">
        <f t="shared" si="5"/>
        <v>7</v>
      </c>
    </row>
    <row r="105" ht="18.75" customHeight="1" outlineLevel="1">
      <c r="B105" s="37" t="s">
        <v>4901</v>
      </c>
      <c r="C105" s="37">
        <f t="shared" si="5"/>
        <v>7</v>
      </c>
    </row>
    <row r="106" ht="18.75" customHeight="1" outlineLevel="1">
      <c r="B106" s="37" t="s">
        <v>4901</v>
      </c>
      <c r="C106" s="37">
        <f t="shared" si="5"/>
        <v>7</v>
      </c>
    </row>
    <row r="107" ht="18.75" customHeight="1">
      <c r="A107" s="39" t="s">
        <v>4937</v>
      </c>
      <c r="B107" s="41" t="s">
        <v>4938</v>
      </c>
      <c r="C107" s="39">
        <v>1.0</v>
      </c>
      <c r="D107" s="39">
        <v>5.0</v>
      </c>
      <c r="E107" s="41" t="s">
        <v>4939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4940</v>
      </c>
      <c r="AZ107" s="39">
        <v>1.0</v>
      </c>
      <c r="BA107" s="39" t="s">
        <v>29</v>
      </c>
      <c r="BB107" s="39"/>
      <c r="BC107" s="39"/>
    </row>
    <row r="108" ht="18.75" customHeight="1">
      <c r="A108" s="39" t="s">
        <v>4941</v>
      </c>
      <c r="B108" s="41" t="s">
        <v>4938</v>
      </c>
      <c r="C108" s="39">
        <v>2.0</v>
      </c>
      <c r="D108" s="39">
        <v>15.0</v>
      </c>
      <c r="E108" s="39" t="s">
        <v>4942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4943</v>
      </c>
      <c r="AZ108" s="39">
        <v>2.0</v>
      </c>
      <c r="BA108" s="39" t="s">
        <v>4940</v>
      </c>
      <c r="BB108" s="39"/>
      <c r="BC108" s="39"/>
    </row>
    <row r="109" ht="18.75" customHeight="1">
      <c r="A109" s="39" t="s">
        <v>4944</v>
      </c>
      <c r="B109" s="41" t="s">
        <v>4938</v>
      </c>
      <c r="C109" s="39">
        <v>3.0</v>
      </c>
      <c r="D109" s="39">
        <v>25.0</v>
      </c>
      <c r="E109" s="39" t="s">
        <v>4945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4946</v>
      </c>
      <c r="AZ109" s="39">
        <v>3.0</v>
      </c>
      <c r="BA109" s="39" t="s">
        <v>4943</v>
      </c>
      <c r="BB109" s="39"/>
      <c r="BC109" s="39"/>
    </row>
    <row r="110" ht="18.75" customHeight="1">
      <c r="A110" s="39" t="s">
        <v>4947</v>
      </c>
      <c r="B110" s="41" t="s">
        <v>4938</v>
      </c>
      <c r="C110" s="39">
        <v>1.0</v>
      </c>
      <c r="D110" s="39">
        <v>5.0</v>
      </c>
      <c r="E110" s="39" t="s">
        <v>4948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4949</v>
      </c>
      <c r="AZ110" s="39">
        <v>1.0</v>
      </c>
      <c r="BA110" s="39" t="s">
        <v>29</v>
      </c>
      <c r="BB110" s="39"/>
      <c r="BC110" s="39"/>
    </row>
    <row r="111" ht="18.75" customHeight="1">
      <c r="A111" s="39" t="s">
        <v>4950</v>
      </c>
      <c r="B111" s="41" t="s">
        <v>4938</v>
      </c>
      <c r="C111" s="39">
        <v>2.0</v>
      </c>
      <c r="D111" s="39">
        <v>15.0</v>
      </c>
      <c r="E111" s="39" t="s">
        <v>4951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4952</v>
      </c>
      <c r="AZ111" s="39">
        <v>2.0</v>
      </c>
      <c r="BA111" s="39" t="s">
        <v>4949</v>
      </c>
      <c r="BB111" s="39"/>
      <c r="BC111" s="39"/>
    </row>
    <row r="112" ht="18.75" customHeight="1">
      <c r="A112" s="39" t="s">
        <v>4953</v>
      </c>
      <c r="B112" s="41" t="s">
        <v>4938</v>
      </c>
      <c r="C112" s="39">
        <v>3.0</v>
      </c>
      <c r="D112" s="39">
        <v>25.0</v>
      </c>
      <c r="E112" s="39" t="s">
        <v>4954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4955</v>
      </c>
      <c r="AZ112" s="39">
        <v>3.0</v>
      </c>
      <c r="BA112" s="39" t="s">
        <v>4952</v>
      </c>
      <c r="BB112" s="39"/>
      <c r="BC112" s="39"/>
    </row>
    <row r="113" ht="18.75" customHeight="1">
      <c r="A113" s="39" t="s">
        <v>4956</v>
      </c>
      <c r="B113" s="41" t="s">
        <v>4938</v>
      </c>
      <c r="C113" s="39">
        <v>1.0</v>
      </c>
      <c r="D113" s="39">
        <v>5.0</v>
      </c>
      <c r="E113" s="39" t="s">
        <v>4957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4958</v>
      </c>
      <c r="AZ113" s="39">
        <v>1.0</v>
      </c>
      <c r="BA113" s="39" t="s">
        <v>29</v>
      </c>
      <c r="BB113" s="39"/>
      <c r="BC113" s="39"/>
    </row>
    <row r="114" ht="18.75" customHeight="1">
      <c r="A114" s="39" t="s">
        <v>4959</v>
      </c>
      <c r="B114" s="39" t="s">
        <v>4796</v>
      </c>
      <c r="C114" s="39">
        <v>1.0</v>
      </c>
      <c r="D114" s="39">
        <v>5.0</v>
      </c>
      <c r="E114" s="39" t="s">
        <v>4960</v>
      </c>
      <c r="AY114" s="39" t="s">
        <v>4961</v>
      </c>
      <c r="AZ114" s="39">
        <v>1.0</v>
      </c>
      <c r="BB114" s="39">
        <v>5.0</v>
      </c>
      <c r="BC114" s="39">
        <v>0.0</v>
      </c>
    </row>
    <row r="115" ht="18.75" customHeight="1">
      <c r="A115" s="39" t="s">
        <v>4962</v>
      </c>
      <c r="B115" s="39" t="s">
        <v>4796</v>
      </c>
      <c r="C115" s="39">
        <v>2.0</v>
      </c>
      <c r="D115" s="39">
        <v>15.0</v>
      </c>
      <c r="E115" s="39" t="s">
        <v>4963</v>
      </c>
      <c r="AY115" s="39" t="s">
        <v>4964</v>
      </c>
      <c r="AZ115" s="39">
        <v>2.0</v>
      </c>
      <c r="BA115" s="39" t="s">
        <v>4961</v>
      </c>
      <c r="BB115" s="39">
        <v>5.0</v>
      </c>
      <c r="BC115" s="39">
        <v>0.0</v>
      </c>
    </row>
    <row r="116" ht="18.75" customHeight="1">
      <c r="A116" s="39" t="s">
        <v>4965</v>
      </c>
      <c r="B116" s="39" t="s">
        <v>4796</v>
      </c>
      <c r="C116" s="39">
        <v>3.0</v>
      </c>
      <c r="D116" s="39">
        <v>25.0</v>
      </c>
      <c r="E116" s="39" t="s">
        <v>4966</v>
      </c>
      <c r="AY116" s="39" t="s">
        <v>4967</v>
      </c>
      <c r="AZ116" s="39">
        <v>3.0</v>
      </c>
      <c r="BA116" s="39" t="s">
        <v>4964</v>
      </c>
      <c r="BB116" s="39">
        <v>5.0</v>
      </c>
      <c r="BC116" s="39">
        <v>1.0</v>
      </c>
    </row>
    <row r="117" ht="18.75" customHeight="1">
      <c r="A117" s="39" t="s">
        <v>4968</v>
      </c>
      <c r="B117" s="39" t="s">
        <v>4796</v>
      </c>
      <c r="C117" s="39">
        <v>4.0</v>
      </c>
      <c r="D117" s="39">
        <v>35.0</v>
      </c>
      <c r="E117" s="39" t="s">
        <v>4963</v>
      </c>
      <c r="AY117" s="39" t="s">
        <v>4969</v>
      </c>
      <c r="AZ117" s="39">
        <v>4.0</v>
      </c>
      <c r="BA117" s="39" t="s">
        <v>4967</v>
      </c>
      <c r="BB117" s="39">
        <v>5.0</v>
      </c>
      <c r="BC117" s="39">
        <v>0.0</v>
      </c>
    </row>
    <row r="118" ht="18.75" customHeight="1">
      <c r="A118" s="39" t="s">
        <v>4970</v>
      </c>
      <c r="B118" s="39" t="s">
        <v>4796</v>
      </c>
      <c r="C118" s="39">
        <v>5.0</v>
      </c>
      <c r="D118" s="39">
        <v>45.0</v>
      </c>
      <c r="E118" s="39" t="s">
        <v>4971</v>
      </c>
      <c r="AY118" s="39" t="s">
        <v>4972</v>
      </c>
      <c r="AZ118" s="39">
        <v>5.0</v>
      </c>
      <c r="BA118" s="39" t="s">
        <v>4969</v>
      </c>
      <c r="BB118" s="39">
        <v>5.0</v>
      </c>
      <c r="BC118" s="39">
        <v>1.0</v>
      </c>
    </row>
    <row r="119" ht="18.75" customHeight="1">
      <c r="A119" s="39" t="s">
        <v>4973</v>
      </c>
      <c r="B119" s="39" t="s">
        <v>4796</v>
      </c>
      <c r="C119" s="39">
        <v>6.0</v>
      </c>
      <c r="D119" s="39">
        <v>55.0</v>
      </c>
      <c r="E119" s="39" t="s">
        <v>4963</v>
      </c>
      <c r="AY119" s="39" t="s">
        <v>4974</v>
      </c>
      <c r="AZ119" s="39">
        <v>6.0</v>
      </c>
      <c r="BA119" s="39" t="s">
        <v>4972</v>
      </c>
      <c r="BB119" s="39">
        <v>5.0</v>
      </c>
      <c r="BC119" s="39">
        <v>0.0</v>
      </c>
    </row>
    <row r="120" ht="18.75" customHeight="1">
      <c r="A120" s="39" t="s">
        <v>4975</v>
      </c>
      <c r="B120" s="39" t="s">
        <v>4796</v>
      </c>
      <c r="C120" s="39">
        <v>7.0</v>
      </c>
      <c r="D120" s="39">
        <v>65.0</v>
      </c>
      <c r="E120" s="39" t="s">
        <v>4976</v>
      </c>
      <c r="AY120" s="39" t="s">
        <v>4977</v>
      </c>
      <c r="AZ120" s="39">
        <v>7.0</v>
      </c>
      <c r="BA120" s="39" t="s">
        <v>4974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4978</v>
      </c>
      <c r="B1" s="11" t="s">
        <v>2</v>
      </c>
      <c r="C1" s="2" t="s">
        <v>4979</v>
      </c>
      <c r="D1" s="3" t="s">
        <v>3835</v>
      </c>
      <c r="E1" s="3" t="s">
        <v>0</v>
      </c>
      <c r="F1" s="4" t="s">
        <v>4369</v>
      </c>
      <c r="G1" s="5" t="s">
        <v>4372</v>
      </c>
      <c r="H1" s="165" t="s">
        <v>4374</v>
      </c>
      <c r="I1" s="5" t="s">
        <v>4376</v>
      </c>
      <c r="J1" s="165" t="s">
        <v>4378</v>
      </c>
      <c r="K1" s="165" t="s">
        <v>4980</v>
      </c>
      <c r="L1" s="166"/>
      <c r="M1" s="167" t="s">
        <v>849</v>
      </c>
      <c r="N1" s="167" t="s">
        <v>4981</v>
      </c>
      <c r="O1" s="167" t="s">
        <v>1492</v>
      </c>
      <c r="P1" s="167" t="s">
        <v>4982</v>
      </c>
      <c r="Q1" s="167" t="s">
        <v>4796</v>
      </c>
      <c r="R1" s="167" t="s">
        <v>4983</v>
      </c>
      <c r="S1" s="167" t="s">
        <v>284</v>
      </c>
      <c r="T1" s="167" t="s">
        <v>370</v>
      </c>
      <c r="U1" s="167" t="s">
        <v>518</v>
      </c>
      <c r="V1" s="167" t="s">
        <v>644</v>
      </c>
      <c r="W1" s="167" t="s">
        <v>783</v>
      </c>
      <c r="X1" s="167" t="s">
        <v>716</v>
      </c>
      <c r="Y1" s="167"/>
      <c r="Z1" s="167" t="s">
        <v>4984</v>
      </c>
      <c r="AA1" s="167" t="s">
        <v>1490</v>
      </c>
      <c r="AB1" s="167" t="s">
        <v>4985</v>
      </c>
      <c r="AC1" s="167" t="s">
        <v>4986</v>
      </c>
      <c r="AD1" s="167" t="s">
        <v>4987</v>
      </c>
      <c r="AE1" s="167" t="s">
        <v>4988</v>
      </c>
      <c r="AF1" s="167" t="s">
        <v>4989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4990</v>
      </c>
      <c r="BT1" s="48" t="s">
        <v>2587</v>
      </c>
      <c r="BU1" s="48" t="s">
        <v>2588</v>
      </c>
      <c r="BV1" s="48" t="s">
        <v>2589</v>
      </c>
      <c r="BW1" s="48" t="s">
        <v>2590</v>
      </c>
      <c r="BX1" s="48" t="s">
        <v>2591</v>
      </c>
      <c r="BY1" s="48" t="s">
        <v>2592</v>
      </c>
      <c r="BZ1" s="168" t="s">
        <v>4991</v>
      </c>
      <c r="CA1" s="168" t="s">
        <v>4992</v>
      </c>
      <c r="CB1" s="168" t="s">
        <v>4993</v>
      </c>
      <c r="CC1" s="168" t="s">
        <v>8</v>
      </c>
      <c r="CD1" s="168" t="s">
        <v>4360</v>
      </c>
      <c r="CE1" s="168" t="s">
        <v>4994</v>
      </c>
      <c r="CF1" s="168" t="s">
        <v>4995</v>
      </c>
      <c r="CG1" s="168" t="s">
        <v>4996</v>
      </c>
      <c r="CH1" s="168" t="s">
        <v>4997</v>
      </c>
      <c r="CI1" s="168" t="s">
        <v>4998</v>
      </c>
      <c r="CJ1" s="168" t="s">
        <v>4999</v>
      </c>
    </row>
    <row r="2" ht="18.75" customHeight="1">
      <c r="A2" s="11"/>
      <c r="B2" s="11" t="s">
        <v>5000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5001</v>
      </c>
      <c r="C3" s="37" t="s">
        <v>3318</v>
      </c>
      <c r="E3" s="37">
        <f t="shared" ref="E3:E20" si="2">MAX(F3:K3)</f>
        <v>2</v>
      </c>
      <c r="G3" s="37">
        <v>2.0</v>
      </c>
      <c r="S3" s="37">
        <f t="shared" ref="S3:S5" si="3">$G3*15</f>
        <v>30</v>
      </c>
    </row>
    <row r="4" ht="18.75" customHeight="1" outlineLevel="1">
      <c r="A4" s="37" t="str">
        <f t="shared" si="1"/>
        <v>炎付与Ⅱ</v>
      </c>
      <c r="B4" s="37" t="s">
        <v>5002</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5003</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5001</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5002</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5003</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5001</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5002</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5003</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5001</v>
      </c>
      <c r="C12" s="37" t="s">
        <v>3318</v>
      </c>
      <c r="E12" s="37">
        <f t="shared" si="2"/>
        <v>2</v>
      </c>
      <c r="G12" s="37">
        <v>2.0</v>
      </c>
      <c r="V12" s="37">
        <f t="shared" ref="V12:V14" si="9">$G12*15</f>
        <v>30</v>
      </c>
    </row>
    <row r="13" ht="18.75" customHeight="1" outlineLevel="1">
      <c r="A13" s="37" t="str">
        <f t="shared" si="8"/>
        <v>毒付与Ⅱ</v>
      </c>
      <c r="B13" s="37" t="s">
        <v>5002</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5003</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5001</v>
      </c>
      <c r="C15" s="37" t="s">
        <v>3318</v>
      </c>
      <c r="E15" s="37">
        <f t="shared" si="2"/>
        <v>2</v>
      </c>
      <c r="H15" s="37">
        <v>2.0</v>
      </c>
      <c r="W15" s="37">
        <f t="shared" ref="W15:W17" si="11">$H15*15</f>
        <v>30</v>
      </c>
    </row>
    <row r="16" ht="18.75" customHeight="1" outlineLevel="1">
      <c r="A16" s="37" t="str">
        <f t="shared" si="10"/>
        <v>光付与Ⅱ</v>
      </c>
      <c r="B16" s="37" t="s">
        <v>5002</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5003</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5001</v>
      </c>
      <c r="C18" s="37" t="s">
        <v>3318</v>
      </c>
      <c r="E18" s="37">
        <f t="shared" si="2"/>
        <v>2</v>
      </c>
      <c r="G18" s="37">
        <v>2.0</v>
      </c>
      <c r="X18" s="37">
        <f t="shared" ref="X18:X20" si="13">$G18*15</f>
        <v>30</v>
      </c>
    </row>
    <row r="19" ht="18.75" customHeight="1" outlineLevel="1">
      <c r="A19" s="37" t="str">
        <f t="shared" si="12"/>
        <v>闇付与Ⅱ</v>
      </c>
      <c r="B19" s="37" t="s">
        <v>5002</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5003</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5004</v>
      </c>
      <c r="C22" s="37" t="s">
        <v>5005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5006</v>
      </c>
      <c r="C23" s="37" t="s">
        <v>5005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5007</v>
      </c>
      <c r="C24" s="37" t="s">
        <v>5005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5008</v>
      </c>
      <c r="C25" s="37" t="s">
        <v>5009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5010</v>
      </c>
      <c r="C26" s="37" t="s">
        <v>5009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5011</v>
      </c>
      <c r="C27" s="37" t="s">
        <v>5009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5012</v>
      </c>
      <c r="C28" s="37" t="s">
        <v>5005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5013</v>
      </c>
      <c r="C29" s="37" t="s">
        <v>5005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5014</v>
      </c>
      <c r="C30" s="37" t="s">
        <v>5005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5015</v>
      </c>
      <c r="C31" s="37" t="s">
        <v>5016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5017</v>
      </c>
      <c r="C32" s="37" t="s">
        <v>5016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5018</v>
      </c>
      <c r="C33" s="37" t="s">
        <v>5016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5019</v>
      </c>
      <c r="C34" s="37" t="s">
        <v>5020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5021</v>
      </c>
      <c r="C35" s="37" t="s">
        <v>5020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5022</v>
      </c>
      <c r="C36" s="37" t="s">
        <v>5020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5023</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5024</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5025</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5026</v>
      </c>
      <c r="C40" s="37" t="s">
        <v>5027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5028</v>
      </c>
      <c r="C41" s="37" t="s">
        <v>5027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5029</v>
      </c>
      <c r="C42" s="37" t="s">
        <v>5027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5030</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5030</v>
      </c>
      <c r="AB1" s="172" t="s">
        <v>4461</v>
      </c>
      <c r="AC1" s="172" t="s">
        <v>4463</v>
      </c>
      <c r="AD1" s="172" t="s">
        <v>4403</v>
      </c>
      <c r="AE1" s="172" t="s">
        <v>5031</v>
      </c>
      <c r="AF1" s="172" t="s">
        <v>5032</v>
      </c>
      <c r="AG1" s="172" t="s">
        <v>5033</v>
      </c>
      <c r="AH1" s="172" t="s">
        <v>4465</v>
      </c>
      <c r="AI1" s="172" t="s">
        <v>3317</v>
      </c>
      <c r="AJ1" s="109"/>
      <c r="AK1" s="172" t="s">
        <v>4461</v>
      </c>
      <c r="AL1" s="172" t="s">
        <v>4463</v>
      </c>
      <c r="AM1" s="172" t="s">
        <v>4465</v>
      </c>
      <c r="AN1" s="172" t="s">
        <v>3317</v>
      </c>
    </row>
    <row r="2">
      <c r="F2" s="173" t="s">
        <v>5034</v>
      </c>
      <c r="G2" s="173" t="s">
        <v>5034</v>
      </c>
      <c r="H2" s="173" t="s">
        <v>5034</v>
      </c>
      <c r="I2" s="173" t="s">
        <v>5034</v>
      </c>
      <c r="J2" s="173" t="s">
        <v>5034</v>
      </c>
      <c r="K2" s="49"/>
      <c r="L2" s="49"/>
      <c r="M2" s="49"/>
      <c r="N2" s="49"/>
      <c r="O2" s="49"/>
      <c r="P2" s="51"/>
      <c r="Q2" s="51"/>
      <c r="R2" s="52"/>
      <c r="S2" s="52"/>
      <c r="T2" s="52"/>
      <c r="U2" s="52"/>
      <c r="V2" s="53"/>
      <c r="W2" s="53"/>
      <c r="X2" s="53"/>
      <c r="Y2" s="53"/>
      <c r="AA2" s="174" t="s">
        <v>5035</v>
      </c>
      <c r="AB2" s="109" t="s">
        <v>5036</v>
      </c>
      <c r="AC2" s="109" t="s">
        <v>5037</v>
      </c>
      <c r="AD2" s="175">
        <v>-0.15</v>
      </c>
      <c r="AE2" s="109"/>
      <c r="AF2" s="109"/>
      <c r="AG2" s="109"/>
      <c r="AH2" s="109" t="s">
        <v>5038</v>
      </c>
      <c r="AI2" s="109" t="s">
        <v>4534</v>
      </c>
      <c r="AJ2" s="109"/>
      <c r="AK2" s="109" t="s">
        <v>5039</v>
      </c>
      <c r="AL2" s="109" t="s">
        <v>5040</v>
      </c>
      <c r="AM2" s="109" t="s">
        <v>5041</v>
      </c>
      <c r="AN2" s="109" t="s">
        <v>4534</v>
      </c>
    </row>
    <row r="3">
      <c r="A3" s="37" t="s">
        <v>1179</v>
      </c>
      <c r="B3" s="37" t="s">
        <v>5042</v>
      </c>
      <c r="C3" s="37" t="s">
        <v>5043</v>
      </c>
      <c r="D3" s="37" t="s">
        <v>5044</v>
      </c>
      <c r="E3" s="37" t="s">
        <v>5045</v>
      </c>
      <c r="AA3" s="174" t="s">
        <v>5035</v>
      </c>
      <c r="AB3" s="109" t="s">
        <v>5046</v>
      </c>
      <c r="AC3" s="109" t="s">
        <v>5037</v>
      </c>
      <c r="AD3" s="109"/>
      <c r="AE3" s="109"/>
      <c r="AF3" s="109"/>
      <c r="AG3" s="109"/>
      <c r="AH3" s="109" t="s">
        <v>5038</v>
      </c>
      <c r="AI3" s="109" t="s">
        <v>4534</v>
      </c>
      <c r="AJ3" s="109"/>
      <c r="AK3" s="109" t="s">
        <v>5047</v>
      </c>
      <c r="AL3" s="109" t="s">
        <v>5040</v>
      </c>
      <c r="AM3" s="109" t="s">
        <v>5041</v>
      </c>
      <c r="AN3" s="109" t="s">
        <v>4534</v>
      </c>
    </row>
    <row r="4">
      <c r="A4" s="37" t="s">
        <v>1179</v>
      </c>
      <c r="B4" s="37" t="s">
        <v>5048</v>
      </c>
      <c r="C4" s="37" t="s">
        <v>5043</v>
      </c>
      <c r="D4" s="37" t="s">
        <v>5044</v>
      </c>
      <c r="E4" s="37" t="s">
        <v>5045</v>
      </c>
      <c r="AA4" s="174" t="s">
        <v>5035</v>
      </c>
      <c r="AB4" s="109" t="s">
        <v>5049</v>
      </c>
      <c r="AC4" s="109" t="s">
        <v>5037</v>
      </c>
      <c r="AD4" s="109"/>
      <c r="AE4" s="109"/>
      <c r="AF4" s="109"/>
      <c r="AG4" s="109"/>
      <c r="AH4" s="109" t="s">
        <v>5038</v>
      </c>
      <c r="AI4" s="109" t="s">
        <v>4534</v>
      </c>
      <c r="AJ4" s="109"/>
      <c r="AK4" s="109" t="s">
        <v>5050</v>
      </c>
      <c r="AL4" s="109" t="s">
        <v>5040</v>
      </c>
      <c r="AM4" s="109" t="s">
        <v>5041</v>
      </c>
      <c r="AN4" s="109" t="s">
        <v>4534</v>
      </c>
    </row>
    <row r="5">
      <c r="A5" s="37" t="s">
        <v>1179</v>
      </c>
      <c r="B5" s="37" t="s">
        <v>5051</v>
      </c>
      <c r="C5" s="37" t="s">
        <v>5043</v>
      </c>
      <c r="D5" s="37" t="s">
        <v>5044</v>
      </c>
      <c r="E5" s="37" t="s">
        <v>5045</v>
      </c>
      <c r="AA5" s="174" t="s">
        <v>5035</v>
      </c>
      <c r="AB5" s="109" t="s">
        <v>5052</v>
      </c>
      <c r="AC5" s="109" t="s">
        <v>5037</v>
      </c>
      <c r="AD5" s="109"/>
      <c r="AE5" s="109"/>
      <c r="AF5" s="109"/>
      <c r="AG5" s="109"/>
      <c r="AH5" s="109" t="s">
        <v>5038</v>
      </c>
      <c r="AI5" s="109" t="s">
        <v>4534</v>
      </c>
      <c r="AJ5" s="109"/>
      <c r="AK5" s="109" t="s">
        <v>5053</v>
      </c>
      <c r="AL5" s="109" t="s">
        <v>5040</v>
      </c>
      <c r="AM5" s="109" t="s">
        <v>5041</v>
      </c>
      <c r="AN5" s="109" t="s">
        <v>4534</v>
      </c>
    </row>
    <row r="6">
      <c r="A6" s="37" t="s">
        <v>1179</v>
      </c>
      <c r="B6" s="37" t="s">
        <v>5054</v>
      </c>
      <c r="C6" s="37" t="s">
        <v>5043</v>
      </c>
      <c r="D6" s="37" t="s">
        <v>5044</v>
      </c>
      <c r="E6" s="37" t="s">
        <v>5045</v>
      </c>
      <c r="AA6" s="174" t="s">
        <v>5035</v>
      </c>
      <c r="AB6" s="109" t="s">
        <v>5055</v>
      </c>
      <c r="AC6" s="109" t="s">
        <v>5037</v>
      </c>
      <c r="AD6" s="109"/>
      <c r="AE6" s="109"/>
      <c r="AF6" s="109"/>
      <c r="AG6" s="109"/>
      <c r="AH6" s="109" t="s">
        <v>5038</v>
      </c>
      <c r="AI6" s="109" t="s">
        <v>4534</v>
      </c>
      <c r="AJ6" s="109"/>
      <c r="AK6" s="109"/>
      <c r="AL6" s="109"/>
      <c r="AM6" s="109"/>
      <c r="AN6" s="109"/>
    </row>
    <row r="7">
      <c r="A7" s="37" t="s">
        <v>1179</v>
      </c>
      <c r="B7" s="37" t="s">
        <v>5056</v>
      </c>
      <c r="C7" s="37" t="s">
        <v>5043</v>
      </c>
      <c r="D7" s="37" t="s">
        <v>5044</v>
      </c>
      <c r="E7" s="37" t="s">
        <v>5045</v>
      </c>
      <c r="AA7" s="109"/>
      <c r="AB7" s="109"/>
      <c r="AC7" s="109"/>
      <c r="AD7" s="109"/>
      <c r="AE7" s="109"/>
      <c r="AF7" s="109"/>
      <c r="AG7" s="109"/>
      <c r="AH7" s="109"/>
      <c r="AI7" s="109"/>
      <c r="AJ7" s="109"/>
      <c r="AK7" s="109"/>
      <c r="AL7" s="109"/>
      <c r="AM7" s="109"/>
      <c r="AN7" s="109"/>
    </row>
    <row r="8">
      <c r="A8" s="37" t="s">
        <v>1179</v>
      </c>
      <c r="B8" s="37" t="s">
        <v>5057</v>
      </c>
      <c r="C8" s="37" t="s">
        <v>5043</v>
      </c>
      <c r="D8" s="37" t="s">
        <v>5044</v>
      </c>
      <c r="E8" s="37" t="s">
        <v>5045</v>
      </c>
      <c r="AA8" s="109"/>
      <c r="AB8" s="109"/>
      <c r="AC8" s="109"/>
      <c r="AD8" s="109"/>
      <c r="AE8" s="109"/>
      <c r="AF8" s="109"/>
      <c r="AG8" s="109"/>
      <c r="AH8" s="109"/>
      <c r="AI8" s="109"/>
      <c r="AJ8" s="109"/>
      <c r="AK8" s="109"/>
      <c r="AL8" s="109"/>
      <c r="AM8" s="109"/>
      <c r="AN8" s="109"/>
    </row>
    <row r="9">
      <c r="A9" s="37" t="s">
        <v>1179</v>
      </c>
      <c r="B9" s="37" t="s">
        <v>5058</v>
      </c>
      <c r="C9" s="37" t="s">
        <v>5043</v>
      </c>
      <c r="D9" s="37" t="s">
        <v>5044</v>
      </c>
      <c r="E9" s="37" t="s">
        <v>5045</v>
      </c>
      <c r="AA9" s="109"/>
      <c r="AB9" s="109"/>
      <c r="AC9" s="109"/>
      <c r="AD9" s="109"/>
      <c r="AE9" s="109"/>
      <c r="AF9" s="109"/>
      <c r="AG9" s="109"/>
      <c r="AH9" s="109"/>
      <c r="AI9" s="109"/>
      <c r="AJ9" s="109"/>
      <c r="AK9" s="109"/>
      <c r="AL9" s="109"/>
      <c r="AM9" s="109"/>
      <c r="AN9" s="109"/>
    </row>
    <row r="10">
      <c r="A10" s="37" t="s">
        <v>1179</v>
      </c>
      <c r="B10" s="37" t="s">
        <v>5059</v>
      </c>
      <c r="C10" s="37" t="s">
        <v>5043</v>
      </c>
      <c r="D10" s="37" t="s">
        <v>5044</v>
      </c>
      <c r="E10" s="37" t="s">
        <v>5045</v>
      </c>
      <c r="AA10" s="109"/>
      <c r="AB10" s="109"/>
      <c r="AC10" s="109"/>
      <c r="AD10" s="109"/>
      <c r="AE10" s="109"/>
      <c r="AF10" s="109"/>
      <c r="AG10" s="109"/>
      <c r="AH10" s="109"/>
      <c r="AI10" s="109"/>
      <c r="AJ10" s="109"/>
      <c r="AK10" s="109"/>
      <c r="AL10" s="109"/>
      <c r="AM10" s="109"/>
      <c r="AN10" s="109"/>
    </row>
    <row r="11">
      <c r="A11" s="37" t="s">
        <v>1179</v>
      </c>
      <c r="B11" s="37" t="s">
        <v>5060</v>
      </c>
      <c r="C11" s="37" t="s">
        <v>5043</v>
      </c>
      <c r="D11" s="37" t="s">
        <v>5044</v>
      </c>
      <c r="E11" s="37" t="s">
        <v>5045</v>
      </c>
      <c r="AA11" s="109"/>
      <c r="AB11" s="109"/>
      <c r="AC11" s="109"/>
      <c r="AD11" s="109"/>
      <c r="AE11" s="109"/>
      <c r="AF11" s="109"/>
      <c r="AG11" s="109"/>
      <c r="AH11" s="109"/>
      <c r="AI11" s="109"/>
      <c r="AJ11" s="109"/>
      <c r="AK11" s="109"/>
      <c r="AL11" s="109"/>
      <c r="AM11" s="109"/>
      <c r="AN11" s="109"/>
    </row>
    <row r="12">
      <c r="A12" s="37" t="s">
        <v>1179</v>
      </c>
      <c r="B12" s="37" t="s">
        <v>5061</v>
      </c>
      <c r="C12" s="37" t="s">
        <v>5043</v>
      </c>
      <c r="D12" s="37" t="s">
        <v>5044</v>
      </c>
      <c r="E12" s="37" t="s">
        <v>5045</v>
      </c>
      <c r="AA12" s="109"/>
      <c r="AB12" s="109"/>
      <c r="AC12" s="109"/>
      <c r="AD12" s="109"/>
      <c r="AE12" s="109"/>
      <c r="AF12" s="109"/>
      <c r="AG12" s="109"/>
      <c r="AH12" s="109"/>
      <c r="AI12" s="109"/>
      <c r="AJ12" s="109"/>
      <c r="AK12" s="109"/>
      <c r="AL12" s="109"/>
      <c r="AM12" s="109"/>
      <c r="AN12" s="109"/>
    </row>
    <row r="13">
      <c r="A13" s="37" t="s">
        <v>1179</v>
      </c>
      <c r="B13" s="37" t="s">
        <v>5062</v>
      </c>
      <c r="C13" s="37" t="s">
        <v>5043</v>
      </c>
      <c r="D13" s="37" t="s">
        <v>5044</v>
      </c>
      <c r="E13" s="37" t="s">
        <v>5045</v>
      </c>
      <c r="AA13" s="109"/>
      <c r="AB13" s="109"/>
      <c r="AC13" s="109"/>
      <c r="AD13" s="109"/>
      <c r="AE13" s="109"/>
      <c r="AF13" s="109"/>
      <c r="AG13" s="109"/>
      <c r="AH13" s="109"/>
      <c r="AI13" s="109"/>
      <c r="AJ13" s="109"/>
      <c r="AK13" s="109"/>
      <c r="AL13" s="109"/>
      <c r="AM13" s="109"/>
      <c r="AN13" s="109"/>
    </row>
    <row r="14">
      <c r="A14" s="37" t="s">
        <v>1179</v>
      </c>
      <c r="B14" s="37" t="s">
        <v>5063</v>
      </c>
      <c r="C14" s="37" t="s">
        <v>5043</v>
      </c>
      <c r="D14" s="37" t="s">
        <v>5044</v>
      </c>
      <c r="E14" s="37" t="s">
        <v>5045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5064</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5065</v>
      </c>
      <c r="S1" s="149" t="s">
        <v>2628</v>
      </c>
      <c r="T1" s="149" t="s">
        <v>2627</v>
      </c>
      <c r="U1" s="74" t="s">
        <v>5066</v>
      </c>
      <c r="V1" s="74" t="s">
        <v>5067</v>
      </c>
      <c r="W1" s="2" t="s">
        <v>5068</v>
      </c>
      <c r="X1" s="2" t="s">
        <v>5069</v>
      </c>
      <c r="Y1" s="2" t="s">
        <v>5070</v>
      </c>
      <c r="Z1" s="2" t="s">
        <v>5071</v>
      </c>
    </row>
    <row r="2" ht="18.75" customHeight="1">
      <c r="A2" s="64">
        <v>1.0</v>
      </c>
      <c r="B2" s="64" t="s">
        <v>5072</v>
      </c>
      <c r="C2" s="64"/>
      <c r="D2" s="64"/>
      <c r="E2" s="64"/>
      <c r="F2" s="64"/>
      <c r="G2" s="64">
        <v>10.0</v>
      </c>
      <c r="H2" s="64">
        <v>0.0</v>
      </c>
      <c r="I2" s="64">
        <v>0.0</v>
      </c>
      <c r="J2" s="64"/>
      <c r="K2" s="64">
        <v>10.0</v>
      </c>
      <c r="U2" s="118">
        <v>1.0</v>
      </c>
      <c r="V2" s="118">
        <v>0.0</v>
      </c>
      <c r="W2" s="37" t="s">
        <v>5073</v>
      </c>
      <c r="X2" s="37" t="s">
        <v>5074</v>
      </c>
      <c r="Y2" s="37" t="s">
        <v>5075</v>
      </c>
      <c r="Z2" s="37">
        <v>1.0</v>
      </c>
    </row>
    <row r="3" ht="18.75" customHeight="1">
      <c r="A3" s="64">
        <v>2.0</v>
      </c>
      <c r="B3" s="64" t="s">
        <v>5072</v>
      </c>
      <c r="C3" s="64"/>
      <c r="D3" s="64"/>
      <c r="E3" s="64"/>
      <c r="F3" s="64"/>
      <c r="G3" s="64">
        <v>20.0</v>
      </c>
      <c r="H3" s="64">
        <v>0.0</v>
      </c>
      <c r="I3" s="64">
        <v>0.0</v>
      </c>
      <c r="J3" s="64"/>
      <c r="K3" s="64">
        <v>20.0</v>
      </c>
      <c r="U3" s="118">
        <v>1.0</v>
      </c>
      <c r="V3" s="118">
        <v>0.15</v>
      </c>
      <c r="W3" s="37" t="s">
        <v>5076</v>
      </c>
      <c r="X3" s="37" t="s">
        <v>5077</v>
      </c>
      <c r="Y3" s="37" t="s">
        <v>5078</v>
      </c>
      <c r="Z3" s="37">
        <v>1.25</v>
      </c>
    </row>
    <row r="4" ht="18.75" customHeight="1">
      <c r="A4" s="64">
        <v>3.0</v>
      </c>
      <c r="B4" s="64" t="s">
        <v>5072</v>
      </c>
      <c r="C4" s="64"/>
      <c r="D4" s="64"/>
      <c r="E4" s="64"/>
      <c r="F4" s="64"/>
      <c r="G4" s="64">
        <v>30.0</v>
      </c>
      <c r="H4" s="86">
        <v>1.0</v>
      </c>
      <c r="I4" s="64"/>
      <c r="J4" s="64"/>
      <c r="K4" s="64">
        <v>30.0</v>
      </c>
      <c r="L4" s="86">
        <v>1.0</v>
      </c>
      <c r="U4" s="118">
        <v>1.0</v>
      </c>
      <c r="V4" s="118">
        <v>0.3</v>
      </c>
      <c r="W4" s="37" t="s">
        <v>5079</v>
      </c>
      <c r="X4" s="37" t="s">
        <v>4523</v>
      </c>
      <c r="Y4" s="37" t="s">
        <v>5080</v>
      </c>
      <c r="Z4" s="37">
        <v>1.5</v>
      </c>
    </row>
    <row r="5" ht="18.75" customHeight="1">
      <c r="A5" s="64">
        <v>4.0</v>
      </c>
      <c r="B5" s="64" t="s">
        <v>5072</v>
      </c>
      <c r="C5" s="64"/>
      <c r="D5" s="64"/>
      <c r="E5" s="64"/>
      <c r="F5" s="64"/>
      <c r="G5" s="64">
        <v>40.0</v>
      </c>
      <c r="H5" s="86">
        <v>2.0</v>
      </c>
      <c r="I5" s="86">
        <v>1.0</v>
      </c>
      <c r="J5" s="64"/>
      <c r="K5" s="64">
        <v>40.0</v>
      </c>
      <c r="L5" s="86">
        <v>1.0</v>
      </c>
      <c r="M5" s="41">
        <v>1.0</v>
      </c>
      <c r="N5" s="39">
        <v>0.0</v>
      </c>
      <c r="U5" s="118">
        <v>1.0</v>
      </c>
      <c r="V5" s="118">
        <v>0.5</v>
      </c>
      <c r="W5" s="37" t="s">
        <v>5081</v>
      </c>
      <c r="X5" s="37" t="s">
        <v>5082</v>
      </c>
      <c r="Y5" s="37" t="s">
        <v>5083</v>
      </c>
      <c r="Z5" s="37">
        <v>1.75</v>
      </c>
    </row>
    <row r="6" ht="18.75" customHeight="1">
      <c r="A6" s="64">
        <v>5.0</v>
      </c>
      <c r="B6" s="64" t="s">
        <v>5072</v>
      </c>
      <c r="C6" s="64"/>
      <c r="D6" s="64"/>
      <c r="E6" s="64"/>
      <c r="F6" s="64"/>
      <c r="G6" s="64">
        <v>50.0</v>
      </c>
      <c r="H6" s="86">
        <v>2.0</v>
      </c>
      <c r="I6" s="86">
        <v>2.0</v>
      </c>
      <c r="J6" s="64"/>
      <c r="K6" s="64">
        <v>50.0</v>
      </c>
      <c r="L6" s="86">
        <v>2.0</v>
      </c>
      <c r="M6" s="86">
        <v>1.0</v>
      </c>
      <c r="N6" s="86">
        <v>1.0</v>
      </c>
      <c r="O6" s="37">
        <v>20.0</v>
      </c>
      <c r="P6" s="39">
        <v>0.0</v>
      </c>
      <c r="Q6" s="39">
        <v>0.0</v>
      </c>
      <c r="R6" s="37" t="s">
        <v>5084</v>
      </c>
      <c r="U6" s="118">
        <v>1.0</v>
      </c>
      <c r="V6" s="118">
        <v>0.65</v>
      </c>
      <c r="W6" s="37" t="s">
        <v>5085</v>
      </c>
      <c r="X6" s="37" t="s">
        <v>5086</v>
      </c>
      <c r="Y6" s="37" t="s">
        <v>5087</v>
      </c>
      <c r="Z6" s="37">
        <v>2.0</v>
      </c>
    </row>
    <row r="7" ht="18.75" customHeight="1">
      <c r="A7" s="64">
        <v>6.0</v>
      </c>
      <c r="B7" s="64" t="s">
        <v>5072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5084</v>
      </c>
      <c r="U7" s="118">
        <v>1.0</v>
      </c>
      <c r="V7" s="118">
        <v>0.8</v>
      </c>
    </row>
    <row r="8" ht="18.75" customHeight="1">
      <c r="A8" s="64">
        <v>7.0</v>
      </c>
      <c r="B8" s="64" t="s">
        <v>5072</v>
      </c>
      <c r="C8" s="64"/>
      <c r="D8" s="64"/>
      <c r="E8" s="64"/>
      <c r="F8" s="64"/>
      <c r="G8" s="64">
        <f t="shared" si="1"/>
        <v>200</v>
      </c>
      <c r="H8" s="86">
        <v>4.0</v>
      </c>
      <c r="I8" s="86">
        <v>4.0</v>
      </c>
      <c r="J8" s="64"/>
      <c r="K8" s="64">
        <f t="shared" si="2"/>
        <v>200</v>
      </c>
      <c r="L8" s="86">
        <v>4.0</v>
      </c>
      <c r="M8" s="86">
        <v>2.0</v>
      </c>
      <c r="N8" s="86">
        <v>2.0</v>
      </c>
      <c r="O8" s="37">
        <v>80.0</v>
      </c>
      <c r="P8" s="39">
        <v>2.0</v>
      </c>
      <c r="Q8" s="39">
        <v>0.0</v>
      </c>
      <c r="R8" s="37" t="s">
        <v>5084</v>
      </c>
      <c r="U8" s="118">
        <v>1.0</v>
      </c>
      <c r="V8" s="118">
        <v>1.0</v>
      </c>
    </row>
    <row r="9" ht="18.75" customHeight="1">
      <c r="A9" s="64">
        <v>1.0</v>
      </c>
      <c r="B9" s="37" t="s">
        <v>5088</v>
      </c>
      <c r="O9" s="37">
        <v>5.0</v>
      </c>
      <c r="P9" s="39">
        <v>0.0</v>
      </c>
    </row>
    <row r="10" ht="18.75" customHeight="1">
      <c r="A10" s="64">
        <v>2.0</v>
      </c>
      <c r="B10" s="37" t="s">
        <v>5088</v>
      </c>
      <c r="O10" s="37">
        <v>10.0</v>
      </c>
      <c r="P10" s="39">
        <v>0.0</v>
      </c>
      <c r="Q10" s="39">
        <v>0.0</v>
      </c>
    </row>
    <row r="11" ht="18.75" customHeight="1">
      <c r="A11" s="64">
        <v>3.0</v>
      </c>
      <c r="B11" s="37" t="s">
        <v>5088</v>
      </c>
      <c r="O11" s="37">
        <v>20.0</v>
      </c>
      <c r="P11" s="39">
        <v>0.0</v>
      </c>
      <c r="Q11" s="39">
        <v>0.0</v>
      </c>
    </row>
    <row r="12" ht="18.75" customHeight="1">
      <c r="A12" s="64">
        <v>4.0</v>
      </c>
      <c r="B12" s="37" t="s">
        <v>5088</v>
      </c>
      <c r="O12" s="37">
        <v>40.0</v>
      </c>
      <c r="P12" s="39">
        <v>1.0</v>
      </c>
      <c r="Q12" s="39">
        <v>0.0</v>
      </c>
    </row>
    <row r="13" ht="18.75" customHeight="1">
      <c r="A13" s="64">
        <v>5.0</v>
      </c>
      <c r="B13" s="37" t="s">
        <v>5088</v>
      </c>
      <c r="O13" s="37">
        <v>80.0</v>
      </c>
      <c r="P13" s="39">
        <v>2.0</v>
      </c>
      <c r="Q13" s="39">
        <v>0.0</v>
      </c>
      <c r="R13" s="37" t="s">
        <v>5084</v>
      </c>
    </row>
    <row r="14" ht="18.75" customHeight="1">
      <c r="A14" s="64">
        <v>6.0</v>
      </c>
      <c r="B14" s="37" t="s">
        <v>5088</v>
      </c>
      <c r="O14" s="37">
        <v>160.0</v>
      </c>
      <c r="P14" s="39">
        <v>3.0</v>
      </c>
      <c r="Q14" s="39">
        <v>1.0</v>
      </c>
      <c r="R14" s="37" t="s">
        <v>5084</v>
      </c>
    </row>
    <row r="15" ht="18.75" customHeight="1">
      <c r="A15" s="64">
        <v>7.0</v>
      </c>
      <c r="B15" s="37" t="s">
        <v>5088</v>
      </c>
      <c r="O15" s="37">
        <v>320.0</v>
      </c>
      <c r="P15" s="39">
        <v>6.0</v>
      </c>
      <c r="Q15" s="39">
        <v>2.0</v>
      </c>
      <c r="R15" s="37" t="s">
        <v>5084</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5089</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5090</v>
      </c>
      <c r="B1" s="37" t="s">
        <v>5091</v>
      </c>
      <c r="C1" s="37" t="s">
        <v>5092</v>
      </c>
      <c r="D1" s="37" t="s">
        <v>5093</v>
      </c>
      <c r="E1" s="37" t="s">
        <v>5094</v>
      </c>
      <c r="F1" s="37" t="s">
        <v>5095</v>
      </c>
      <c r="G1" s="37" t="s">
        <v>2569</v>
      </c>
      <c r="H1" s="37" t="s">
        <v>1452</v>
      </c>
      <c r="I1" s="37" t="s">
        <v>5096</v>
      </c>
      <c r="J1" s="37" t="s">
        <v>1782</v>
      </c>
      <c r="K1" s="37" t="s">
        <v>1492</v>
      </c>
      <c r="L1" s="37" t="s">
        <v>4983</v>
      </c>
      <c r="M1" s="37" t="s">
        <v>4988</v>
      </c>
      <c r="N1" s="37" t="s">
        <v>4989</v>
      </c>
      <c r="O1" s="37" t="s">
        <v>4991</v>
      </c>
      <c r="P1" s="37" t="s">
        <v>5097</v>
      </c>
      <c r="Q1" s="37" t="s">
        <v>4477</v>
      </c>
      <c r="R1" s="37" t="s">
        <v>5098</v>
      </c>
      <c r="S1" s="37" t="s">
        <v>5099</v>
      </c>
      <c r="T1" s="37" t="s">
        <v>5100</v>
      </c>
      <c r="U1" s="37" t="s">
        <v>5101</v>
      </c>
      <c r="V1" s="176" t="s">
        <v>5102</v>
      </c>
      <c r="W1" s="177" t="s">
        <v>5103</v>
      </c>
      <c r="X1" s="177" t="s">
        <v>3192</v>
      </c>
      <c r="Y1" s="39" t="s">
        <v>4360</v>
      </c>
      <c r="Z1" s="39" t="s">
        <v>3317</v>
      </c>
      <c r="AA1" s="39" t="s">
        <v>5104</v>
      </c>
    </row>
    <row r="2" ht="18.75" customHeight="1">
      <c r="A2" s="37" t="s">
        <v>2804</v>
      </c>
      <c r="B2" s="37" t="s">
        <v>3318</v>
      </c>
      <c r="C2" s="37" t="s">
        <v>5105</v>
      </c>
      <c r="D2" s="37">
        <v>20.0</v>
      </c>
      <c r="E2" s="39">
        <v>10.0</v>
      </c>
      <c r="F2" s="37">
        <v>25.0</v>
      </c>
      <c r="K2" s="37">
        <v>20.0</v>
      </c>
      <c r="M2" s="37">
        <v>10.0</v>
      </c>
      <c r="N2" s="37">
        <v>135.0</v>
      </c>
      <c r="R2" s="37" t="s">
        <v>5106</v>
      </c>
      <c r="S2" s="37" t="s">
        <v>5107</v>
      </c>
      <c r="T2" s="37" t="s">
        <v>5108</v>
      </c>
      <c r="V2" s="176">
        <v>1.0</v>
      </c>
      <c r="W2" s="178">
        <v>0.5</v>
      </c>
      <c r="X2" s="178">
        <v>0.0</v>
      </c>
    </row>
    <row r="3" ht="18.75" customHeight="1">
      <c r="A3" s="37" t="s">
        <v>2795</v>
      </c>
      <c r="B3" s="37" t="s">
        <v>3318</v>
      </c>
      <c r="C3" s="37" t="s">
        <v>5105</v>
      </c>
      <c r="D3" s="37">
        <v>30.0</v>
      </c>
      <c r="E3" s="39">
        <v>20.0</v>
      </c>
      <c r="F3" s="37">
        <v>35.0</v>
      </c>
      <c r="K3" s="37">
        <v>25.0</v>
      </c>
      <c r="M3" s="37">
        <v>10.0</v>
      </c>
      <c r="N3" s="37">
        <v>135.0</v>
      </c>
      <c r="R3" s="37" t="s">
        <v>4985</v>
      </c>
      <c r="S3" s="37" t="s">
        <v>5108</v>
      </c>
      <c r="V3" s="176">
        <v>1.25</v>
      </c>
      <c r="W3" s="178">
        <v>1.0</v>
      </c>
      <c r="X3" s="178">
        <v>0.1</v>
      </c>
    </row>
    <row r="4" ht="18.75" customHeight="1">
      <c r="A4" s="37" t="s">
        <v>2791</v>
      </c>
      <c r="B4" s="37" t="s">
        <v>3318</v>
      </c>
      <c r="C4" s="37" t="s">
        <v>5105</v>
      </c>
      <c r="D4" s="37">
        <v>40.0</v>
      </c>
      <c r="E4" s="39">
        <v>25.0</v>
      </c>
      <c r="F4" s="37">
        <v>40.0</v>
      </c>
      <c r="K4" s="37">
        <v>25.0</v>
      </c>
      <c r="M4" s="37">
        <v>10.0</v>
      </c>
      <c r="N4" s="37">
        <v>135.0</v>
      </c>
      <c r="R4" s="37" t="s">
        <v>4985</v>
      </c>
      <c r="V4" s="176">
        <v>1.5</v>
      </c>
      <c r="W4" s="178">
        <v>1.4</v>
      </c>
      <c r="X4" s="178">
        <v>0.1</v>
      </c>
    </row>
    <row r="5" ht="18.75" customHeight="1">
      <c r="A5" s="37" t="s">
        <v>2798</v>
      </c>
      <c r="B5" s="37" t="s">
        <v>3318</v>
      </c>
      <c r="C5" s="37" t="s">
        <v>5105</v>
      </c>
      <c r="D5" s="37">
        <v>40.0</v>
      </c>
      <c r="E5" s="39">
        <v>20.0</v>
      </c>
      <c r="F5" s="37">
        <v>45.0</v>
      </c>
      <c r="K5" s="37">
        <v>25.0</v>
      </c>
      <c r="M5" s="37">
        <v>10.0</v>
      </c>
      <c r="N5" s="37">
        <v>135.0</v>
      </c>
      <c r="R5" s="37" t="s">
        <v>5107</v>
      </c>
      <c r="S5" s="37" t="s">
        <v>5096</v>
      </c>
      <c r="V5" s="176">
        <v>1.25</v>
      </c>
      <c r="W5" s="178">
        <v>0.6</v>
      </c>
      <c r="X5" s="178">
        <v>1.2</v>
      </c>
    </row>
    <row r="6" ht="18.75" customHeight="1">
      <c r="A6" s="37" t="s">
        <v>5109</v>
      </c>
      <c r="B6" s="37" t="s">
        <v>3318</v>
      </c>
      <c r="C6" s="37" t="s">
        <v>5105</v>
      </c>
      <c r="D6" s="37">
        <v>50.0</v>
      </c>
      <c r="E6" s="39">
        <v>30.0</v>
      </c>
      <c r="F6" s="37">
        <v>45.0</v>
      </c>
      <c r="K6" s="37">
        <v>30.0</v>
      </c>
      <c r="M6" s="37">
        <v>10.0</v>
      </c>
      <c r="N6" s="37">
        <v>125.0</v>
      </c>
      <c r="R6" s="37" t="s">
        <v>5107</v>
      </c>
      <c r="V6" s="176">
        <v>1.25</v>
      </c>
      <c r="W6" s="178">
        <v>1.2</v>
      </c>
      <c r="X6" s="178">
        <v>0.4</v>
      </c>
    </row>
    <row r="7" ht="18.75" customHeight="1">
      <c r="A7" s="37" t="s">
        <v>2814</v>
      </c>
      <c r="B7" s="37" t="s">
        <v>3318</v>
      </c>
      <c r="C7" s="37" t="s">
        <v>5105</v>
      </c>
      <c r="D7" s="37">
        <v>30.0</v>
      </c>
      <c r="E7" s="39">
        <v>10.0</v>
      </c>
      <c r="F7" s="37">
        <v>30.0</v>
      </c>
      <c r="K7" s="37">
        <v>20.0</v>
      </c>
      <c r="M7" s="37">
        <v>10.0</v>
      </c>
      <c r="N7" s="37">
        <v>125.0</v>
      </c>
      <c r="R7" s="37" t="s">
        <v>1490</v>
      </c>
      <c r="V7" s="176">
        <v>1.0</v>
      </c>
      <c r="W7" s="178">
        <v>0.0</v>
      </c>
      <c r="X7" s="178">
        <v>1.0</v>
      </c>
    </row>
    <row r="8" ht="18.75" customHeight="1">
      <c r="A8" s="37" t="s">
        <v>5110</v>
      </c>
      <c r="B8" s="37" t="s">
        <v>3318</v>
      </c>
      <c r="C8" s="37" t="s">
        <v>5105</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4983</v>
      </c>
      <c r="D9" s="37">
        <v>65.0</v>
      </c>
      <c r="E9" s="39">
        <v>20.0</v>
      </c>
      <c r="F9" s="37">
        <v>25.0</v>
      </c>
      <c r="K9" s="37">
        <v>25.0</v>
      </c>
      <c r="L9" s="37">
        <v>40.0</v>
      </c>
      <c r="M9" s="37">
        <v>10.0</v>
      </c>
      <c r="N9" s="37">
        <v>135.0</v>
      </c>
      <c r="O9" s="37">
        <v>20.0</v>
      </c>
      <c r="V9" s="176">
        <v>1.25</v>
      </c>
      <c r="W9" s="178">
        <v>0.2</v>
      </c>
      <c r="X9" s="178">
        <v>1.4</v>
      </c>
    </row>
    <row r="10" ht="18.75" customHeight="1">
      <c r="A10" s="37" t="s">
        <v>5111</v>
      </c>
      <c r="B10" s="37" t="s">
        <v>3318</v>
      </c>
      <c r="C10" s="37" t="s">
        <v>4983</v>
      </c>
      <c r="D10" s="37">
        <v>20.0</v>
      </c>
      <c r="E10" s="39">
        <v>10.0</v>
      </c>
      <c r="F10" s="37">
        <v>10.0</v>
      </c>
      <c r="K10" s="37">
        <v>25.0</v>
      </c>
      <c r="L10" s="37">
        <v>40.0</v>
      </c>
      <c r="M10" s="37">
        <v>10.0</v>
      </c>
      <c r="N10" s="37">
        <v>140.0</v>
      </c>
      <c r="O10" s="37">
        <v>20.0</v>
      </c>
      <c r="R10" s="37" t="s">
        <v>5112</v>
      </c>
      <c r="V10" s="176">
        <v>2.0</v>
      </c>
      <c r="W10" s="178">
        <v>2.0</v>
      </c>
      <c r="X10" s="178">
        <v>0.3</v>
      </c>
      <c r="Y10" s="41">
        <v>3.0</v>
      </c>
    </row>
    <row r="11" ht="18.75" customHeight="1">
      <c r="A11" s="37" t="s">
        <v>2809</v>
      </c>
      <c r="B11" s="37" t="s">
        <v>3318</v>
      </c>
      <c r="C11" s="37" t="s">
        <v>4796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5113</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5114</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5115</v>
      </c>
      <c r="B20" s="37" t="s">
        <v>2634</v>
      </c>
      <c r="Q20" s="37">
        <v>0.0</v>
      </c>
      <c r="R20" s="37" t="s">
        <v>5116</v>
      </c>
      <c r="S20" s="37" t="s">
        <v>5117</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5118</v>
      </c>
      <c r="V24" s="176">
        <v>1.5</v>
      </c>
      <c r="W24" s="178">
        <v>0.25</v>
      </c>
      <c r="X24" s="178">
        <v>1.0</v>
      </c>
      <c r="AA24" s="39">
        <v>3.0</v>
      </c>
    </row>
    <row r="25" ht="18.75" customHeight="1">
      <c r="V25" s="176"/>
      <c r="W25" s="176"/>
      <c r="X25" s="176"/>
    </row>
    <row r="26" ht="18.75" customHeight="1">
      <c r="A26" s="37" t="s">
        <v>5119</v>
      </c>
      <c r="B26" s="37" t="s">
        <v>2636</v>
      </c>
      <c r="E26" s="37">
        <v>5.0</v>
      </c>
      <c r="Q26" s="37">
        <v>3.0</v>
      </c>
      <c r="R26" s="37" t="s">
        <v>5116</v>
      </c>
      <c r="V26" s="176"/>
      <c r="W26" s="176"/>
      <c r="X26" s="176"/>
    </row>
    <row r="27" ht="18.75" customHeight="1">
      <c r="A27" s="37" t="s">
        <v>2793</v>
      </c>
      <c r="B27" s="37" t="s">
        <v>2636</v>
      </c>
      <c r="Q27" s="37">
        <v>1.0</v>
      </c>
      <c r="R27" s="37" t="s">
        <v>5120</v>
      </c>
      <c r="V27" s="176"/>
      <c r="W27" s="176"/>
      <c r="X27" s="176"/>
    </row>
    <row r="28" ht="18.75" customHeight="1">
      <c r="V28" s="176"/>
      <c r="W28" s="176"/>
      <c r="X28" s="176"/>
    </row>
    <row r="29" ht="18.75" customHeight="1">
      <c r="A29" s="37" t="s">
        <v>5121</v>
      </c>
      <c r="B29" s="37" t="s">
        <v>5122</v>
      </c>
      <c r="R29" s="37" t="s">
        <v>137</v>
      </c>
      <c r="V29" s="176">
        <v>1.0</v>
      </c>
      <c r="W29" s="178">
        <v>0.15</v>
      </c>
      <c r="X29" s="178">
        <v>0.05</v>
      </c>
    </row>
    <row r="30" ht="18.75" customHeight="1">
      <c r="A30" s="37" t="s">
        <v>5027</v>
      </c>
      <c r="B30" s="37" t="s">
        <v>5122</v>
      </c>
      <c r="R30" s="37" t="s">
        <v>5116</v>
      </c>
      <c r="S30" s="37" t="s">
        <v>5117</v>
      </c>
      <c r="V30" s="176">
        <v>1.0</v>
      </c>
      <c r="W30" s="178">
        <v>0.1</v>
      </c>
      <c r="X30" s="178">
        <v>0.05</v>
      </c>
    </row>
    <row r="31" ht="18.75" customHeight="1">
      <c r="A31" s="37" t="s">
        <v>5123</v>
      </c>
      <c r="B31" s="37" t="s">
        <v>5122</v>
      </c>
      <c r="R31" s="37" t="s">
        <v>5124</v>
      </c>
      <c r="V31" s="176">
        <v>1.0</v>
      </c>
      <c r="W31" s="178">
        <v>0.1</v>
      </c>
      <c r="X31" s="178">
        <v>0.05</v>
      </c>
    </row>
    <row r="32" ht="18.75" customHeight="1">
      <c r="A32" s="37" t="s">
        <v>5125</v>
      </c>
      <c r="B32" s="37" t="s">
        <v>5122</v>
      </c>
      <c r="R32" s="37" t="s">
        <v>5126</v>
      </c>
      <c r="S32" s="37" t="s">
        <v>5127</v>
      </c>
      <c r="V32" s="176">
        <v>1.0</v>
      </c>
      <c r="W32" s="178">
        <v>0.2</v>
      </c>
      <c r="X32" s="178">
        <v>0.05</v>
      </c>
    </row>
    <row r="33" ht="18.75" customHeight="1"/>
    <row r="34" ht="18.75" customHeight="1">
      <c r="A34" s="39" t="s">
        <v>32</v>
      </c>
      <c r="B34" s="39" t="s">
        <v>5128</v>
      </c>
      <c r="C34" s="39" t="s">
        <v>5105</v>
      </c>
      <c r="D34" s="39">
        <v>60.0</v>
      </c>
      <c r="F34" s="41">
        <v>35.0</v>
      </c>
      <c r="K34" s="41">
        <v>15.0</v>
      </c>
      <c r="M34" s="41">
        <v>10.0</v>
      </c>
      <c r="N34" s="41">
        <v>125.0</v>
      </c>
      <c r="V34" s="176"/>
      <c r="W34" s="178"/>
      <c r="X34" s="178"/>
      <c r="Y34" s="39">
        <v>1.0</v>
      </c>
      <c r="Z34" s="39" t="s">
        <v>5129</v>
      </c>
      <c r="AA34" s="39"/>
    </row>
    <row r="35" ht="18.75" customHeight="1">
      <c r="A35" s="39" t="s">
        <v>35</v>
      </c>
      <c r="B35" s="39" t="s">
        <v>5128</v>
      </c>
      <c r="C35" s="39" t="s">
        <v>5105</v>
      </c>
      <c r="D35" s="41">
        <v>30.0</v>
      </c>
      <c r="F35" s="41">
        <v>25.0</v>
      </c>
      <c r="K35" s="41">
        <v>10.0</v>
      </c>
      <c r="M35" s="41">
        <v>10.0</v>
      </c>
      <c r="N35" s="41">
        <v>135.0</v>
      </c>
      <c r="P35" s="41">
        <v>15.0</v>
      </c>
      <c r="V35" s="176"/>
      <c r="W35" s="178"/>
      <c r="X35" s="178"/>
      <c r="Y35" s="39">
        <v>1.0</v>
      </c>
      <c r="Z35" s="39" t="s">
        <v>5129</v>
      </c>
      <c r="AA35" s="39"/>
    </row>
    <row r="36" ht="18.75" customHeight="1">
      <c r="A36" s="39" t="s">
        <v>37</v>
      </c>
      <c r="B36" s="39" t="s">
        <v>5128</v>
      </c>
      <c r="C36" s="39" t="s">
        <v>5105</v>
      </c>
      <c r="D36" s="41">
        <v>50.0</v>
      </c>
      <c r="F36" s="39">
        <v>15.0</v>
      </c>
      <c r="K36" s="41">
        <v>10.0</v>
      </c>
      <c r="M36" s="41">
        <v>10.0</v>
      </c>
      <c r="N36" s="41">
        <v>135.0</v>
      </c>
      <c r="V36" s="176"/>
      <c r="W36" s="178"/>
      <c r="X36" s="178"/>
      <c r="Y36" s="39">
        <v>2.0</v>
      </c>
      <c r="Z36" s="39" t="s">
        <v>5129</v>
      </c>
      <c r="AA36" s="39"/>
    </row>
    <row r="37" ht="18.75" customHeight="1">
      <c r="A37" s="39" t="s">
        <v>39</v>
      </c>
      <c r="B37" s="39" t="s">
        <v>5128</v>
      </c>
      <c r="C37" s="39" t="s">
        <v>5105</v>
      </c>
      <c r="D37" s="39">
        <v>20.0</v>
      </c>
      <c r="F37" s="41">
        <v>12.0</v>
      </c>
      <c r="K37" s="41">
        <v>7.0</v>
      </c>
      <c r="M37" s="41">
        <v>10.0</v>
      </c>
      <c r="N37" s="41">
        <v>125.0</v>
      </c>
      <c r="V37" s="176"/>
      <c r="W37" s="178"/>
      <c r="X37" s="178"/>
      <c r="Y37" s="39">
        <v>1.0</v>
      </c>
      <c r="Z37" s="39" t="s">
        <v>5129</v>
      </c>
      <c r="AA37" s="39"/>
    </row>
    <row r="38" ht="18.75" customHeight="1">
      <c r="A38" s="39" t="s">
        <v>45</v>
      </c>
      <c r="B38" s="39" t="s">
        <v>5128</v>
      </c>
      <c r="C38" s="39" t="s">
        <v>5105</v>
      </c>
      <c r="D38" s="41">
        <v>20.0</v>
      </c>
      <c r="F38" s="39">
        <v>10.0</v>
      </c>
      <c r="K38" s="39">
        <v>15.0</v>
      </c>
      <c r="M38" s="41">
        <v>5.0</v>
      </c>
      <c r="N38" s="41">
        <v>115.0</v>
      </c>
      <c r="V38" s="176"/>
      <c r="W38" s="178"/>
      <c r="X38" s="178"/>
      <c r="Y38" s="39">
        <v>2.0</v>
      </c>
      <c r="Z38" s="39" t="s">
        <v>5129</v>
      </c>
      <c r="AA38" s="39"/>
    </row>
    <row r="39" ht="18.75" customHeight="1">
      <c r="A39" s="39" t="s">
        <v>2605</v>
      </c>
      <c r="B39" s="39" t="s">
        <v>5130</v>
      </c>
      <c r="C39" s="41" t="s">
        <v>5128</v>
      </c>
      <c r="D39" s="41">
        <v>10.0</v>
      </c>
      <c r="F39" s="41">
        <v>10.0</v>
      </c>
      <c r="K39" s="41">
        <v>8.0</v>
      </c>
      <c r="M39" s="41">
        <v>5.0</v>
      </c>
      <c r="N39" s="41">
        <v>110.0</v>
      </c>
      <c r="Q39" s="41">
        <v>10.0</v>
      </c>
      <c r="V39" s="176"/>
      <c r="W39" s="178"/>
      <c r="X39" s="178"/>
      <c r="Z39" s="39" t="s">
        <v>5131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5132</v>
      </c>
      <c r="E1" s="179" t="s">
        <v>3015</v>
      </c>
      <c r="F1" s="179" t="s">
        <v>5133</v>
      </c>
      <c r="G1" s="179" t="s">
        <v>4146</v>
      </c>
      <c r="H1" s="179" t="s">
        <v>5134</v>
      </c>
      <c r="I1" s="179" t="s">
        <v>5135</v>
      </c>
      <c r="J1" s="179" t="s">
        <v>4464</v>
      </c>
      <c r="K1" s="179" t="s">
        <v>5136</v>
      </c>
      <c r="L1" s="179" t="s">
        <v>5137</v>
      </c>
      <c r="M1" s="179" t="s">
        <v>8</v>
      </c>
      <c r="N1" s="179" t="s">
        <v>5138</v>
      </c>
      <c r="O1" s="179" t="s">
        <v>5139</v>
      </c>
      <c r="P1" s="179" t="s">
        <v>5140</v>
      </c>
      <c r="Q1" s="179" t="s">
        <v>5141</v>
      </c>
      <c r="R1" s="179" t="s">
        <v>5142</v>
      </c>
      <c r="S1" s="179" t="s">
        <v>5143</v>
      </c>
      <c r="T1" s="179" t="s">
        <v>3317</v>
      </c>
      <c r="U1" s="179" t="s">
        <v>3322</v>
      </c>
      <c r="V1" s="180" t="s">
        <v>5144</v>
      </c>
      <c r="W1" s="180" t="s">
        <v>5145</v>
      </c>
      <c r="X1" s="180" t="s">
        <v>5146</v>
      </c>
      <c r="Y1" s="180" t="s">
        <v>5147</v>
      </c>
      <c r="Z1" s="180" t="s">
        <v>5148</v>
      </c>
      <c r="AA1" s="180" t="s">
        <v>5149</v>
      </c>
      <c r="AB1" s="180" t="s">
        <v>5150</v>
      </c>
      <c r="AC1" s="180" t="s">
        <v>5151</v>
      </c>
    </row>
    <row r="2">
      <c r="A2" s="181" t="s">
        <v>5152</v>
      </c>
      <c r="B2" s="181" t="s">
        <v>5153</v>
      </c>
      <c r="C2" s="181" t="s">
        <v>5154</v>
      </c>
      <c r="D2" s="181" t="s">
        <v>5155</v>
      </c>
      <c r="E2" s="181" t="s">
        <v>5156</v>
      </c>
      <c r="F2" s="181" t="s">
        <v>5157</v>
      </c>
      <c r="G2" s="181" t="s">
        <v>5158</v>
      </c>
      <c r="H2" s="181" t="s">
        <v>5159</v>
      </c>
      <c r="I2" s="181" t="s">
        <v>5160</v>
      </c>
      <c r="J2" s="181" t="s">
        <v>5161</v>
      </c>
      <c r="K2" s="181" t="s">
        <v>5162</v>
      </c>
      <c r="L2" s="181" t="s">
        <v>5163</v>
      </c>
      <c r="M2" s="181" t="s">
        <v>5164</v>
      </c>
      <c r="N2" s="181" t="s">
        <v>5165</v>
      </c>
      <c r="O2" s="181">
        <v>10.0</v>
      </c>
      <c r="P2" s="181" t="b">
        <v>1</v>
      </c>
      <c r="Q2" s="181">
        <v>5.0</v>
      </c>
      <c r="R2" s="181" t="s">
        <v>29</v>
      </c>
      <c r="S2" s="181" t="s">
        <v>29</v>
      </c>
      <c r="T2" s="181" t="s">
        <v>5166</v>
      </c>
      <c r="U2" s="181" t="s">
        <v>5167</v>
      </c>
      <c r="V2" s="181"/>
      <c r="W2" s="181"/>
      <c r="X2" s="181"/>
      <c r="Y2" s="181"/>
      <c r="Z2" s="181"/>
      <c r="AA2" s="181"/>
      <c r="AB2" s="181"/>
      <c r="AC2" s="181"/>
    </row>
    <row r="3">
      <c r="A3" s="181" t="s">
        <v>5168</v>
      </c>
      <c r="B3" s="181" t="s">
        <v>5153</v>
      </c>
      <c r="C3" s="181" t="s">
        <v>5154</v>
      </c>
      <c r="D3" s="181" t="s">
        <v>5155</v>
      </c>
      <c r="E3" s="181" t="s">
        <v>5169</v>
      </c>
      <c r="F3" s="181" t="s">
        <v>5157</v>
      </c>
      <c r="G3" s="181" t="s">
        <v>29</v>
      </c>
      <c r="H3" s="181" t="s">
        <v>5170</v>
      </c>
      <c r="I3" s="181" t="s">
        <v>5171</v>
      </c>
      <c r="J3" s="181" t="s">
        <v>5172</v>
      </c>
      <c r="K3" s="181" t="s">
        <v>29</v>
      </c>
      <c r="L3" s="181" t="s">
        <v>5163</v>
      </c>
      <c r="M3" s="181" t="s">
        <v>5173</v>
      </c>
      <c r="N3" s="181" t="s">
        <v>5174</v>
      </c>
      <c r="O3" s="181">
        <v>15.0</v>
      </c>
      <c r="P3" s="181" t="b">
        <v>1</v>
      </c>
      <c r="Q3" s="181">
        <v>5.0</v>
      </c>
      <c r="R3" s="181" t="s">
        <v>29</v>
      </c>
      <c r="S3" s="181" t="s">
        <v>29</v>
      </c>
      <c r="T3" s="181" t="s">
        <v>5175</v>
      </c>
      <c r="U3" s="181" t="s">
        <v>5176</v>
      </c>
      <c r="V3" s="181"/>
      <c r="W3" s="181"/>
      <c r="X3" s="181"/>
      <c r="Y3" s="181"/>
      <c r="Z3" s="181"/>
      <c r="AA3" s="181"/>
      <c r="AB3" s="181"/>
      <c r="AC3" s="181"/>
    </row>
    <row r="4">
      <c r="A4" s="181" t="s">
        <v>5177</v>
      </c>
      <c r="B4" s="181" t="s">
        <v>5153</v>
      </c>
      <c r="C4" s="181" t="s">
        <v>5154</v>
      </c>
      <c r="D4" s="181" t="s">
        <v>5178</v>
      </c>
      <c r="E4" s="181" t="s">
        <v>5179</v>
      </c>
      <c r="F4" s="181" t="s">
        <v>5157</v>
      </c>
      <c r="G4" s="181" t="s">
        <v>29</v>
      </c>
      <c r="H4" s="181" t="s">
        <v>5180</v>
      </c>
      <c r="I4" s="181" t="s">
        <v>5181</v>
      </c>
      <c r="J4" s="181" t="s">
        <v>5182</v>
      </c>
      <c r="K4" s="181" t="s">
        <v>29</v>
      </c>
      <c r="L4" s="181" t="s">
        <v>29</v>
      </c>
      <c r="M4" s="181" t="s">
        <v>5183</v>
      </c>
      <c r="N4" s="181" t="s">
        <v>29</v>
      </c>
      <c r="O4" s="181" t="s">
        <v>29</v>
      </c>
      <c r="P4" s="181" t="b">
        <v>0</v>
      </c>
      <c r="Q4" s="181" t="s">
        <v>29</v>
      </c>
      <c r="R4" s="181">
        <v>5.0</v>
      </c>
      <c r="S4" s="181">
        <v>3.0</v>
      </c>
      <c r="T4" s="181" t="s">
        <v>5184</v>
      </c>
      <c r="U4" s="181" t="s">
        <v>5185</v>
      </c>
      <c r="V4" s="181"/>
      <c r="W4" s="181"/>
      <c r="X4" s="181"/>
      <c r="Y4" s="181"/>
      <c r="Z4" s="181"/>
      <c r="AA4" s="181"/>
      <c r="AB4" s="181"/>
      <c r="AC4" s="181"/>
    </row>
    <row r="5">
      <c r="A5" s="181" t="s">
        <v>5186</v>
      </c>
      <c r="B5" s="181" t="s">
        <v>5153</v>
      </c>
      <c r="C5" s="181" t="s">
        <v>5154</v>
      </c>
      <c r="D5" s="181" t="s">
        <v>5155</v>
      </c>
      <c r="E5" s="181" t="s">
        <v>5187</v>
      </c>
      <c r="F5" s="181" t="s">
        <v>5157</v>
      </c>
      <c r="G5" s="181" t="s">
        <v>5188</v>
      </c>
      <c r="H5" s="181" t="s">
        <v>5159</v>
      </c>
      <c r="I5" s="181" t="s">
        <v>5189</v>
      </c>
      <c r="J5" s="181" t="s">
        <v>5190</v>
      </c>
      <c r="K5" s="181" t="s">
        <v>5191</v>
      </c>
      <c r="L5" s="181" t="s">
        <v>5192</v>
      </c>
      <c r="M5" s="181" t="s">
        <v>5193</v>
      </c>
      <c r="N5" s="181" t="s">
        <v>5194</v>
      </c>
      <c r="O5" s="181">
        <v>10.0</v>
      </c>
      <c r="P5" s="181" t="b">
        <v>1</v>
      </c>
      <c r="Q5" s="181">
        <v>5.0</v>
      </c>
      <c r="R5" s="181" t="s">
        <v>29</v>
      </c>
      <c r="S5" s="181" t="s">
        <v>29</v>
      </c>
      <c r="T5" s="181" t="s">
        <v>5195</v>
      </c>
      <c r="U5" s="181" t="s">
        <v>5196</v>
      </c>
      <c r="V5" s="181"/>
      <c r="W5" s="181"/>
      <c r="X5" s="181"/>
      <c r="Y5" s="181"/>
      <c r="Z5" s="181"/>
      <c r="AA5" s="181"/>
      <c r="AB5" s="181"/>
      <c r="AC5" s="181"/>
    </row>
    <row r="6">
      <c r="A6" s="181" t="s">
        <v>5197</v>
      </c>
      <c r="B6" s="182" t="s">
        <v>5198</v>
      </c>
      <c r="C6" s="181" t="s">
        <v>5154</v>
      </c>
      <c r="D6" s="181" t="s">
        <v>5155</v>
      </c>
      <c r="E6" s="181" t="s">
        <v>5199</v>
      </c>
      <c r="F6" s="181" t="s">
        <v>5157</v>
      </c>
      <c r="G6" s="181" t="s">
        <v>29</v>
      </c>
      <c r="H6" s="181" t="s">
        <v>5159</v>
      </c>
      <c r="I6" s="181" t="s">
        <v>5200</v>
      </c>
      <c r="J6" s="181" t="s">
        <v>5201</v>
      </c>
      <c r="K6" s="181" t="s">
        <v>5202</v>
      </c>
      <c r="L6" s="181" t="s">
        <v>5163</v>
      </c>
      <c r="M6" s="181" t="s">
        <v>5203</v>
      </c>
      <c r="N6" s="181" t="s">
        <v>5204</v>
      </c>
      <c r="O6" s="181">
        <v>15.0</v>
      </c>
      <c r="P6" s="181" t="b">
        <v>1</v>
      </c>
      <c r="Q6" s="181">
        <v>5.0</v>
      </c>
      <c r="R6" s="181" t="s">
        <v>29</v>
      </c>
      <c r="S6" s="181" t="s">
        <v>29</v>
      </c>
      <c r="T6" s="181" t="s">
        <v>5205</v>
      </c>
      <c r="U6" s="181" t="s">
        <v>5206</v>
      </c>
      <c r="V6" s="181"/>
      <c r="W6" s="181"/>
      <c r="X6" s="181"/>
      <c r="Y6" s="181"/>
      <c r="Z6" s="181"/>
      <c r="AA6" s="181"/>
      <c r="AB6" s="181"/>
      <c r="AC6" s="181"/>
    </row>
    <row r="7">
      <c r="A7" s="181" t="s">
        <v>5207</v>
      </c>
      <c r="B7" s="182" t="s">
        <v>5198</v>
      </c>
      <c r="C7" s="181" t="s">
        <v>5154</v>
      </c>
      <c r="D7" s="181" t="s">
        <v>5155</v>
      </c>
      <c r="E7" s="181" t="s">
        <v>5199</v>
      </c>
      <c r="F7" s="181" t="s">
        <v>5157</v>
      </c>
      <c r="G7" s="181" t="s">
        <v>29</v>
      </c>
      <c r="H7" s="181" t="s">
        <v>5159</v>
      </c>
      <c r="I7" s="181" t="s">
        <v>5208</v>
      </c>
      <c r="J7" s="181" t="s">
        <v>5209</v>
      </c>
      <c r="K7" s="181" t="s">
        <v>5210</v>
      </c>
      <c r="L7" s="181" t="s">
        <v>5163</v>
      </c>
      <c r="M7" s="181" t="s">
        <v>5211</v>
      </c>
      <c r="N7" s="181" t="s">
        <v>5212</v>
      </c>
      <c r="O7" s="181">
        <v>15.0</v>
      </c>
      <c r="P7" s="181" t="b">
        <v>1</v>
      </c>
      <c r="Q7" s="181">
        <v>5.0</v>
      </c>
      <c r="R7" s="181" t="s">
        <v>29</v>
      </c>
      <c r="S7" s="181" t="s">
        <v>29</v>
      </c>
      <c r="T7" s="181" t="s">
        <v>5205</v>
      </c>
      <c r="U7" s="181" t="s">
        <v>5213</v>
      </c>
      <c r="V7" s="181"/>
      <c r="W7" s="181"/>
      <c r="X7" s="181"/>
      <c r="Y7" s="181"/>
      <c r="Z7" s="181"/>
      <c r="AA7" s="181"/>
      <c r="AB7" s="181"/>
      <c r="AC7" s="181"/>
    </row>
    <row r="8">
      <c r="A8" s="181" t="s">
        <v>5168</v>
      </c>
      <c r="B8" s="182" t="s">
        <v>5198</v>
      </c>
      <c r="C8" s="181" t="s">
        <v>5154</v>
      </c>
      <c r="D8" s="181" t="s">
        <v>5155</v>
      </c>
      <c r="E8" s="181" t="s">
        <v>5214</v>
      </c>
      <c r="F8" s="181" t="s">
        <v>5157</v>
      </c>
      <c r="G8" s="181" t="s">
        <v>29</v>
      </c>
      <c r="H8" s="181" t="s">
        <v>5215</v>
      </c>
      <c r="I8" s="181" t="s">
        <v>5216</v>
      </c>
      <c r="J8" s="181" t="s">
        <v>5172</v>
      </c>
      <c r="K8" s="181" t="s">
        <v>29</v>
      </c>
      <c r="L8" s="181" t="s">
        <v>5163</v>
      </c>
      <c r="M8" s="181" t="s">
        <v>5217</v>
      </c>
      <c r="N8" s="181" t="s">
        <v>5174</v>
      </c>
      <c r="O8" s="181">
        <v>15.0</v>
      </c>
      <c r="P8" s="181" t="b">
        <v>1</v>
      </c>
      <c r="Q8" s="181">
        <v>5.0</v>
      </c>
      <c r="R8" s="181" t="s">
        <v>29</v>
      </c>
      <c r="S8" s="181" t="s">
        <v>29</v>
      </c>
      <c r="T8" s="181" t="s">
        <v>5205</v>
      </c>
      <c r="U8" s="181" t="s">
        <v>5218</v>
      </c>
      <c r="V8" s="181"/>
      <c r="W8" s="181"/>
      <c r="X8" s="181"/>
      <c r="Y8" s="181"/>
      <c r="Z8" s="181"/>
      <c r="AA8" s="181"/>
      <c r="AB8" s="181"/>
      <c r="AC8" s="181"/>
    </row>
    <row r="9">
      <c r="A9" s="181" t="s">
        <v>5186</v>
      </c>
      <c r="B9" s="181" t="s">
        <v>4134</v>
      </c>
      <c r="C9" s="181" t="s">
        <v>5154</v>
      </c>
      <c r="D9" s="181" t="s">
        <v>5155</v>
      </c>
      <c r="E9" s="181" t="s">
        <v>5199</v>
      </c>
      <c r="F9" s="181" t="s">
        <v>5157</v>
      </c>
      <c r="G9" s="181" t="s">
        <v>5188</v>
      </c>
      <c r="H9" s="181" t="s">
        <v>5159</v>
      </c>
      <c r="I9" s="181" t="s">
        <v>5219</v>
      </c>
      <c r="J9" s="181" t="s">
        <v>5190</v>
      </c>
      <c r="K9" s="181" t="s">
        <v>5191</v>
      </c>
      <c r="L9" s="181" t="s">
        <v>5220</v>
      </c>
      <c r="M9" s="181" t="s">
        <v>5221</v>
      </c>
      <c r="N9" s="181" t="s">
        <v>5194</v>
      </c>
      <c r="O9" s="181">
        <v>15.0</v>
      </c>
      <c r="P9" s="181" t="b">
        <v>1</v>
      </c>
      <c r="Q9" s="181">
        <v>5.0</v>
      </c>
      <c r="R9" s="181" t="s">
        <v>29</v>
      </c>
      <c r="S9" s="181" t="s">
        <v>29</v>
      </c>
      <c r="T9" s="181" t="s">
        <v>5205</v>
      </c>
      <c r="U9" s="181" t="s">
        <v>5222</v>
      </c>
      <c r="V9" s="181"/>
      <c r="W9" s="181"/>
      <c r="X9" s="181"/>
      <c r="Y9" s="181"/>
      <c r="Z9" s="181"/>
      <c r="AA9" s="181"/>
      <c r="AB9" s="181"/>
      <c r="AC9" s="181"/>
    </row>
    <row r="10">
      <c r="A10" s="182" t="s">
        <v>5223</v>
      </c>
      <c r="B10" s="182" t="s">
        <v>4134</v>
      </c>
      <c r="C10" s="182" t="s">
        <v>5154</v>
      </c>
      <c r="D10" s="182" t="s">
        <v>5224</v>
      </c>
      <c r="E10" s="182" t="s">
        <v>5225</v>
      </c>
      <c r="F10" s="181"/>
      <c r="G10" s="181"/>
      <c r="H10" s="181"/>
      <c r="I10" s="181"/>
      <c r="J10" s="181"/>
      <c r="K10" s="181"/>
      <c r="L10" s="181"/>
      <c r="M10" s="181"/>
      <c r="N10" s="181"/>
      <c r="O10" s="181"/>
      <c r="P10" s="181"/>
      <c r="Q10" s="181"/>
      <c r="R10" s="181"/>
      <c r="S10" s="181"/>
      <c r="T10" s="182" t="s">
        <v>5226</v>
      </c>
      <c r="U10" s="182" t="s">
        <v>5227</v>
      </c>
      <c r="V10" s="181" t="s">
        <v>5228</v>
      </c>
      <c r="W10" s="181">
        <v>100.0</v>
      </c>
      <c r="X10" s="181" t="s">
        <v>5229</v>
      </c>
      <c r="Y10" s="181" t="s">
        <v>5230</v>
      </c>
      <c r="Z10" s="181" t="s">
        <v>5231</v>
      </c>
      <c r="AA10" s="181">
        <v>3.0</v>
      </c>
      <c r="AB10" s="181">
        <v>3.0</v>
      </c>
      <c r="AC10" s="181">
        <v>5.0</v>
      </c>
    </row>
    <row r="11">
      <c r="A11" s="182" t="s">
        <v>5232</v>
      </c>
      <c r="B11" s="182" t="s">
        <v>4134</v>
      </c>
      <c r="C11" s="182" t="s">
        <v>5154</v>
      </c>
      <c r="D11" s="182" t="s">
        <v>5224</v>
      </c>
      <c r="E11" s="182" t="s">
        <v>5233</v>
      </c>
      <c r="F11" s="181"/>
      <c r="G11" s="181"/>
      <c r="H11" s="181"/>
      <c r="I11" s="181"/>
      <c r="J11" s="181"/>
      <c r="K11" s="181"/>
      <c r="L11" s="181"/>
      <c r="M11" s="181"/>
      <c r="N11" s="181"/>
      <c r="O11" s="181"/>
      <c r="P11" s="181"/>
      <c r="Q11" s="181"/>
      <c r="R11" s="181"/>
      <c r="S11" s="181"/>
      <c r="T11" s="182" t="s">
        <v>5234</v>
      </c>
      <c r="U11" s="182" t="s">
        <v>5235</v>
      </c>
      <c r="V11" s="181" t="s">
        <v>5236</v>
      </c>
      <c r="W11" s="181">
        <v>90.0</v>
      </c>
      <c r="X11" s="181" t="s">
        <v>5237</v>
      </c>
      <c r="Y11" s="181" t="s">
        <v>5238</v>
      </c>
      <c r="Z11" s="181"/>
      <c r="AA11" s="181">
        <v>3.0</v>
      </c>
      <c r="AB11" s="181">
        <v>1.0</v>
      </c>
      <c r="AC11" s="181">
        <v>3.0</v>
      </c>
    </row>
    <row r="12">
      <c r="A12" s="182" t="s">
        <v>5239</v>
      </c>
      <c r="B12" s="182" t="s">
        <v>4134</v>
      </c>
      <c r="C12" s="182" t="s">
        <v>5154</v>
      </c>
      <c r="D12" s="182" t="s">
        <v>5224</v>
      </c>
      <c r="E12" s="182" t="s">
        <v>5240</v>
      </c>
      <c r="F12" s="181"/>
      <c r="G12" s="181"/>
      <c r="H12" s="181"/>
      <c r="I12" s="181"/>
      <c r="J12" s="181"/>
      <c r="K12" s="181"/>
      <c r="L12" s="181"/>
      <c r="M12" s="181"/>
      <c r="N12" s="181"/>
      <c r="O12" s="181"/>
      <c r="P12" s="181"/>
      <c r="Q12" s="181"/>
      <c r="R12" s="181"/>
      <c r="S12" s="181"/>
      <c r="T12" s="182" t="s">
        <v>5241</v>
      </c>
      <c r="U12" s="182" t="s">
        <v>5242</v>
      </c>
      <c r="V12" s="181" t="s">
        <v>4412</v>
      </c>
      <c r="W12" s="181">
        <v>80.0</v>
      </c>
      <c r="X12" s="181" t="s">
        <v>5243</v>
      </c>
      <c r="Y12" s="181" t="s">
        <v>5244</v>
      </c>
      <c r="Z12" s="181" t="s">
        <v>5245</v>
      </c>
      <c r="AA12" s="181">
        <v>3.0</v>
      </c>
      <c r="AB12" s="181">
        <v>100.0</v>
      </c>
      <c r="AC12" s="181">
        <v>3.0</v>
      </c>
    </row>
    <row r="13">
      <c r="A13" s="182" t="s">
        <v>5246</v>
      </c>
      <c r="B13" s="182" t="s">
        <v>4134</v>
      </c>
      <c r="C13" s="182" t="s">
        <v>5154</v>
      </c>
      <c r="D13" s="182" t="s">
        <v>5224</v>
      </c>
      <c r="E13" s="182" t="s">
        <v>5247</v>
      </c>
      <c r="F13" s="181"/>
      <c r="G13" s="181"/>
      <c r="H13" s="181"/>
      <c r="I13" s="181"/>
      <c r="J13" s="181"/>
      <c r="K13" s="181"/>
      <c r="L13" s="181"/>
      <c r="M13" s="181"/>
      <c r="N13" s="181"/>
      <c r="O13" s="181"/>
      <c r="P13" s="181"/>
      <c r="Q13" s="181"/>
      <c r="R13" s="181"/>
      <c r="S13" s="181"/>
      <c r="T13" s="182" t="s">
        <v>5248</v>
      </c>
      <c r="U13" s="182" t="s">
        <v>5249</v>
      </c>
      <c r="V13" s="181" t="s">
        <v>4637</v>
      </c>
      <c r="W13" s="181">
        <v>60.0</v>
      </c>
      <c r="X13" s="181" t="s">
        <v>5250</v>
      </c>
      <c r="Y13" s="181" t="s">
        <v>5251</v>
      </c>
      <c r="Z13" s="181" t="s">
        <v>5245</v>
      </c>
      <c r="AA13" s="181">
        <v>3.0</v>
      </c>
      <c r="AB13" s="181">
        <v>100.0</v>
      </c>
      <c r="AC13" s="181">
        <v>5.0</v>
      </c>
    </row>
    <row r="14">
      <c r="A14" s="182" t="s">
        <v>5252</v>
      </c>
      <c r="B14" s="182" t="s">
        <v>5253</v>
      </c>
      <c r="C14" s="182" t="s">
        <v>5154</v>
      </c>
      <c r="D14" s="182" t="s">
        <v>5224</v>
      </c>
      <c r="E14" s="182" t="s">
        <v>5254</v>
      </c>
      <c r="F14" s="181"/>
      <c r="G14" s="181"/>
      <c r="H14" s="181"/>
      <c r="I14" s="181"/>
      <c r="J14" s="181"/>
      <c r="K14" s="181"/>
      <c r="L14" s="181"/>
      <c r="M14" s="181"/>
      <c r="N14" s="181"/>
      <c r="O14" s="181"/>
      <c r="P14" s="181"/>
      <c r="Q14" s="181"/>
      <c r="R14" s="181"/>
      <c r="S14" s="181"/>
      <c r="T14" s="182" t="s">
        <v>5255</v>
      </c>
      <c r="U14" s="182" t="s">
        <v>5256</v>
      </c>
      <c r="V14" s="181" t="s">
        <v>4635</v>
      </c>
      <c r="W14" s="181">
        <v>50.0</v>
      </c>
      <c r="X14" s="181" t="s">
        <v>5257</v>
      </c>
      <c r="Y14" s="181" t="s">
        <v>5251</v>
      </c>
      <c r="Z14" s="181" t="s">
        <v>5245</v>
      </c>
      <c r="AA14" s="181">
        <v>3.0</v>
      </c>
      <c r="AB14" s="181">
        <v>100.0</v>
      </c>
      <c r="AC14" s="181">
        <v>8.0</v>
      </c>
    </row>
    <row r="15">
      <c r="A15" s="182" t="s">
        <v>5258</v>
      </c>
      <c r="B15" s="182" t="s">
        <v>5253</v>
      </c>
      <c r="C15" s="182" t="s">
        <v>5154</v>
      </c>
      <c r="D15" s="182" t="s">
        <v>5224</v>
      </c>
      <c r="E15" s="182" t="s">
        <v>5259</v>
      </c>
      <c r="F15" s="181"/>
      <c r="G15" s="181"/>
      <c r="H15" s="181"/>
      <c r="I15" s="181"/>
      <c r="J15" s="181"/>
      <c r="K15" s="181"/>
      <c r="L15" s="181"/>
      <c r="M15" s="181"/>
      <c r="N15" s="181"/>
      <c r="O15" s="181"/>
      <c r="P15" s="181"/>
      <c r="Q15" s="181"/>
      <c r="R15" s="181"/>
      <c r="S15" s="181"/>
      <c r="T15" s="182" t="s">
        <v>5260</v>
      </c>
      <c r="U15" s="182" t="s">
        <v>5261</v>
      </c>
      <c r="V15" s="181" t="s">
        <v>5262</v>
      </c>
      <c r="W15" s="181">
        <v>70.0</v>
      </c>
      <c r="X15" s="181" t="s">
        <v>5263</v>
      </c>
      <c r="Y15" s="181" t="s">
        <v>5264</v>
      </c>
      <c r="Z15" s="181"/>
      <c r="AA15" s="181">
        <v>5.0</v>
      </c>
      <c r="AB15" s="181">
        <v>1.0</v>
      </c>
      <c r="AC15" s="181">
        <v>10.0</v>
      </c>
    </row>
    <row r="16">
      <c r="A16" s="182" t="s">
        <v>5265</v>
      </c>
      <c r="B16" s="182" t="s">
        <v>4134</v>
      </c>
      <c r="C16" s="182" t="s">
        <v>5154</v>
      </c>
      <c r="D16" s="182" t="s">
        <v>5266</v>
      </c>
      <c r="E16" s="182" t="s">
        <v>5267</v>
      </c>
      <c r="F16" s="182" t="s">
        <v>5157</v>
      </c>
      <c r="G16" s="181"/>
      <c r="H16" s="182" t="s">
        <v>5268</v>
      </c>
      <c r="I16" s="182" t="s">
        <v>5269</v>
      </c>
      <c r="J16" s="182" t="s">
        <v>5270</v>
      </c>
      <c r="K16" s="181"/>
      <c r="L16" s="182" t="s">
        <v>5271</v>
      </c>
      <c r="M16" s="181"/>
      <c r="N16" s="182" t="s">
        <v>5272</v>
      </c>
      <c r="O16" s="182">
        <v>15.0</v>
      </c>
      <c r="P16" s="182" t="b">
        <v>1</v>
      </c>
      <c r="Q16" s="182">
        <v>5.0</v>
      </c>
      <c r="R16" s="181"/>
      <c r="S16" s="181"/>
      <c r="T16" s="182" t="s">
        <v>5273</v>
      </c>
      <c r="U16" s="182" t="s">
        <v>5245</v>
      </c>
      <c r="V16" s="181" t="s">
        <v>5274</v>
      </c>
      <c r="W16" s="181"/>
      <c r="X16" s="181"/>
      <c r="Y16" s="181"/>
      <c r="Z16" s="181"/>
      <c r="AA16" s="181"/>
      <c r="AB16" s="181">
        <v>100.0</v>
      </c>
      <c r="AC16" s="181"/>
    </row>
    <row r="17">
      <c r="A17" s="182" t="s">
        <v>5275</v>
      </c>
      <c r="B17" s="182" t="s">
        <v>4134</v>
      </c>
      <c r="C17" s="182" t="s">
        <v>5154</v>
      </c>
      <c r="D17" s="182" t="s">
        <v>5266</v>
      </c>
      <c r="E17" s="182" t="s">
        <v>5276</v>
      </c>
      <c r="F17" s="182" t="s">
        <v>5157</v>
      </c>
      <c r="G17" s="181"/>
      <c r="H17" s="182" t="s">
        <v>5268</v>
      </c>
      <c r="I17" s="182" t="s">
        <v>5269</v>
      </c>
      <c r="J17" s="182" t="s">
        <v>5270</v>
      </c>
      <c r="K17" s="181"/>
      <c r="L17" s="182" t="s">
        <v>5271</v>
      </c>
      <c r="M17" s="181"/>
      <c r="N17" s="182" t="s">
        <v>5277</v>
      </c>
      <c r="O17" s="182">
        <v>15.0</v>
      </c>
      <c r="P17" s="182" t="b">
        <v>1</v>
      </c>
      <c r="Q17" s="182">
        <v>5.0</v>
      </c>
      <c r="R17" s="181"/>
      <c r="S17" s="181"/>
      <c r="T17" s="182" t="s">
        <v>5278</v>
      </c>
      <c r="U17" s="182" t="s">
        <v>5231</v>
      </c>
      <c r="V17" s="181" t="s">
        <v>5228</v>
      </c>
      <c r="W17" s="181"/>
      <c r="X17" s="181"/>
      <c r="Y17" s="181"/>
      <c r="Z17" s="181"/>
      <c r="AA17" s="181"/>
      <c r="AB17" s="181">
        <v>3.0</v>
      </c>
      <c r="AC17" s="181"/>
    </row>
    <row r="18">
      <c r="A18" s="182" t="s">
        <v>5279</v>
      </c>
      <c r="B18" s="182" t="s">
        <v>4134</v>
      </c>
      <c r="C18" s="182" t="s">
        <v>2049</v>
      </c>
      <c r="D18" s="182" t="s">
        <v>5155</v>
      </c>
      <c r="E18" s="182" t="s">
        <v>5280</v>
      </c>
      <c r="F18" s="182" t="s">
        <v>5281</v>
      </c>
      <c r="G18" s="182" t="s">
        <v>29</v>
      </c>
      <c r="H18" s="182" t="s">
        <v>5282</v>
      </c>
      <c r="I18" s="182" t="s">
        <v>5283</v>
      </c>
      <c r="J18" s="182" t="s">
        <v>5270</v>
      </c>
      <c r="K18" s="182" t="s">
        <v>5284</v>
      </c>
      <c r="L18" s="182" t="s">
        <v>5285</v>
      </c>
      <c r="M18" s="182" t="s">
        <v>5286</v>
      </c>
      <c r="N18" s="182" t="s">
        <v>5287</v>
      </c>
      <c r="O18" s="182" t="s">
        <v>29</v>
      </c>
      <c r="P18" s="182" t="b">
        <v>0</v>
      </c>
      <c r="Q18" s="182" t="s">
        <v>29</v>
      </c>
      <c r="R18" s="182" t="s">
        <v>29</v>
      </c>
      <c r="S18" s="182" t="s">
        <v>29</v>
      </c>
      <c r="T18" s="182" t="s">
        <v>5288</v>
      </c>
      <c r="U18" s="182" t="s">
        <v>5289</v>
      </c>
      <c r="V18" s="182" t="s">
        <v>29</v>
      </c>
      <c r="W18" s="182" t="s">
        <v>29</v>
      </c>
      <c r="X18" s="182" t="s">
        <v>29</v>
      </c>
      <c r="Y18" s="182" t="s">
        <v>29</v>
      </c>
      <c r="Z18" s="182" t="s">
        <v>29</v>
      </c>
      <c r="AA18" s="182" t="s">
        <v>29</v>
      </c>
      <c r="AB18" s="182" t="s">
        <v>29</v>
      </c>
      <c r="AC18" s="182" t="s">
        <v>29</v>
      </c>
    </row>
    <row r="19">
      <c r="A19" s="182" t="s">
        <v>5290</v>
      </c>
      <c r="B19" s="182" t="s">
        <v>4134</v>
      </c>
      <c r="C19" s="182" t="s">
        <v>2049</v>
      </c>
      <c r="D19" s="182" t="s">
        <v>5155</v>
      </c>
      <c r="E19" s="182" t="s">
        <v>5291</v>
      </c>
      <c r="F19" s="182" t="s">
        <v>5281</v>
      </c>
      <c r="G19" s="182" t="s">
        <v>29</v>
      </c>
      <c r="H19" s="182" t="s">
        <v>5282</v>
      </c>
      <c r="I19" s="182" t="s">
        <v>5283</v>
      </c>
      <c r="J19" s="182" t="s">
        <v>5270</v>
      </c>
      <c r="K19" s="182" t="s">
        <v>29</v>
      </c>
      <c r="L19" s="182" t="s">
        <v>5285</v>
      </c>
      <c r="M19" s="182" t="s">
        <v>5292</v>
      </c>
      <c r="N19" s="182" t="s">
        <v>5293</v>
      </c>
      <c r="O19" s="182" t="s">
        <v>29</v>
      </c>
      <c r="P19" s="182" t="b">
        <v>0</v>
      </c>
      <c r="Q19" s="182" t="s">
        <v>29</v>
      </c>
      <c r="R19" s="182" t="s">
        <v>29</v>
      </c>
      <c r="S19" s="182" t="s">
        <v>29</v>
      </c>
      <c r="T19" s="182" t="s">
        <v>5288</v>
      </c>
      <c r="U19" s="182" t="s">
        <v>5294</v>
      </c>
      <c r="V19" s="182" t="s">
        <v>29</v>
      </c>
      <c r="W19" s="182" t="s">
        <v>29</v>
      </c>
      <c r="X19" s="182" t="s">
        <v>29</v>
      </c>
      <c r="Y19" s="182" t="s">
        <v>29</v>
      </c>
      <c r="Z19" s="182" t="s">
        <v>29</v>
      </c>
      <c r="AA19" s="182">
        <v>16.0</v>
      </c>
      <c r="AB19" s="182" t="s">
        <v>29</v>
      </c>
      <c r="AC19" s="182" t="s">
        <v>29</v>
      </c>
    </row>
    <row r="20">
      <c r="A20" s="182" t="s">
        <v>5295</v>
      </c>
      <c r="B20" s="182" t="s">
        <v>4134</v>
      </c>
      <c r="C20" s="182" t="s">
        <v>2049</v>
      </c>
      <c r="D20" s="182" t="s">
        <v>5155</v>
      </c>
      <c r="E20" s="182" t="s">
        <v>5296</v>
      </c>
      <c r="F20" s="182" t="s">
        <v>5281</v>
      </c>
      <c r="G20" s="182" t="s">
        <v>29</v>
      </c>
      <c r="H20" s="182" t="s">
        <v>5282</v>
      </c>
      <c r="I20" s="182" t="s">
        <v>5283</v>
      </c>
      <c r="J20" s="182" t="s">
        <v>5270</v>
      </c>
      <c r="K20" s="182" t="s">
        <v>29</v>
      </c>
      <c r="L20" s="182" t="s">
        <v>5285</v>
      </c>
      <c r="M20" s="182" t="s">
        <v>5297</v>
      </c>
      <c r="N20" s="182" t="s">
        <v>5298</v>
      </c>
      <c r="O20" s="182" t="s">
        <v>29</v>
      </c>
      <c r="P20" s="182" t="b">
        <v>0</v>
      </c>
      <c r="Q20" s="182" t="s">
        <v>29</v>
      </c>
      <c r="R20" s="182" t="s">
        <v>29</v>
      </c>
      <c r="S20" s="182" t="s">
        <v>29</v>
      </c>
      <c r="T20" s="182" t="s">
        <v>5288</v>
      </c>
      <c r="U20" s="182" t="s">
        <v>5299</v>
      </c>
      <c r="V20" s="182" t="s">
        <v>29</v>
      </c>
      <c r="W20" s="182" t="s">
        <v>29</v>
      </c>
      <c r="X20" s="182" t="s">
        <v>29</v>
      </c>
      <c r="Y20" s="182" t="s">
        <v>29</v>
      </c>
      <c r="Z20" s="182" t="s">
        <v>29</v>
      </c>
      <c r="AA20" s="182">
        <v>3.0</v>
      </c>
      <c r="AB20" s="182" t="s">
        <v>29</v>
      </c>
      <c r="AC20" s="182" t="s">
        <v>29</v>
      </c>
    </row>
    <row r="21">
      <c r="A21" s="182" t="s">
        <v>5300</v>
      </c>
      <c r="B21" s="182" t="s">
        <v>4134</v>
      </c>
      <c r="C21" s="182" t="s">
        <v>5154</v>
      </c>
      <c r="D21" s="182" t="s">
        <v>5266</v>
      </c>
      <c r="E21" s="182" t="s">
        <v>5301</v>
      </c>
      <c r="F21" s="182" t="s">
        <v>5157</v>
      </c>
      <c r="G21" s="182" t="s">
        <v>29</v>
      </c>
      <c r="H21" s="182" t="s">
        <v>5268</v>
      </c>
      <c r="I21" s="182" t="s">
        <v>5269</v>
      </c>
      <c r="J21" s="182" t="s">
        <v>5270</v>
      </c>
      <c r="K21" s="182" t="s">
        <v>29</v>
      </c>
      <c r="L21" s="182" t="s">
        <v>5271</v>
      </c>
      <c r="M21" s="182" t="s">
        <v>29</v>
      </c>
      <c r="N21" s="182" t="s">
        <v>5302</v>
      </c>
      <c r="O21" s="182">
        <v>20.0</v>
      </c>
      <c r="P21" s="182" t="b">
        <v>1</v>
      </c>
      <c r="Q21" s="182">
        <v>5.0</v>
      </c>
      <c r="R21" s="182" t="s">
        <v>29</v>
      </c>
      <c r="S21" s="182" t="s">
        <v>29</v>
      </c>
      <c r="T21" s="182" t="s">
        <v>5303</v>
      </c>
      <c r="U21" s="182" t="s">
        <v>5304</v>
      </c>
      <c r="V21" s="182" t="s">
        <v>5305</v>
      </c>
      <c r="W21" s="182" t="s">
        <v>29</v>
      </c>
      <c r="X21" s="182" t="s">
        <v>29</v>
      </c>
      <c r="Y21" s="182" t="s">
        <v>29</v>
      </c>
      <c r="Z21" s="182" t="s">
        <v>29</v>
      </c>
      <c r="AA21" s="182">
        <v>1.0</v>
      </c>
      <c r="AB21" s="182" t="s">
        <v>29</v>
      </c>
      <c r="AC21" s="182" t="s">
        <v>29</v>
      </c>
    </row>
    <row r="22">
      <c r="A22" s="182" t="s">
        <v>5306</v>
      </c>
      <c r="B22" s="182" t="s">
        <v>4134</v>
      </c>
      <c r="C22" s="182" t="s">
        <v>5154</v>
      </c>
      <c r="D22" s="182" t="s">
        <v>5266</v>
      </c>
      <c r="E22" s="182" t="s">
        <v>5307</v>
      </c>
      <c r="F22" s="182" t="s">
        <v>5157</v>
      </c>
      <c r="G22" s="182" t="s">
        <v>29</v>
      </c>
      <c r="H22" s="182" t="s">
        <v>5268</v>
      </c>
      <c r="I22" s="182" t="s">
        <v>5269</v>
      </c>
      <c r="J22" s="182" t="s">
        <v>5270</v>
      </c>
      <c r="K22" s="182" t="s">
        <v>29</v>
      </c>
      <c r="L22" s="182" t="s">
        <v>5271</v>
      </c>
      <c r="M22" s="182" t="s">
        <v>29</v>
      </c>
      <c r="N22" s="182" t="s">
        <v>5308</v>
      </c>
      <c r="O22" s="182">
        <v>20.0</v>
      </c>
      <c r="P22" s="182" t="b">
        <v>1</v>
      </c>
      <c r="Q22" s="182">
        <v>5.0</v>
      </c>
      <c r="R22" s="182" t="s">
        <v>29</v>
      </c>
      <c r="S22" s="182" t="s">
        <v>29</v>
      </c>
      <c r="T22" s="182" t="s">
        <v>5303</v>
      </c>
      <c r="U22" s="182" t="s">
        <v>5309</v>
      </c>
      <c r="V22" s="182" t="s">
        <v>5310</v>
      </c>
      <c r="W22" s="182" t="s">
        <v>29</v>
      </c>
      <c r="X22" s="182" t="s">
        <v>29</v>
      </c>
      <c r="Y22" s="182" t="s">
        <v>29</v>
      </c>
      <c r="Z22" s="182" t="s">
        <v>29</v>
      </c>
      <c r="AA22" s="182">
        <v>3.0</v>
      </c>
      <c r="AB22" s="182" t="s">
        <v>29</v>
      </c>
      <c r="AC22" s="182" t="s">
        <v>29</v>
      </c>
    </row>
    <row r="23">
      <c r="A23" s="182" t="s">
        <v>5311</v>
      </c>
      <c r="B23" s="182" t="s">
        <v>4134</v>
      </c>
      <c r="C23" s="182" t="s">
        <v>5154</v>
      </c>
      <c r="D23" s="182" t="s">
        <v>5266</v>
      </c>
      <c r="E23" s="182" t="s">
        <v>5312</v>
      </c>
      <c r="F23" s="182" t="s">
        <v>5157</v>
      </c>
      <c r="G23" s="182" t="s">
        <v>29</v>
      </c>
      <c r="H23" s="182" t="s">
        <v>5268</v>
      </c>
      <c r="I23" s="182" t="s">
        <v>5269</v>
      </c>
      <c r="J23" s="182" t="s">
        <v>5270</v>
      </c>
      <c r="K23" s="182" t="s">
        <v>29</v>
      </c>
      <c r="L23" s="182" t="s">
        <v>5271</v>
      </c>
      <c r="M23" s="182" t="s">
        <v>29</v>
      </c>
      <c r="N23" s="182" t="s">
        <v>5313</v>
      </c>
      <c r="O23" s="182">
        <v>20.0</v>
      </c>
      <c r="P23" s="182" t="b">
        <v>1</v>
      </c>
      <c r="Q23" s="182">
        <v>5.0</v>
      </c>
      <c r="R23" s="182" t="s">
        <v>29</v>
      </c>
      <c r="S23" s="182" t="s">
        <v>29</v>
      </c>
      <c r="T23" s="182" t="s">
        <v>5303</v>
      </c>
      <c r="U23" s="182" t="s">
        <v>5314</v>
      </c>
      <c r="V23" s="182" t="s">
        <v>5315</v>
      </c>
      <c r="W23" s="182" t="s">
        <v>29</v>
      </c>
      <c r="X23" s="182" t="s">
        <v>29</v>
      </c>
      <c r="Y23" s="182" t="s">
        <v>29</v>
      </c>
      <c r="Z23" s="182" t="s">
        <v>29</v>
      </c>
      <c r="AA23" s="182">
        <v>1.0</v>
      </c>
      <c r="AB23" s="182" t="s">
        <v>29</v>
      </c>
      <c r="AC23" s="182" t="s">
        <v>29</v>
      </c>
    </row>
    <row r="24">
      <c r="A24" s="182" t="s">
        <v>5316</v>
      </c>
      <c r="B24" s="182" t="s">
        <v>4134</v>
      </c>
      <c r="C24" s="182" t="s">
        <v>5154</v>
      </c>
      <c r="D24" s="182" t="s">
        <v>5266</v>
      </c>
      <c r="E24" s="182" t="s">
        <v>5317</v>
      </c>
      <c r="F24" s="182" t="s">
        <v>5157</v>
      </c>
      <c r="G24" s="182" t="s">
        <v>29</v>
      </c>
      <c r="H24" s="182" t="s">
        <v>5268</v>
      </c>
      <c r="I24" s="182" t="s">
        <v>5269</v>
      </c>
      <c r="J24" s="182" t="s">
        <v>5270</v>
      </c>
      <c r="K24" s="182" t="s">
        <v>29</v>
      </c>
      <c r="L24" s="182" t="s">
        <v>5271</v>
      </c>
      <c r="M24" s="182" t="s">
        <v>29</v>
      </c>
      <c r="N24" s="182" t="s">
        <v>29</v>
      </c>
      <c r="O24" s="182" t="s">
        <v>29</v>
      </c>
      <c r="P24" s="182" t="b">
        <v>1</v>
      </c>
      <c r="Q24" s="182">
        <v>5.0</v>
      </c>
      <c r="R24" s="182">
        <v>5.0</v>
      </c>
      <c r="S24" s="182">
        <v>3.0</v>
      </c>
      <c r="T24" s="182" t="s">
        <v>5303</v>
      </c>
      <c r="U24" s="182" t="s">
        <v>5318</v>
      </c>
      <c r="V24" s="182" t="s">
        <v>5319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5320</v>
      </c>
      <c r="D1" s="183" t="s">
        <v>5321</v>
      </c>
      <c r="E1" s="183" t="s">
        <v>2620</v>
      </c>
      <c r="F1" s="183" t="s">
        <v>5322</v>
      </c>
      <c r="G1" s="184" t="s">
        <v>5323</v>
      </c>
      <c r="H1" s="184" t="s">
        <v>5324</v>
      </c>
      <c r="I1" s="184" t="s">
        <v>5325</v>
      </c>
      <c r="J1" s="184" t="s">
        <v>5326</v>
      </c>
      <c r="K1" s="184" t="s">
        <v>5327</v>
      </c>
      <c r="L1" s="184" t="s">
        <v>5328</v>
      </c>
      <c r="M1" s="184" t="s">
        <v>5329</v>
      </c>
      <c r="N1" s="184" t="s">
        <v>5330</v>
      </c>
    </row>
    <row r="2">
      <c r="A2" s="126" t="s">
        <v>5331</v>
      </c>
      <c r="B2" s="126" t="s">
        <v>3283</v>
      </c>
      <c r="C2" s="126" t="s">
        <v>57</v>
      </c>
      <c r="D2" s="126" t="s">
        <v>58</v>
      </c>
      <c r="E2" s="126" t="s">
        <v>5332</v>
      </c>
      <c r="F2" s="126" t="s">
        <v>4938</v>
      </c>
      <c r="G2" s="106" t="s">
        <v>5333</v>
      </c>
      <c r="H2" s="106" t="s">
        <v>5334</v>
      </c>
      <c r="I2" s="106">
        <v>40.0</v>
      </c>
      <c r="J2" s="106">
        <v>2.0</v>
      </c>
      <c r="K2" s="106">
        <v>20.0</v>
      </c>
      <c r="L2" s="106">
        <v>5.0</v>
      </c>
      <c r="M2" s="106" t="s">
        <v>5335</v>
      </c>
      <c r="N2" s="106">
        <v>3.0</v>
      </c>
    </row>
    <row r="3">
      <c r="A3" s="126" t="s">
        <v>5336</v>
      </c>
      <c r="B3" s="126" t="s">
        <v>3285</v>
      </c>
      <c r="C3" s="126" t="s">
        <v>56</v>
      </c>
      <c r="D3" s="126" t="s">
        <v>54</v>
      </c>
      <c r="E3" s="126" t="s">
        <v>5337</v>
      </c>
      <c r="F3" s="126" t="s">
        <v>4938</v>
      </c>
      <c r="G3" s="106" t="s">
        <v>5338</v>
      </c>
      <c r="H3" s="106" t="s">
        <v>5339</v>
      </c>
      <c r="I3" s="106">
        <v>40.0</v>
      </c>
      <c r="J3" s="106">
        <v>2.0</v>
      </c>
      <c r="K3" s="106">
        <v>20.0</v>
      </c>
      <c r="L3" s="106">
        <v>5.0</v>
      </c>
      <c r="M3" s="106" t="s">
        <v>5335</v>
      </c>
      <c r="N3" s="106">
        <v>3.0</v>
      </c>
    </row>
    <row r="4">
      <c r="A4" s="126" t="s">
        <v>5340</v>
      </c>
      <c r="B4" s="126" t="s">
        <v>3287</v>
      </c>
      <c r="C4" s="126" t="s">
        <v>67</v>
      </c>
      <c r="D4" s="126" t="s">
        <v>57</v>
      </c>
      <c r="E4" s="126" t="s">
        <v>5341</v>
      </c>
      <c r="F4" s="126" t="s">
        <v>4938</v>
      </c>
      <c r="G4" s="106" t="s">
        <v>5342</v>
      </c>
      <c r="H4" s="106" t="s">
        <v>5343</v>
      </c>
      <c r="I4" s="106">
        <v>40.0</v>
      </c>
      <c r="J4" s="106">
        <v>2.0</v>
      </c>
      <c r="K4" s="106">
        <v>20.0</v>
      </c>
      <c r="L4" s="106">
        <v>5.0</v>
      </c>
      <c r="M4" s="106" t="s">
        <v>5335</v>
      </c>
      <c r="N4" s="106">
        <v>3.0</v>
      </c>
    </row>
    <row r="5">
      <c r="A5" s="126" t="s">
        <v>5344</v>
      </c>
      <c r="B5" s="126" t="s">
        <v>3289</v>
      </c>
      <c r="C5" s="126" t="s">
        <v>61</v>
      </c>
      <c r="D5" s="126" t="s">
        <v>60</v>
      </c>
      <c r="E5" s="126" t="s">
        <v>5345</v>
      </c>
      <c r="F5" s="126" t="s">
        <v>4938</v>
      </c>
      <c r="G5" s="106" t="s">
        <v>5346</v>
      </c>
      <c r="H5" s="106" t="s">
        <v>5347</v>
      </c>
      <c r="I5" s="106">
        <v>40.0</v>
      </c>
      <c r="J5" s="106">
        <v>2.0</v>
      </c>
      <c r="K5" s="106">
        <v>20.0</v>
      </c>
      <c r="L5" s="106">
        <v>5.0</v>
      </c>
      <c r="M5" s="106" t="s">
        <v>5335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5348</v>
      </c>
      <c r="E1" s="185" t="s">
        <v>5349</v>
      </c>
      <c r="F1" s="185" t="s">
        <v>5350</v>
      </c>
      <c r="G1" s="185" t="s">
        <v>5351</v>
      </c>
      <c r="H1" s="185" t="s">
        <v>5352</v>
      </c>
      <c r="I1" s="185" t="s">
        <v>5353</v>
      </c>
      <c r="J1" s="185" t="s">
        <v>5354</v>
      </c>
      <c r="K1" s="185" t="s">
        <v>5355</v>
      </c>
      <c r="L1" s="186" t="s">
        <v>3218</v>
      </c>
      <c r="M1" s="186" t="s">
        <v>3219</v>
      </c>
      <c r="N1" s="123" t="s">
        <v>3330</v>
      </c>
      <c r="O1" s="123" t="s">
        <v>3331</v>
      </c>
      <c r="P1" s="123" t="s">
        <v>5356</v>
      </c>
      <c r="Q1" s="123" t="s">
        <v>5357</v>
      </c>
    </row>
    <row r="2">
      <c r="A2" s="39" t="s">
        <v>5358</v>
      </c>
      <c r="B2" s="39" t="s">
        <v>5359</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5360</v>
      </c>
      <c r="B3" s="39" t="s">
        <v>5361</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5362</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5363</v>
      </c>
      <c r="B5" s="39" t="s">
        <v>5361</v>
      </c>
      <c r="C5" s="39" t="s">
        <v>4412</v>
      </c>
      <c r="D5" s="39"/>
      <c r="E5" s="39"/>
      <c r="F5" s="39"/>
      <c r="G5" s="39"/>
      <c r="H5" s="39"/>
      <c r="I5" s="39"/>
      <c r="J5" s="39"/>
      <c r="K5" s="39">
        <v>1.0</v>
      </c>
      <c r="L5" s="39" t="s">
        <v>3270</v>
      </c>
      <c r="M5" s="39">
        <v>0.0</v>
      </c>
      <c r="N5" s="39">
        <v>0.0</v>
      </c>
      <c r="O5" s="39">
        <v>28.0</v>
      </c>
      <c r="P5" s="39">
        <v>30.0</v>
      </c>
      <c r="Q5" s="39"/>
    </row>
    <row r="6">
      <c r="A6" s="39" t="s">
        <v>5364</v>
      </c>
      <c r="B6" s="39" t="s">
        <v>5365</v>
      </c>
      <c r="C6" s="39" t="s">
        <v>4412</v>
      </c>
      <c r="D6" s="39"/>
      <c r="E6" s="39"/>
      <c r="F6" s="39"/>
      <c r="G6" s="39"/>
      <c r="H6" s="39"/>
      <c r="I6" s="39"/>
      <c r="J6" s="39"/>
      <c r="K6" s="39">
        <v>1.0</v>
      </c>
      <c r="L6" s="39" t="s">
        <v>3270</v>
      </c>
      <c r="M6" s="39">
        <v>0.0</v>
      </c>
      <c r="N6" s="39">
        <v>10.0</v>
      </c>
      <c r="O6" s="39">
        <v>35.0</v>
      </c>
      <c r="P6" s="39">
        <v>35.0</v>
      </c>
      <c r="Q6" s="39"/>
    </row>
    <row r="7">
      <c r="A7" s="39" t="s">
        <v>5366</v>
      </c>
      <c r="B7" s="39" t="s">
        <v>5365</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5367</v>
      </c>
      <c r="B8" s="39" t="s">
        <v>5368</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5369</v>
      </c>
      <c r="B9" s="39" t="s">
        <v>61</v>
      </c>
      <c r="C9" s="39" t="s">
        <v>4412</v>
      </c>
      <c r="D9" s="39"/>
      <c r="E9" s="39"/>
      <c r="F9" s="39"/>
      <c r="G9" s="39"/>
      <c r="H9" s="39"/>
      <c r="I9" s="39"/>
      <c r="J9" s="39"/>
      <c r="K9" s="39">
        <v>1.0</v>
      </c>
      <c r="L9" s="39" t="s">
        <v>3270</v>
      </c>
      <c r="M9" s="39">
        <v>0.0</v>
      </c>
      <c r="N9" s="39">
        <v>-5.0</v>
      </c>
      <c r="O9" s="39">
        <v>30.0</v>
      </c>
      <c r="P9" s="39"/>
      <c r="Q9" s="39"/>
    </row>
    <row r="10">
      <c r="A10" s="39" t="s">
        <v>5370</v>
      </c>
      <c r="B10" s="39" t="s">
        <v>61</v>
      </c>
      <c r="C10" s="39" t="s">
        <v>4412</v>
      </c>
      <c r="D10" s="39"/>
      <c r="E10" s="39"/>
      <c r="F10" s="39"/>
      <c r="G10" s="39"/>
      <c r="H10" s="39"/>
      <c r="I10" s="39"/>
      <c r="J10" s="39"/>
      <c r="K10" s="39">
        <v>1.0</v>
      </c>
      <c r="L10" s="39" t="s">
        <v>3270</v>
      </c>
      <c r="M10" s="39">
        <v>0.0</v>
      </c>
      <c r="N10" s="39">
        <v>0.0</v>
      </c>
      <c r="O10" s="39">
        <v>35.0</v>
      </c>
      <c r="P10" s="39"/>
      <c r="Q10" s="39"/>
    </row>
    <row r="11">
      <c r="A11" s="39" t="s">
        <v>5371</v>
      </c>
      <c r="B11" s="39" t="s">
        <v>5368</v>
      </c>
      <c r="C11" s="39" t="s">
        <v>4412</v>
      </c>
      <c r="D11" s="39"/>
      <c r="E11" s="39"/>
      <c r="F11" s="39"/>
      <c r="G11" s="39"/>
      <c r="H11" s="39"/>
      <c r="I11" s="39"/>
      <c r="J11" s="39"/>
      <c r="K11" s="39">
        <v>1.0</v>
      </c>
      <c r="L11" s="39" t="s">
        <v>3270</v>
      </c>
      <c r="M11" s="39">
        <v>0.0</v>
      </c>
      <c r="N11" s="39">
        <v>-10.0</v>
      </c>
      <c r="O11" s="39">
        <v>35.0</v>
      </c>
      <c r="P11" s="39"/>
      <c r="Q11" s="39"/>
    </row>
    <row r="12">
      <c r="A12" s="39" t="s">
        <v>5372</v>
      </c>
      <c r="B12" s="39" t="s">
        <v>5368</v>
      </c>
      <c r="C12" s="39" t="s">
        <v>4412</v>
      </c>
      <c r="D12" s="39"/>
      <c r="E12" s="39"/>
      <c r="F12" s="39"/>
      <c r="G12" s="39"/>
      <c r="H12" s="39"/>
      <c r="I12" s="39"/>
      <c r="J12" s="39"/>
      <c r="K12" s="39">
        <v>1.0</v>
      </c>
      <c r="L12" s="39" t="s">
        <v>3270</v>
      </c>
      <c r="M12" s="39">
        <v>0.0</v>
      </c>
      <c r="N12" s="39">
        <v>0.0</v>
      </c>
      <c r="O12" s="39">
        <v>35.0</v>
      </c>
      <c r="P12" s="39"/>
      <c r="Q12" s="39"/>
    </row>
    <row r="13">
      <c r="A13" s="39" t="s">
        <v>3196</v>
      </c>
      <c r="B13" s="39" t="s">
        <v>5373</v>
      </c>
      <c r="C13" s="39" t="s">
        <v>5103</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5374</v>
      </c>
      <c r="C14" s="39" t="s">
        <v>4430</v>
      </c>
      <c r="D14" s="39">
        <v>5.0</v>
      </c>
      <c r="E14" s="39">
        <v>1.0</v>
      </c>
      <c r="F14" s="39" t="s">
        <v>4760</v>
      </c>
      <c r="G14" s="39">
        <v>0.2</v>
      </c>
      <c r="H14" s="39" t="s">
        <v>5375</v>
      </c>
      <c r="I14" s="39"/>
      <c r="J14" s="39"/>
      <c r="K14" s="39">
        <v>1.0</v>
      </c>
      <c r="L14" s="39" t="s">
        <v>3272</v>
      </c>
      <c r="M14" s="39">
        <v>2.0</v>
      </c>
      <c r="N14" s="39"/>
      <c r="O14" s="39"/>
      <c r="P14" s="39"/>
      <c r="Q14" s="39"/>
    </row>
    <row r="15">
      <c r="A15" s="41" t="s">
        <v>3202</v>
      </c>
      <c r="B15" s="39" t="s">
        <v>5376</v>
      </c>
      <c r="C15" s="39" t="s">
        <v>4430</v>
      </c>
      <c r="D15" s="39">
        <v>5.0</v>
      </c>
      <c r="E15" s="39">
        <v>1.0</v>
      </c>
      <c r="F15" s="39" t="s">
        <v>4760</v>
      </c>
      <c r="G15" s="39">
        <v>0.2</v>
      </c>
      <c r="H15" s="39" t="s">
        <v>5375</v>
      </c>
      <c r="I15" s="39"/>
      <c r="J15" s="39"/>
      <c r="K15" s="39">
        <v>1.0</v>
      </c>
      <c r="L15" s="39" t="s">
        <v>3272</v>
      </c>
      <c r="M15" s="39">
        <v>2.0</v>
      </c>
      <c r="N15" s="39"/>
      <c r="O15" s="39"/>
      <c r="P15" s="39"/>
      <c r="Q15" s="39"/>
    </row>
    <row r="16">
      <c r="A16" s="39" t="s">
        <v>3193</v>
      </c>
      <c r="B16" s="39" t="s">
        <v>56</v>
      </c>
      <c r="C16" s="39" t="s">
        <v>4430</v>
      </c>
      <c r="D16" s="39">
        <v>5.0</v>
      </c>
      <c r="E16" s="39">
        <v>1.0</v>
      </c>
      <c r="F16" s="39" t="s">
        <v>4901</v>
      </c>
      <c r="G16" s="39">
        <v>0.2</v>
      </c>
      <c r="H16" s="39" t="s">
        <v>5375</v>
      </c>
      <c r="I16" s="39"/>
      <c r="J16" s="39"/>
      <c r="K16" s="39">
        <v>1.0</v>
      </c>
      <c r="L16" s="39" t="s">
        <v>3270</v>
      </c>
      <c r="M16" s="39">
        <v>2.0</v>
      </c>
      <c r="N16" s="39"/>
      <c r="O16" s="39"/>
      <c r="P16" s="39"/>
      <c r="Q16" s="39"/>
    </row>
    <row r="17">
      <c r="A17" s="39" t="s">
        <v>3194</v>
      </c>
      <c r="B17" s="39" t="s">
        <v>56</v>
      </c>
      <c r="C17" s="39" t="s">
        <v>4430</v>
      </c>
      <c r="D17" s="39">
        <v>5.0</v>
      </c>
      <c r="E17" s="39">
        <v>1.0</v>
      </c>
      <c r="F17" s="39" t="s">
        <v>4901</v>
      </c>
      <c r="G17" s="39">
        <v>0.2</v>
      </c>
      <c r="H17" s="39" t="s">
        <v>5375</v>
      </c>
      <c r="I17" s="39"/>
      <c r="J17" s="39"/>
      <c r="K17" s="39">
        <v>1.0</v>
      </c>
      <c r="L17" s="39" t="s">
        <v>3270</v>
      </c>
      <c r="M17" s="39">
        <v>3.0</v>
      </c>
      <c r="N17" s="39"/>
      <c r="O17" s="39"/>
      <c r="P17" s="39"/>
      <c r="Q17" s="39"/>
    </row>
    <row r="18">
      <c r="A18" s="39" t="s">
        <v>3198</v>
      </c>
      <c r="B18" s="39" t="s">
        <v>5374</v>
      </c>
      <c r="C18" s="39" t="s">
        <v>4430</v>
      </c>
      <c r="D18" s="39">
        <v>5.0</v>
      </c>
      <c r="E18" s="39">
        <v>1.0</v>
      </c>
      <c r="F18" s="39" t="s">
        <v>4760</v>
      </c>
      <c r="G18" s="39">
        <v>0.2</v>
      </c>
      <c r="H18" s="39" t="s">
        <v>5375</v>
      </c>
      <c r="I18" s="39"/>
      <c r="J18" s="39"/>
      <c r="K18" s="39">
        <v>1.0</v>
      </c>
      <c r="L18" s="39" t="s">
        <v>3272</v>
      </c>
      <c r="M18" s="39">
        <v>3.0</v>
      </c>
      <c r="N18" s="39"/>
      <c r="O18" s="39"/>
      <c r="P18" s="39"/>
      <c r="Q18" s="39"/>
    </row>
    <row r="19">
      <c r="A19" s="39" t="s">
        <v>3199</v>
      </c>
      <c r="B19" s="39" t="s">
        <v>5374</v>
      </c>
      <c r="C19" s="39" t="s">
        <v>4430</v>
      </c>
      <c r="D19" s="39">
        <v>5.0</v>
      </c>
      <c r="E19" s="39">
        <v>1.0</v>
      </c>
      <c r="F19" s="39" t="s">
        <v>4760</v>
      </c>
      <c r="G19" s="39">
        <v>0.2</v>
      </c>
      <c r="H19" s="39" t="s">
        <v>5375</v>
      </c>
      <c r="I19" s="39"/>
      <c r="J19" s="39"/>
      <c r="K19" s="39">
        <v>1.0</v>
      </c>
      <c r="L19" s="39" t="s">
        <v>3272</v>
      </c>
      <c r="M19" s="39">
        <v>3.0</v>
      </c>
      <c r="N19" s="39"/>
      <c r="O19" s="39"/>
      <c r="P19" s="39"/>
      <c r="Q19" s="39"/>
    </row>
    <row r="20">
      <c r="A20" s="39" t="s">
        <v>3201</v>
      </c>
      <c r="B20" s="39" t="s">
        <v>5377</v>
      </c>
      <c r="C20" s="39" t="s">
        <v>4430</v>
      </c>
      <c r="D20" s="39">
        <v>5.0</v>
      </c>
      <c r="E20" s="39">
        <v>1.0</v>
      </c>
      <c r="F20" s="39" t="s">
        <v>4760</v>
      </c>
      <c r="G20" s="39">
        <v>0.2</v>
      </c>
      <c r="H20" s="39" t="s">
        <v>5375</v>
      </c>
      <c r="I20" s="39"/>
      <c r="J20" s="39"/>
      <c r="K20" s="39">
        <v>1.0</v>
      </c>
      <c r="L20" s="39" t="s">
        <v>3272</v>
      </c>
      <c r="M20" s="39">
        <v>1.0</v>
      </c>
      <c r="N20" s="39"/>
      <c r="O20" s="39"/>
      <c r="P20" s="39"/>
      <c r="Q20" s="39"/>
    </row>
    <row r="21">
      <c r="A21" s="39" t="s">
        <v>48</v>
      </c>
      <c r="B21" s="39" t="s">
        <v>5378</v>
      </c>
      <c r="C21" s="39" t="s">
        <v>48</v>
      </c>
      <c r="D21" s="39" t="s">
        <v>29</v>
      </c>
      <c r="E21" s="39" t="s">
        <v>29</v>
      </c>
      <c r="F21" s="39" t="s">
        <v>29</v>
      </c>
      <c r="G21" s="39" t="s">
        <v>29</v>
      </c>
      <c r="H21" s="39" t="s">
        <v>5379</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5380</v>
      </c>
      <c r="D1" s="187" t="s">
        <v>5381</v>
      </c>
      <c r="E1" s="187" t="s">
        <v>5382</v>
      </c>
      <c r="F1" s="187" t="s">
        <v>5383</v>
      </c>
      <c r="G1" s="187" t="s">
        <v>5384</v>
      </c>
      <c r="H1" s="187" t="s">
        <v>5385</v>
      </c>
      <c r="I1" s="187" t="s">
        <v>5386</v>
      </c>
      <c r="J1" s="187" t="s">
        <v>5387</v>
      </c>
      <c r="K1" s="187" t="s">
        <v>8</v>
      </c>
      <c r="L1" s="187" t="s">
        <v>4991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5388</v>
      </c>
    </row>
    <row r="3">
      <c r="A3" s="142" t="s">
        <v>50</v>
      </c>
      <c r="B3" s="142">
        <v>20.0</v>
      </c>
      <c r="C3" s="142">
        <v>20.0</v>
      </c>
      <c r="D3" s="142">
        <v>5.0</v>
      </c>
      <c r="E3" s="142">
        <v>6.0</v>
      </c>
      <c r="F3" s="142">
        <v>3.0</v>
      </c>
      <c r="G3" s="142" t="s">
        <v>5389</v>
      </c>
      <c r="H3" s="142" t="s">
        <v>4671</v>
      </c>
      <c r="I3" s="142">
        <v>1.0</v>
      </c>
      <c r="J3" s="142">
        <v>1.0</v>
      </c>
      <c r="K3" s="142" t="s">
        <v>849</v>
      </c>
      <c r="L3" s="142">
        <v>0.0</v>
      </c>
      <c r="M3" s="142" t="s">
        <v>5390</v>
      </c>
    </row>
    <row r="4">
      <c r="A4" s="142" t="s">
        <v>52</v>
      </c>
      <c r="B4" s="142">
        <v>20.0</v>
      </c>
      <c r="C4" s="142">
        <v>80.0</v>
      </c>
      <c r="D4" s="142">
        <v>0.0</v>
      </c>
      <c r="E4" s="142">
        <v>0.0</v>
      </c>
      <c r="F4" s="142">
        <v>3.0</v>
      </c>
      <c r="G4" s="142" t="s">
        <v>5391</v>
      </c>
      <c r="H4" s="142" t="s">
        <v>4674</v>
      </c>
      <c r="I4" s="142">
        <v>1.0</v>
      </c>
      <c r="J4" s="142">
        <v>1.0</v>
      </c>
      <c r="K4" s="142" t="s">
        <v>849</v>
      </c>
      <c r="L4" s="142">
        <v>0.0</v>
      </c>
      <c r="M4" s="142" t="s">
        <v>5392</v>
      </c>
    </row>
    <row r="5">
      <c r="A5" s="142" t="s">
        <v>484</v>
      </c>
      <c r="B5" s="142">
        <v>20.0</v>
      </c>
      <c r="C5" s="142">
        <v>0.0</v>
      </c>
      <c r="D5" s="142">
        <v>0.0</v>
      </c>
      <c r="E5" s="142">
        <v>0.0</v>
      </c>
      <c r="F5" s="142">
        <v>3.0</v>
      </c>
      <c r="G5" s="142" t="s">
        <v>5389</v>
      </c>
      <c r="H5" s="142" t="s">
        <v>4635</v>
      </c>
      <c r="I5" s="142">
        <v>1.0</v>
      </c>
      <c r="J5" s="142">
        <v>1.0</v>
      </c>
      <c r="K5" s="142" t="s">
        <v>1845</v>
      </c>
      <c r="L5" s="142">
        <v>0.0</v>
      </c>
      <c r="M5" s="142" t="s">
        <v>5393</v>
      </c>
    </row>
    <row r="6">
      <c r="A6" s="142" t="s">
        <v>5394</v>
      </c>
      <c r="B6" s="142">
        <v>20.0</v>
      </c>
      <c r="C6" s="142">
        <v>0.0</v>
      </c>
      <c r="D6" s="142">
        <v>0.0</v>
      </c>
      <c r="E6" s="142">
        <v>3.0</v>
      </c>
      <c r="F6" s="142">
        <v>3.0</v>
      </c>
      <c r="G6" s="142" t="s">
        <v>5395</v>
      </c>
      <c r="H6" s="142" t="s">
        <v>4627</v>
      </c>
      <c r="I6" s="142">
        <v>1.0</v>
      </c>
      <c r="J6" s="142">
        <v>1.0</v>
      </c>
      <c r="K6" s="142" t="s">
        <v>4299</v>
      </c>
      <c r="L6" s="142">
        <v>10.0</v>
      </c>
      <c r="M6" s="142" t="s">
        <v>5396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5397</v>
      </c>
      <c r="J1" s="166" t="s">
        <v>4464</v>
      </c>
      <c r="K1" s="166" t="s">
        <v>5398</v>
      </c>
      <c r="L1" s="167" t="s">
        <v>849</v>
      </c>
      <c r="M1" s="167" t="s">
        <v>4981</v>
      </c>
      <c r="N1" s="167" t="s">
        <v>1492</v>
      </c>
      <c r="O1" s="167" t="s">
        <v>4982</v>
      </c>
      <c r="P1" s="167" t="s">
        <v>4796</v>
      </c>
      <c r="Q1" s="167" t="s">
        <v>4983</v>
      </c>
      <c r="R1" s="167" t="s">
        <v>1452</v>
      </c>
      <c r="S1" s="167" t="s">
        <v>5096</v>
      </c>
      <c r="T1" s="167" t="s">
        <v>1782</v>
      </c>
      <c r="U1" s="167" t="s">
        <v>284</v>
      </c>
      <c r="V1" s="167" t="s">
        <v>370</v>
      </c>
      <c r="W1" s="167" t="s">
        <v>518</v>
      </c>
      <c r="X1" s="167" t="s">
        <v>644</v>
      </c>
      <c r="Y1" s="167" t="s">
        <v>783</v>
      </c>
      <c r="Z1" s="167" t="s">
        <v>716</v>
      </c>
      <c r="AA1" s="167" t="s">
        <v>5399</v>
      </c>
      <c r="AB1" s="167" t="s">
        <v>4984</v>
      </c>
      <c r="AC1" s="167" t="s">
        <v>1490</v>
      </c>
      <c r="AD1" s="167" t="s">
        <v>4985</v>
      </c>
      <c r="AE1" s="167" t="s">
        <v>4986</v>
      </c>
      <c r="AF1" s="167" t="s">
        <v>4987</v>
      </c>
      <c r="AG1" s="167" t="s">
        <v>4988</v>
      </c>
      <c r="AH1" s="167" t="s">
        <v>4989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5400</v>
      </c>
      <c r="BU1" s="48" t="s">
        <v>4990</v>
      </c>
      <c r="BV1" s="48" t="s">
        <v>2587</v>
      </c>
      <c r="BW1" s="48" t="s">
        <v>2588</v>
      </c>
      <c r="BX1" s="48" t="s">
        <v>2589</v>
      </c>
      <c r="BY1" s="48" t="s">
        <v>2590</v>
      </c>
      <c r="BZ1" s="48" t="s">
        <v>2591</v>
      </c>
      <c r="CA1" s="48" t="s">
        <v>2592</v>
      </c>
      <c r="CB1" s="189" t="s">
        <v>1842</v>
      </c>
      <c r="CC1" s="168" t="s">
        <v>4991</v>
      </c>
      <c r="CD1" s="168" t="s">
        <v>4992</v>
      </c>
      <c r="CE1" s="168" t="s">
        <v>3090</v>
      </c>
      <c r="CF1" s="168" t="s">
        <v>4993</v>
      </c>
      <c r="CG1" s="168" t="s">
        <v>8</v>
      </c>
      <c r="CH1" s="168" t="s">
        <v>4360</v>
      </c>
      <c r="CI1" s="168" t="s">
        <v>4994</v>
      </c>
      <c r="CJ1" s="168" t="s">
        <v>4995</v>
      </c>
      <c r="CK1" s="168" t="s">
        <v>4996</v>
      </c>
      <c r="CL1" s="168" t="s">
        <v>4997</v>
      </c>
      <c r="CM1" s="168" t="s">
        <v>4998</v>
      </c>
      <c r="CN1" s="168" t="s">
        <v>4999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5423</v>
      </c>
    </row>
    <row r="59" ht="18.75" customHeight="1" outlineLevel="1">
      <c r="A59" s="19" t="s">
        <v>5424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5425</v>
      </c>
    </row>
    <row r="60" ht="18.75" customHeight="1" outlineLevel="1">
      <c r="A60" s="24" t="s">
        <v>5426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5427</v>
      </c>
    </row>
    <row r="61" ht="18.75" customHeight="1" outlineLevel="1">
      <c r="A61" s="24" t="s">
        <v>5428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5429</v>
      </c>
    </row>
    <row r="62" ht="18.75" customHeight="1" outlineLevel="1">
      <c r="A62" s="24" t="s">
        <v>5430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5431</v>
      </c>
    </row>
    <row r="63" ht="18.75" customHeight="1" outlineLevel="1">
      <c r="A63" s="24" t="s">
        <v>5432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5433</v>
      </c>
    </row>
    <row r="64" ht="18.75" customHeight="1" outlineLevel="1">
      <c r="A64" s="24" t="s">
        <v>5434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5435</v>
      </c>
    </row>
    <row r="65" ht="18.75" customHeight="1" outlineLevel="1">
      <c r="A65" s="24" t="s">
        <v>5436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5437</v>
      </c>
    </row>
    <row r="66" ht="18.75" customHeight="1" outlineLevel="1">
      <c r="A66" s="24" t="s">
        <v>5438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5439</v>
      </c>
    </row>
    <row r="67" ht="18.75" customHeight="1" outlineLevel="1">
      <c r="A67" s="24" t="s">
        <v>5440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5441</v>
      </c>
    </row>
    <row r="68" ht="18.75" customHeight="1" outlineLevel="1">
      <c r="A68" s="24" t="s">
        <v>5442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5443</v>
      </c>
    </row>
    <row r="69" ht="18.75" customHeight="1" outlineLevel="1">
      <c r="A69" s="24" t="s">
        <v>5444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5445</v>
      </c>
    </row>
    <row r="70" ht="18.75" customHeight="1" outlineLevel="1">
      <c r="A70" s="24" t="s">
        <v>5446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5447</v>
      </c>
    </row>
    <row r="71" ht="18.75" customHeight="1" outlineLevel="1">
      <c r="A71" s="24" t="s">
        <v>5448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5449</v>
      </c>
    </row>
    <row r="72" ht="18.75" customHeight="1" outlineLevel="1">
      <c r="A72" s="24" t="s">
        <v>5450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5451</v>
      </c>
    </row>
    <row r="73" ht="18.75" customHeight="1" outlineLevel="1">
      <c r="A73" s="24" t="s">
        <v>5452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5453</v>
      </c>
    </row>
    <row r="74" ht="18.75" customHeight="1" outlineLevel="1">
      <c r="A74" s="24" t="s">
        <v>5454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5455</v>
      </c>
    </row>
    <row r="75" ht="18.75" customHeight="1" outlineLevel="1">
      <c r="A75" s="24" t="s">
        <v>5456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5458</v>
      </c>
      <c r="B1" s="190" t="s">
        <v>5459</v>
      </c>
      <c r="C1" s="190" t="s">
        <v>5460</v>
      </c>
      <c r="D1" s="190" t="s">
        <v>5461</v>
      </c>
      <c r="E1" s="190" t="s">
        <v>5462</v>
      </c>
      <c r="F1" s="190" t="s">
        <v>5463</v>
      </c>
      <c r="G1" s="190" t="s">
        <v>5464</v>
      </c>
      <c r="H1" s="190" t="s">
        <v>5465</v>
      </c>
      <c r="I1" s="190" t="s">
        <v>5466</v>
      </c>
      <c r="J1" s="190" t="s">
        <v>5467</v>
      </c>
      <c r="K1" s="190" t="s">
        <v>5468</v>
      </c>
      <c r="L1" s="190" t="s">
        <v>5469</v>
      </c>
      <c r="M1" s="190" t="s">
        <v>5470</v>
      </c>
      <c r="N1" s="190" t="s">
        <v>1921</v>
      </c>
      <c r="O1" s="190" t="s">
        <v>5471</v>
      </c>
      <c r="P1" s="190" t="s">
        <v>5472</v>
      </c>
      <c r="Q1" s="190" t="s">
        <v>5473</v>
      </c>
      <c r="R1" s="190" t="s">
        <v>5474</v>
      </c>
      <c r="S1" s="190" t="s">
        <v>5475</v>
      </c>
    </row>
    <row r="2">
      <c r="A2" s="106" t="s">
        <v>5476</v>
      </c>
      <c r="B2" s="106" t="s">
        <v>5477</v>
      </c>
      <c r="C2" s="106" t="s">
        <v>5478</v>
      </c>
      <c r="D2" s="106" t="s">
        <v>5479</v>
      </c>
      <c r="E2" s="106" t="s">
        <v>5480</v>
      </c>
      <c r="F2" s="106" t="s">
        <v>5481</v>
      </c>
      <c r="G2" s="106" t="s">
        <v>5482</v>
      </c>
      <c r="H2" s="106" t="s">
        <v>5483</v>
      </c>
      <c r="I2" s="106" t="s">
        <v>5484</v>
      </c>
      <c r="J2" s="106" t="s">
        <v>5485</v>
      </c>
      <c r="K2" s="106" t="s">
        <v>5486</v>
      </c>
      <c r="L2" s="106" t="s">
        <v>5487</v>
      </c>
      <c r="M2" s="106" t="s">
        <v>5488</v>
      </c>
      <c r="N2" s="106" t="s">
        <v>5489</v>
      </c>
      <c r="O2" s="106" t="s">
        <v>5490</v>
      </c>
      <c r="P2" s="106" t="s">
        <v>5491</v>
      </c>
      <c r="Q2" s="106" t="s">
        <v>5492</v>
      </c>
      <c r="R2" s="106" t="s">
        <v>5493</v>
      </c>
      <c r="S2" s="106" t="s">
        <v>5494</v>
      </c>
    </row>
    <row r="3">
      <c r="A3" s="106" t="s">
        <v>5495</v>
      </c>
      <c r="B3" s="106" t="s">
        <v>5477</v>
      </c>
      <c r="C3" s="106" t="s">
        <v>5496</v>
      </c>
      <c r="D3" s="106" t="s">
        <v>5497</v>
      </c>
      <c r="E3" s="106" t="s">
        <v>5498</v>
      </c>
      <c r="F3" s="106" t="s">
        <v>5499</v>
      </c>
      <c r="G3" s="106" t="s">
        <v>5500</v>
      </c>
      <c r="H3" s="106" t="s">
        <v>5501</v>
      </c>
      <c r="I3" s="106" t="s">
        <v>5502</v>
      </c>
      <c r="J3" s="106" t="s">
        <v>5503</v>
      </c>
      <c r="K3" s="106" t="s">
        <v>5504</v>
      </c>
      <c r="L3" s="106" t="s">
        <v>5505</v>
      </c>
      <c r="M3" s="106" t="s">
        <v>5506</v>
      </c>
      <c r="N3" s="106" t="s">
        <v>5507</v>
      </c>
      <c r="O3" s="106" t="s">
        <v>5508</v>
      </c>
      <c r="P3" s="106" t="s">
        <v>5509</v>
      </c>
      <c r="Q3" s="106" t="s">
        <v>5510</v>
      </c>
      <c r="R3" s="106" t="s">
        <v>5511</v>
      </c>
      <c r="S3" s="106" t="s">
        <v>5512</v>
      </c>
    </row>
    <row r="4">
      <c r="A4" s="106" t="s">
        <v>5513</v>
      </c>
      <c r="B4" s="106" t="s">
        <v>5477</v>
      </c>
      <c r="C4" s="106" t="s">
        <v>5478</v>
      </c>
      <c r="D4" s="106" t="s">
        <v>5514</v>
      </c>
      <c r="E4" s="106" t="s">
        <v>5515</v>
      </c>
      <c r="F4" s="106" t="s">
        <v>5516</v>
      </c>
      <c r="G4" s="106" t="s">
        <v>5517</v>
      </c>
      <c r="H4" s="106" t="s">
        <v>5518</v>
      </c>
      <c r="I4" s="106" t="s">
        <v>5519</v>
      </c>
      <c r="J4" s="106" t="s">
        <v>5520</v>
      </c>
      <c r="K4" s="106" t="s">
        <v>5521</v>
      </c>
      <c r="L4" s="106" t="s">
        <v>5522</v>
      </c>
      <c r="M4" s="106" t="s">
        <v>5523</v>
      </c>
      <c r="N4" s="106" t="s">
        <v>5524</v>
      </c>
      <c r="O4" s="106" t="s">
        <v>5525</v>
      </c>
      <c r="P4" s="106" t="s">
        <v>5526</v>
      </c>
      <c r="Q4" s="106" t="s">
        <v>5527</v>
      </c>
      <c r="R4" s="106" t="s">
        <v>5528</v>
      </c>
      <c r="S4" s="106" t="s">
        <v>5529</v>
      </c>
    </row>
    <row r="5">
      <c r="A5" s="106" t="s">
        <v>5530</v>
      </c>
      <c r="B5" s="106" t="s">
        <v>5531</v>
      </c>
      <c r="C5" s="106" t="s">
        <v>5532</v>
      </c>
      <c r="D5" s="106" t="s">
        <v>5533</v>
      </c>
      <c r="E5" s="106" t="s">
        <v>5534</v>
      </c>
      <c r="F5" s="106" t="s">
        <v>5535</v>
      </c>
      <c r="G5" s="106" t="s">
        <v>5536</v>
      </c>
      <c r="H5" s="106" t="s">
        <v>5537</v>
      </c>
      <c r="I5" s="106" t="s">
        <v>5538</v>
      </c>
      <c r="J5" s="106" t="s">
        <v>5539</v>
      </c>
      <c r="K5" s="106" t="s">
        <v>5540</v>
      </c>
      <c r="L5" s="106" t="s">
        <v>5541</v>
      </c>
      <c r="M5" s="106" t="s">
        <v>5542</v>
      </c>
      <c r="N5" s="106" t="s">
        <v>5543</v>
      </c>
      <c r="O5" s="106" t="s">
        <v>5544</v>
      </c>
      <c r="P5" s="106" t="s">
        <v>5545</v>
      </c>
      <c r="Q5" s="106" t="s">
        <v>5546</v>
      </c>
      <c r="R5" s="106" t="s">
        <v>5547</v>
      </c>
      <c r="S5" s="106" t="s">
        <v>5548</v>
      </c>
    </row>
    <row r="6">
      <c r="A6" s="106" t="s">
        <v>5549</v>
      </c>
      <c r="B6" s="106" t="s">
        <v>5477</v>
      </c>
      <c r="C6" s="106" t="s">
        <v>5478</v>
      </c>
      <c r="D6" s="106" t="s">
        <v>5550</v>
      </c>
      <c r="E6" s="106" t="s">
        <v>5551</v>
      </c>
      <c r="F6" s="106" t="s">
        <v>5552</v>
      </c>
      <c r="G6" s="106" t="s">
        <v>5553</v>
      </c>
      <c r="H6" s="106" t="s">
        <v>5554</v>
      </c>
      <c r="I6" s="106" t="s">
        <v>5555</v>
      </c>
      <c r="J6" s="106" t="s">
        <v>5556</v>
      </c>
      <c r="K6" s="106" t="s">
        <v>5557</v>
      </c>
      <c r="L6" s="106" t="s">
        <v>5558</v>
      </c>
      <c r="M6" s="106" t="s">
        <v>5559</v>
      </c>
      <c r="N6" s="106" t="s">
        <v>5560</v>
      </c>
      <c r="O6" s="106" t="s">
        <v>5561</v>
      </c>
      <c r="P6" s="106" t="s">
        <v>5562</v>
      </c>
      <c r="Q6" s="106" t="s">
        <v>5563</v>
      </c>
      <c r="R6" s="106" t="s">
        <v>5564</v>
      </c>
      <c r="S6" s="106" t="s">
        <v>5565</v>
      </c>
    </row>
    <row r="7">
      <c r="A7" s="106" t="s">
        <v>5566</v>
      </c>
      <c r="B7" s="106" t="s">
        <v>5567</v>
      </c>
      <c r="C7" s="106" t="s">
        <v>5478</v>
      </c>
      <c r="D7" s="106" t="s">
        <v>5568</v>
      </c>
      <c r="E7" s="106" t="s">
        <v>5569</v>
      </c>
      <c r="F7" s="106" t="s">
        <v>5570</v>
      </c>
      <c r="G7" s="106" t="s">
        <v>5571</v>
      </c>
      <c r="H7" s="106" t="s">
        <v>5572</v>
      </c>
      <c r="I7" s="106" t="s">
        <v>5573</v>
      </c>
      <c r="J7" s="106" t="s">
        <v>5574</v>
      </c>
      <c r="K7" s="106" t="s">
        <v>5575</v>
      </c>
      <c r="L7" s="106" t="s">
        <v>5576</v>
      </c>
      <c r="M7" s="106" t="s">
        <v>5577</v>
      </c>
      <c r="N7" s="106" t="s">
        <v>5578</v>
      </c>
      <c r="O7" s="106" t="s">
        <v>5579</v>
      </c>
      <c r="P7" s="106" t="s">
        <v>5580</v>
      </c>
      <c r="Q7" s="106" t="s">
        <v>5581</v>
      </c>
      <c r="R7" s="106" t="s">
        <v>5582</v>
      </c>
      <c r="S7" s="106" t="s">
        <v>5583</v>
      </c>
    </row>
    <row r="8">
      <c r="A8" s="106" t="s">
        <v>5584</v>
      </c>
      <c r="B8" s="106" t="s">
        <v>5531</v>
      </c>
      <c r="C8" s="106" t="s">
        <v>5496</v>
      </c>
      <c r="D8" s="106" t="s">
        <v>5585</v>
      </c>
      <c r="E8" s="106" t="s">
        <v>5586</v>
      </c>
      <c r="F8" s="106" t="s">
        <v>5587</v>
      </c>
      <c r="G8" s="106" t="s">
        <v>5588</v>
      </c>
      <c r="H8" s="106" t="s">
        <v>5589</v>
      </c>
      <c r="I8" s="106" t="s">
        <v>5590</v>
      </c>
      <c r="J8" s="106" t="s">
        <v>5591</v>
      </c>
      <c r="K8" s="106" t="s">
        <v>5592</v>
      </c>
      <c r="L8" s="106" t="s">
        <v>5593</v>
      </c>
      <c r="M8" s="106" t="s">
        <v>5594</v>
      </c>
      <c r="N8" s="106" t="s">
        <v>5595</v>
      </c>
      <c r="O8" s="106" t="s">
        <v>5596</v>
      </c>
      <c r="P8" s="106" t="s">
        <v>5597</v>
      </c>
      <c r="Q8" s="106" t="s">
        <v>5598</v>
      </c>
      <c r="R8" s="106" t="s">
        <v>5599</v>
      </c>
      <c r="S8" s="106" t="s">
        <v>5600</v>
      </c>
    </row>
    <row r="9">
      <c r="A9" s="106" t="s">
        <v>1263</v>
      </c>
      <c r="B9" s="106" t="s">
        <v>5477</v>
      </c>
      <c r="C9" s="106" t="s">
        <v>5478</v>
      </c>
      <c r="D9" s="106" t="s">
        <v>5601</v>
      </c>
      <c r="E9" s="106" t="s">
        <v>5602</v>
      </c>
      <c r="F9" s="106" t="s">
        <v>5603</v>
      </c>
      <c r="G9" s="106" t="s">
        <v>5604</v>
      </c>
      <c r="H9" s="106" t="s">
        <v>5605</v>
      </c>
      <c r="I9" s="106" t="s">
        <v>5606</v>
      </c>
      <c r="J9" s="106" t="s">
        <v>5607</v>
      </c>
      <c r="K9" s="106" t="s">
        <v>5608</v>
      </c>
      <c r="L9" s="106" t="s">
        <v>5609</v>
      </c>
      <c r="M9" s="106" t="s">
        <v>5610</v>
      </c>
      <c r="N9" s="106" t="s">
        <v>5611</v>
      </c>
      <c r="O9" s="106" t="s">
        <v>5612</v>
      </c>
      <c r="P9" s="106" t="s">
        <v>5613</v>
      </c>
      <c r="Q9" s="106" t="s">
        <v>5614</v>
      </c>
      <c r="R9" s="106" t="s">
        <v>5615</v>
      </c>
      <c r="S9" s="106" t="s">
        <v>5616</v>
      </c>
    </row>
    <row r="10">
      <c r="A10" s="106" t="s">
        <v>5617</v>
      </c>
      <c r="B10" s="106" t="s">
        <v>5531</v>
      </c>
      <c r="C10" s="106" t="s">
        <v>5532</v>
      </c>
      <c r="D10" s="106" t="s">
        <v>5618</v>
      </c>
      <c r="E10" s="106" t="s">
        <v>5619</v>
      </c>
      <c r="F10" s="106" t="s">
        <v>5620</v>
      </c>
      <c r="G10" s="106" t="s">
        <v>5621</v>
      </c>
      <c r="H10" s="106" t="s">
        <v>5622</v>
      </c>
      <c r="I10" s="106" t="s">
        <v>5623</v>
      </c>
      <c r="J10" s="106" t="s">
        <v>5624</v>
      </c>
      <c r="K10" s="106" t="s">
        <v>5625</v>
      </c>
      <c r="L10" s="106" t="s">
        <v>5626</v>
      </c>
      <c r="M10" s="106" t="s">
        <v>5627</v>
      </c>
      <c r="N10" s="106" t="s">
        <v>5628</v>
      </c>
      <c r="O10" s="106" t="s">
        <v>5629</v>
      </c>
      <c r="P10" s="106" t="s">
        <v>5630</v>
      </c>
      <c r="Q10" s="106" t="s">
        <v>5631</v>
      </c>
      <c r="R10" s="106" t="s">
        <v>5632</v>
      </c>
      <c r="S10" s="106" t="s">
        <v>5633</v>
      </c>
    </row>
    <row r="11">
      <c r="A11" s="106" t="s">
        <v>3312</v>
      </c>
      <c r="B11" s="106" t="s">
        <v>5531</v>
      </c>
      <c r="C11" s="106" t="s">
        <v>5532</v>
      </c>
      <c r="D11" s="106" t="s">
        <v>5634</v>
      </c>
      <c r="E11" s="106" t="s">
        <v>5635</v>
      </c>
      <c r="F11" s="106" t="s">
        <v>5636</v>
      </c>
      <c r="G11" s="106" t="s">
        <v>5637</v>
      </c>
      <c r="H11" s="106" t="s">
        <v>5638</v>
      </c>
      <c r="I11" s="106" t="s">
        <v>5639</v>
      </c>
      <c r="J11" s="106" t="s">
        <v>5640</v>
      </c>
      <c r="K11" s="106" t="s">
        <v>5641</v>
      </c>
      <c r="L11" s="106" t="s">
        <v>5642</v>
      </c>
      <c r="M11" s="106" t="s">
        <v>5643</v>
      </c>
      <c r="N11" s="106" t="s">
        <v>5644</v>
      </c>
      <c r="O11" s="106" t="s">
        <v>5645</v>
      </c>
      <c r="P11" s="106" t="s">
        <v>5646</v>
      </c>
      <c r="Q11" s="106" t="s">
        <v>5647</v>
      </c>
      <c r="R11" s="106" t="s">
        <v>5648</v>
      </c>
      <c r="S11" s="106" t="s">
        <v>5649</v>
      </c>
    </row>
    <row r="12">
      <c r="A12" s="109" t="s">
        <v>5650</v>
      </c>
      <c r="B12" s="109" t="s">
        <v>5651</v>
      </c>
      <c r="C12" s="109" t="s">
        <v>5652</v>
      </c>
      <c r="D12" s="109" t="s">
        <v>5653</v>
      </c>
      <c r="E12" s="106" t="s">
        <v>5654</v>
      </c>
      <c r="F12" s="106" t="s">
        <v>5655</v>
      </c>
      <c r="G12" s="109" t="s">
        <v>5656</v>
      </c>
      <c r="H12" s="106" t="s">
        <v>5657</v>
      </c>
      <c r="I12" s="109" t="s">
        <v>5658</v>
      </c>
      <c r="J12" s="106" t="s">
        <v>5659</v>
      </c>
      <c r="K12" s="109" t="s">
        <v>5660</v>
      </c>
      <c r="L12" s="109" t="s">
        <v>5661</v>
      </c>
      <c r="M12" s="106" t="s">
        <v>5662</v>
      </c>
      <c r="N12" s="106" t="s">
        <v>5663</v>
      </c>
      <c r="O12" s="109" t="s">
        <v>5664</v>
      </c>
      <c r="P12" s="106" t="s">
        <v>5665</v>
      </c>
      <c r="Q12" s="106" t="s">
        <v>5666</v>
      </c>
      <c r="R12" s="106" t="s">
        <v>5667</v>
      </c>
      <c r="S12" s="109" t="s">
        <v>5668</v>
      </c>
    </row>
    <row r="13">
      <c r="A13" s="109" t="s">
        <v>5669</v>
      </c>
      <c r="B13" s="109" t="s">
        <v>5670</v>
      </c>
      <c r="C13" s="109" t="s">
        <v>5652</v>
      </c>
      <c r="D13" s="106" t="s">
        <v>5671</v>
      </c>
      <c r="E13" s="109" t="s">
        <v>5672</v>
      </c>
      <c r="F13" s="106" t="s">
        <v>5673</v>
      </c>
      <c r="G13" s="106" t="s">
        <v>5674</v>
      </c>
      <c r="H13" s="106" t="s">
        <v>5675</v>
      </c>
      <c r="I13" s="106" t="s">
        <v>5676</v>
      </c>
      <c r="J13" s="109" t="s">
        <v>5677</v>
      </c>
      <c r="K13" s="106" t="s">
        <v>5678</v>
      </c>
      <c r="L13" s="109" t="s">
        <v>5679</v>
      </c>
      <c r="M13" s="106" t="s">
        <v>5680</v>
      </c>
      <c r="N13" s="106" t="s">
        <v>5681</v>
      </c>
      <c r="O13" s="106" t="s">
        <v>5682</v>
      </c>
      <c r="P13" s="106" t="s">
        <v>5683</v>
      </c>
      <c r="Q13" s="106" t="s">
        <v>5684</v>
      </c>
      <c r="R13" s="106" t="s">
        <v>5685</v>
      </c>
      <c r="S13" s="106" t="s">
        <v>5686</v>
      </c>
    </row>
    <row r="14">
      <c r="A14" s="109" t="s">
        <v>5687</v>
      </c>
      <c r="B14" s="109" t="s">
        <v>5477</v>
      </c>
      <c r="C14" s="109" t="s">
        <v>5532</v>
      </c>
      <c r="D14" s="109" t="s">
        <v>5688</v>
      </c>
      <c r="E14" s="109" t="s">
        <v>5689</v>
      </c>
      <c r="F14" s="109" t="s">
        <v>5690</v>
      </c>
      <c r="G14" s="109" t="s">
        <v>5691</v>
      </c>
      <c r="H14" s="109" t="s">
        <v>5692</v>
      </c>
      <c r="I14" s="109" t="s">
        <v>5693</v>
      </c>
      <c r="J14" s="109" t="s">
        <v>5694</v>
      </c>
      <c r="K14" s="109" t="s">
        <v>5695</v>
      </c>
      <c r="L14" s="109" t="s">
        <v>5696</v>
      </c>
      <c r="M14" s="109" t="s">
        <v>5697</v>
      </c>
      <c r="N14" s="109" t="s">
        <v>5698</v>
      </c>
      <c r="O14" s="109" t="s">
        <v>5699</v>
      </c>
      <c r="P14" s="109" t="s">
        <v>5700</v>
      </c>
      <c r="Q14" s="109" t="s">
        <v>5701</v>
      </c>
      <c r="R14" s="109" t="s">
        <v>5702</v>
      </c>
      <c r="S14" s="109" t="s">
        <v>5703</v>
      </c>
    </row>
    <row r="15">
      <c r="A15" s="109" t="s">
        <v>5704</v>
      </c>
      <c r="B15" s="109" t="s">
        <v>5651</v>
      </c>
      <c r="C15" s="109" t="s">
        <v>5705</v>
      </c>
      <c r="D15" s="109" t="s">
        <v>5706</v>
      </c>
      <c r="E15" s="109" t="s">
        <v>5707</v>
      </c>
      <c r="F15" s="109" t="s">
        <v>5708</v>
      </c>
      <c r="G15" s="109" t="s">
        <v>5709</v>
      </c>
      <c r="H15" s="109" t="s">
        <v>5710</v>
      </c>
      <c r="I15" s="109" t="s">
        <v>5711</v>
      </c>
      <c r="J15" s="109" t="s">
        <v>5712</v>
      </c>
      <c r="K15" s="109" t="s">
        <v>5713</v>
      </c>
      <c r="L15" s="109" t="s">
        <v>5714</v>
      </c>
      <c r="M15" s="109" t="s">
        <v>5715</v>
      </c>
      <c r="N15" s="106" t="s">
        <v>5716</v>
      </c>
      <c r="O15" s="106" t="s">
        <v>5717</v>
      </c>
      <c r="P15" s="109" t="s">
        <v>5718</v>
      </c>
      <c r="Q15" s="109" t="s">
        <v>5719</v>
      </c>
      <c r="R15" s="109" t="s">
        <v>5720</v>
      </c>
      <c r="S15" s="109" t="s">
        <v>5721</v>
      </c>
    </row>
    <row r="16">
      <c r="A16" s="109" t="s">
        <v>5722</v>
      </c>
      <c r="B16" s="109" t="s">
        <v>5723</v>
      </c>
      <c r="C16" s="109" t="s">
        <v>5724</v>
      </c>
      <c r="D16" s="109" t="s">
        <v>5725</v>
      </c>
      <c r="E16" s="109" t="s">
        <v>5726</v>
      </c>
      <c r="F16" s="109" t="s">
        <v>5727</v>
      </c>
      <c r="G16" s="109" t="s">
        <v>5728</v>
      </c>
      <c r="H16" s="106" t="s">
        <v>5729</v>
      </c>
      <c r="I16" s="109" t="s">
        <v>5730</v>
      </c>
      <c r="J16" s="109" t="s">
        <v>5731</v>
      </c>
      <c r="K16" s="109" t="s">
        <v>5732</v>
      </c>
      <c r="L16" s="109" t="s">
        <v>5733</v>
      </c>
      <c r="M16" s="109" t="s">
        <v>5734</v>
      </c>
      <c r="N16" s="106" t="s">
        <v>5735</v>
      </c>
      <c r="O16" s="106" t="s">
        <v>5736</v>
      </c>
      <c r="P16" s="109" t="s">
        <v>5737</v>
      </c>
      <c r="Q16" s="109" t="s">
        <v>5738</v>
      </c>
      <c r="R16" s="109" t="s">
        <v>5739</v>
      </c>
      <c r="S16" s="109" t="s">
        <v>5740</v>
      </c>
    </row>
    <row r="17">
      <c r="A17" s="109" t="s">
        <v>5741</v>
      </c>
      <c r="B17" s="109" t="s">
        <v>5531</v>
      </c>
      <c r="C17" s="109" t="s">
        <v>5652</v>
      </c>
      <c r="D17" s="106" t="s">
        <v>5742</v>
      </c>
      <c r="E17" s="109" t="s">
        <v>5743</v>
      </c>
      <c r="F17" s="106" t="s">
        <v>5744</v>
      </c>
      <c r="G17" s="106" t="s">
        <v>5745</v>
      </c>
      <c r="H17" s="106" t="s">
        <v>5746</v>
      </c>
      <c r="I17" s="109" t="s">
        <v>5747</v>
      </c>
      <c r="J17" s="106" t="s">
        <v>5748</v>
      </c>
      <c r="K17" s="106" t="s">
        <v>5749</v>
      </c>
      <c r="L17" s="106" t="s">
        <v>5750</v>
      </c>
      <c r="M17" s="106" t="s">
        <v>5751</v>
      </c>
      <c r="N17" s="106" t="s">
        <v>5752</v>
      </c>
      <c r="O17" s="109" t="s">
        <v>5753</v>
      </c>
      <c r="P17" s="109" t="s">
        <v>5754</v>
      </c>
      <c r="Q17" s="106" t="s">
        <v>5755</v>
      </c>
      <c r="R17" s="106" t="s">
        <v>5756</v>
      </c>
      <c r="S17" s="106" t="s">
        <v>5757</v>
      </c>
    </row>
    <row r="18">
      <c r="A18" s="109" t="s">
        <v>5758</v>
      </c>
      <c r="B18" s="109" t="s">
        <v>5567</v>
      </c>
      <c r="C18" s="109" t="s">
        <v>5496</v>
      </c>
      <c r="D18" s="109" t="s">
        <v>5759</v>
      </c>
      <c r="E18" s="109" t="s">
        <v>5760</v>
      </c>
      <c r="F18" s="109" t="s">
        <v>5761</v>
      </c>
      <c r="G18" s="109" t="s">
        <v>5762</v>
      </c>
      <c r="H18" s="109" t="s">
        <v>5763</v>
      </c>
      <c r="I18" s="109" t="s">
        <v>5764</v>
      </c>
      <c r="J18" s="109" t="s">
        <v>5765</v>
      </c>
      <c r="K18" s="109" t="s">
        <v>5766</v>
      </c>
      <c r="L18" s="109" t="s">
        <v>5767</v>
      </c>
      <c r="M18" s="109" t="s">
        <v>5768</v>
      </c>
      <c r="N18" s="109" t="s">
        <v>5769</v>
      </c>
      <c r="O18" s="106" t="s">
        <v>5770</v>
      </c>
      <c r="P18" s="109" t="s">
        <v>5771</v>
      </c>
      <c r="Q18" s="109" t="s">
        <v>5772</v>
      </c>
      <c r="R18" s="106" t="s">
        <v>5773</v>
      </c>
      <c r="S18" s="109" t="s">
        <v>5774</v>
      </c>
    </row>
    <row r="19">
      <c r="A19" s="109" t="s">
        <v>5775</v>
      </c>
      <c r="B19" s="109" t="s">
        <v>5477</v>
      </c>
      <c r="C19" s="109" t="s">
        <v>4993</v>
      </c>
      <c r="D19" s="109" t="s">
        <v>5776</v>
      </c>
      <c r="E19" s="109" t="s">
        <v>5777</v>
      </c>
      <c r="F19" s="109" t="s">
        <v>5778</v>
      </c>
      <c r="G19" s="109" t="s">
        <v>5779</v>
      </c>
      <c r="H19" s="109" t="s">
        <v>5780</v>
      </c>
      <c r="I19" s="109" t="s">
        <v>5781</v>
      </c>
      <c r="J19" s="109" t="s">
        <v>5782</v>
      </c>
      <c r="K19" s="109" t="s">
        <v>5783</v>
      </c>
      <c r="L19" s="109" t="s">
        <v>5784</v>
      </c>
      <c r="M19" s="109" t="s">
        <v>5785</v>
      </c>
      <c r="N19" s="106" t="s">
        <v>5786</v>
      </c>
      <c r="O19" s="109" t="s">
        <v>5787</v>
      </c>
      <c r="P19" s="109" t="s">
        <v>5788</v>
      </c>
      <c r="Q19" s="109" t="s">
        <v>5789</v>
      </c>
      <c r="R19" s="109" t="s">
        <v>5790</v>
      </c>
      <c r="S19" s="109" t="s">
        <v>5791</v>
      </c>
    </row>
  </sheetData>
  <drawing r:id="rId1"/>
</worksheet>
</file>